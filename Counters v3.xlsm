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48" windowWidth="9576" windowHeight="8712" tabRatio="795" firstSheet="2" activeTab="13"/>
  </bookViews>
  <sheets>
    <sheet name="points to cm" sheetId="102" state="hidden" r:id="rId1"/>
    <sheet name="To do" sheetId="407" r:id="rId2"/>
    <sheet name="Parameters" sheetId="31" r:id="rId3"/>
    <sheet name="Types" sheetId="34" r:id="rId4"/>
    <sheet name="Fields" sheetId="32" r:id="rId5"/>
    <sheet name="Schemes" sheetId="36" r:id="rId6"/>
    <sheet name="FieldColours" sheetId="35" r:id="rId7"/>
    <sheet name="Colours" sheetId="366" r:id="rId8"/>
    <sheet name="Colours (4)" sheetId="405" state="hidden" r:id="rId9"/>
    <sheet name="MOD" sheetId="409" r:id="rId10"/>
    <sheet name="NAP" sheetId="408" r:id="rId11"/>
    <sheet name="Sheet2" sheetId="411" r:id="rId12"/>
    <sheet name="Sheet3" sheetId="412" r:id="rId13"/>
    <sheet name="test" sheetId="413" r:id="rId14"/>
  </sheets>
  <functionGroups builtInGroupCount="17"/>
  <externalReferences>
    <externalReference r:id="rId15"/>
  </externalReferences>
  <definedNames>
    <definedName name="counter_size_pixels">Parameters!$B$2</definedName>
    <definedName name="margins">Parameters!$B$5</definedName>
    <definedName name="size_of_grid">Parameters!$B$4</definedName>
    <definedName name="units_per_row">Parameters!$B$3</definedName>
  </definedNames>
  <calcPr calcId="145621"/>
</workbook>
</file>

<file path=xl/calcChain.xml><?xml version="1.0" encoding="utf-8"?>
<calcChain xmlns="http://schemas.openxmlformats.org/spreadsheetml/2006/main">
  <c r="O46" i="408" l="1"/>
  <c r="O47" i="408"/>
  <c r="O48" i="408"/>
  <c r="O49" i="408"/>
  <c r="P51" i="408"/>
  <c r="F2" i="405"/>
  <c r="F3" i="405"/>
  <c r="F4" i="405"/>
  <c r="F5" i="405"/>
  <c r="F6" i="405"/>
  <c r="F7" i="405"/>
  <c r="F8" i="405"/>
  <c r="F9" i="405"/>
  <c r="F10" i="405"/>
  <c r="F11" i="405"/>
  <c r="F12" i="405"/>
  <c r="F13" i="405"/>
  <c r="F14" i="405"/>
  <c r="F15" i="405"/>
  <c r="F16" i="405"/>
  <c r="F17" i="405"/>
  <c r="F18" i="405"/>
  <c r="F19" i="405"/>
  <c r="F20" i="405"/>
  <c r="F21" i="405"/>
  <c r="F22" i="405"/>
  <c r="F23" i="405"/>
  <c r="F24" i="405"/>
  <c r="F25" i="405"/>
  <c r="F26" i="405"/>
  <c r="F27" i="405"/>
  <c r="F28" i="405"/>
  <c r="F29" i="405"/>
  <c r="F30" i="405"/>
  <c r="F31" i="405"/>
  <c r="F32" i="405"/>
  <c r="F33" i="405"/>
  <c r="F34" i="405"/>
  <c r="F35" i="405"/>
  <c r="F36" i="405"/>
  <c r="F37" i="405"/>
  <c r="F38" i="405"/>
  <c r="F39" i="405"/>
  <c r="F40" i="405"/>
  <c r="F42" i="405"/>
  <c r="F43" i="405"/>
  <c r="F44" i="405"/>
  <c r="F45" i="405"/>
  <c r="F46" i="405"/>
  <c r="F47" i="405"/>
  <c r="F48" i="405"/>
  <c r="F49" i="405"/>
  <c r="F50" i="405"/>
  <c r="F51" i="405"/>
  <c r="F52" i="405"/>
  <c r="F54" i="405"/>
  <c r="F55" i="405"/>
  <c r="F56" i="405"/>
  <c r="F57" i="405"/>
  <c r="F58" i="405"/>
  <c r="F59" i="405"/>
  <c r="F60" i="405"/>
  <c r="F61" i="405"/>
  <c r="F62" i="405"/>
  <c r="F63" i="405"/>
  <c r="F64" i="405"/>
  <c r="E2" i="366"/>
  <c r="E3" i="366"/>
  <c r="E4" i="366"/>
  <c r="E5" i="366"/>
  <c r="E6" i="366"/>
  <c r="E7" i="366"/>
  <c r="E8" i="366"/>
  <c r="E9" i="366"/>
  <c r="E10" i="366"/>
  <c r="E11" i="366"/>
  <c r="E12" i="366"/>
  <c r="E13" i="366"/>
  <c r="E14" i="366"/>
  <c r="E15" i="366"/>
  <c r="E16" i="366"/>
  <c r="E17" i="366"/>
  <c r="E18" i="366"/>
  <c r="E19" i="366"/>
  <c r="E20" i="366"/>
  <c r="E21" i="366"/>
  <c r="E22" i="366"/>
  <c r="E23" i="366"/>
  <c r="E24" i="366"/>
  <c r="E25" i="366"/>
  <c r="E26" i="366"/>
  <c r="E27" i="366"/>
  <c r="E28" i="366"/>
  <c r="E29" i="366"/>
  <c r="E30" i="366"/>
  <c r="E31" i="366"/>
  <c r="E32" i="366"/>
  <c r="E33" i="366"/>
  <c r="E34" i="366"/>
  <c r="E35" i="366"/>
  <c r="E36" i="366"/>
  <c r="E37" i="366"/>
  <c r="E38" i="366"/>
  <c r="E39" i="366"/>
  <c r="E40" i="366"/>
  <c r="E42" i="366"/>
  <c r="E43" i="366"/>
  <c r="E44" i="366"/>
  <c r="E45" i="366"/>
  <c r="E46" i="366"/>
  <c r="E47" i="366"/>
  <c r="E48" i="366"/>
  <c r="E49" i="366"/>
  <c r="E50" i="366"/>
  <c r="E51" i="366"/>
  <c r="E52" i="366"/>
  <c r="E54" i="366"/>
  <c r="E55" i="366"/>
  <c r="E56" i="366"/>
  <c r="E57" i="366"/>
  <c r="E58" i="366"/>
  <c r="E59" i="366"/>
  <c r="E60" i="366"/>
  <c r="E61" i="366"/>
  <c r="E62" i="366"/>
  <c r="E63" i="366"/>
  <c r="E64" i="366"/>
  <c r="B2" i="102"/>
  <c r="F2" i="102"/>
  <c r="G2" i="102"/>
  <c r="I2" i="102"/>
  <c r="J2" i="102"/>
  <c r="B3" i="102"/>
  <c r="F3" i="102"/>
  <c r="G3" i="102"/>
  <c r="I3" i="102"/>
  <c r="J3" i="102"/>
  <c r="B4" i="102"/>
  <c r="F4" i="102"/>
  <c r="G4" i="102"/>
  <c r="I4" i="102"/>
  <c r="J4" i="102"/>
  <c r="B5" i="102"/>
  <c r="F5" i="102"/>
  <c r="G5" i="102"/>
  <c r="I5" i="102"/>
  <c r="J5" i="102"/>
  <c r="B6" i="102"/>
  <c r="F6" i="102"/>
  <c r="G6" i="102"/>
  <c r="I6" i="102"/>
  <c r="J6" i="102"/>
  <c r="B7" i="102"/>
  <c r="F7" i="102"/>
  <c r="G7" i="102"/>
  <c r="I7" i="102"/>
  <c r="J7" i="102"/>
  <c r="B8" i="102"/>
  <c r="F8" i="102"/>
  <c r="G8" i="102"/>
  <c r="I8" i="102"/>
  <c r="J8" i="102"/>
  <c r="B9" i="102"/>
  <c r="F9" i="102"/>
  <c r="G9" i="102"/>
  <c r="I9" i="102"/>
  <c r="J9" i="102"/>
  <c r="B10" i="102"/>
  <c r="F10" i="102"/>
  <c r="G10" i="102"/>
  <c r="I10" i="102"/>
  <c r="J10" i="102"/>
  <c r="B11" i="102"/>
  <c r="F11" i="102"/>
  <c r="G11" i="102"/>
  <c r="I11" i="102"/>
  <c r="J11" i="102"/>
  <c r="B12" i="102"/>
  <c r="F12" i="102"/>
  <c r="G12" i="102"/>
  <c r="I12" i="102"/>
  <c r="J12" i="102"/>
  <c r="B13" i="102"/>
  <c r="F13" i="102"/>
  <c r="G13" i="102"/>
  <c r="I13" i="102"/>
  <c r="J13" i="102"/>
  <c r="B14" i="102"/>
  <c r="F14" i="102"/>
  <c r="G14" i="102"/>
  <c r="I14" i="102"/>
  <c r="J14" i="102"/>
  <c r="B15" i="102"/>
  <c r="F15" i="102"/>
  <c r="G15" i="102"/>
  <c r="I15" i="102"/>
  <c r="J15" i="102"/>
  <c r="B16" i="102"/>
  <c r="F16" i="102"/>
  <c r="G16" i="102"/>
  <c r="I16" i="102"/>
  <c r="J16" i="102"/>
  <c r="B17" i="102"/>
  <c r="F17" i="102"/>
  <c r="G17" i="102"/>
  <c r="I17" i="102"/>
  <c r="J17" i="102"/>
  <c r="B18" i="102"/>
  <c r="F18" i="102"/>
  <c r="G18" i="102"/>
  <c r="I18" i="102"/>
  <c r="J18" i="102"/>
  <c r="B19" i="102"/>
  <c r="F19" i="102"/>
  <c r="G19" i="102"/>
  <c r="I19" i="102"/>
  <c r="J19" i="102"/>
  <c r="B20" i="102"/>
  <c r="F20" i="102"/>
  <c r="G20" i="102"/>
  <c r="I20" i="102"/>
  <c r="J20" i="102"/>
  <c r="B21" i="102"/>
  <c r="F21" i="102"/>
  <c r="G21" i="102"/>
  <c r="I21" i="102"/>
  <c r="J21" i="102"/>
  <c r="B22" i="102"/>
  <c r="F22" i="102"/>
  <c r="G22" i="102"/>
  <c r="I22" i="102"/>
  <c r="J22" i="102"/>
  <c r="J8" i="405"/>
  <c r="J24" i="405"/>
  <c r="J40" i="405"/>
  <c r="J7" i="405"/>
  <c r="J23" i="405"/>
  <c r="J39" i="405"/>
  <c r="J57" i="405"/>
  <c r="J17" i="405"/>
  <c r="J42" i="405"/>
  <c r="J63" i="405"/>
  <c r="J6" i="405"/>
  <c r="J22" i="405"/>
  <c r="J38" i="405"/>
  <c r="J56" i="405"/>
  <c r="J21" i="405"/>
  <c r="J16" i="405"/>
  <c r="J58" i="405"/>
  <c r="J31" i="405"/>
  <c r="J5" i="405"/>
  <c r="J55" i="405"/>
  <c r="J14" i="405"/>
  <c r="J30" i="405"/>
  <c r="J64" i="405"/>
  <c r="J4" i="405"/>
  <c r="J36" i="405"/>
  <c r="J19" i="405"/>
  <c r="J52" i="405"/>
  <c r="J37" i="405"/>
  <c r="J2" i="405"/>
  <c r="J18" i="405"/>
  <c r="J51" i="405"/>
  <c r="J54" i="405"/>
  <c r="J12" i="405"/>
  <c r="J28" i="405"/>
  <c r="J45" i="405"/>
  <c r="J11" i="405"/>
  <c r="J27" i="405"/>
  <c r="J44" i="405"/>
  <c r="J61" i="405"/>
  <c r="J25" i="405"/>
  <c r="J46" i="405"/>
  <c r="J49" i="405"/>
  <c r="J10" i="405"/>
  <c r="J26" i="405"/>
  <c r="J43" i="405"/>
  <c r="J60" i="405"/>
  <c r="J29" i="405"/>
  <c r="J32" i="405"/>
  <c r="J15" i="405"/>
  <c r="J48" i="405"/>
  <c r="J33" i="405"/>
  <c r="J62" i="405"/>
  <c r="J47" i="405"/>
  <c r="J50" i="405"/>
  <c r="J20" i="405"/>
  <c r="J3" i="405"/>
  <c r="J35" i="405"/>
  <c r="J9" i="405"/>
  <c r="J59" i="405"/>
  <c r="J34" i="405"/>
  <c r="J13" i="405"/>
  <c r="K13" i="405" l="1"/>
  <c r="K34" i="405"/>
  <c r="K59" i="405"/>
  <c r="K9" i="405"/>
  <c r="K35" i="405"/>
  <c r="K3" i="405"/>
  <c r="K20" i="405"/>
  <c r="K50" i="405"/>
  <c r="K47" i="405"/>
  <c r="K62" i="405"/>
  <c r="K33" i="405"/>
  <c r="K48" i="405"/>
  <c r="K15" i="405"/>
  <c r="K32" i="405"/>
  <c r="K29" i="405"/>
  <c r="K60" i="405"/>
  <c r="K43" i="405"/>
  <c r="K26" i="405"/>
  <c r="K10" i="405"/>
  <c r="K49" i="405"/>
  <c r="K46" i="405"/>
  <c r="K25" i="405"/>
  <c r="K61" i="405"/>
  <c r="K44" i="405"/>
  <c r="K27" i="405"/>
  <c r="K11" i="405"/>
  <c r="K45" i="405"/>
  <c r="K28" i="405"/>
  <c r="K12" i="405"/>
  <c r="K54" i="405"/>
  <c r="K51" i="405"/>
  <c r="K18" i="405"/>
  <c r="K2" i="405"/>
  <c r="K37" i="405"/>
  <c r="K52" i="405"/>
  <c r="K19" i="405"/>
  <c r="K36" i="405"/>
  <c r="K4" i="405"/>
  <c r="K64" i="405"/>
  <c r="K30" i="405"/>
  <c r="K14" i="405"/>
  <c r="K55" i="405"/>
  <c r="K5" i="405"/>
  <c r="K31" i="405"/>
  <c r="K58" i="405"/>
  <c r="K16" i="405"/>
  <c r="K21" i="405"/>
  <c r="K56" i="405"/>
  <c r="K38" i="405"/>
  <c r="K22" i="405"/>
  <c r="K6" i="405"/>
  <c r="K63" i="405"/>
  <c r="K42" i="405"/>
  <c r="K17" i="405"/>
  <c r="K57" i="405"/>
  <c r="K39" i="405"/>
  <c r="K23" i="405"/>
  <c r="K7" i="405"/>
  <c r="K40" i="405"/>
  <c r="K24" i="405"/>
  <c r="K8" i="405"/>
</calcChain>
</file>

<file path=xl/sharedStrings.xml><?xml version="1.0" encoding="utf-8"?>
<sst xmlns="http://schemas.openxmlformats.org/spreadsheetml/2006/main" count="3462" uniqueCount="419">
  <si>
    <t>Name</t>
  </si>
  <si>
    <t>FRANCE</t>
  </si>
  <si>
    <t>BLACK</t>
  </si>
  <si>
    <t>BROWN</t>
  </si>
  <si>
    <t>WHITE</t>
  </si>
  <si>
    <t>BLUE</t>
  </si>
  <si>
    <t>Flag</t>
  </si>
  <si>
    <t>RUSSIA_2</t>
  </si>
  <si>
    <t>GERMANY</t>
  </si>
  <si>
    <t>ITALY</t>
  </si>
  <si>
    <t>RUSSIA</t>
  </si>
  <si>
    <t>GREY60</t>
  </si>
  <si>
    <t>GOLD</t>
  </si>
  <si>
    <t>DK_RED</t>
  </si>
  <si>
    <t>RED</t>
  </si>
  <si>
    <t>LT_RED</t>
  </si>
  <si>
    <t>ROSE</t>
  </si>
  <si>
    <t>ORANGE</t>
  </si>
  <si>
    <t>LT_ORANGE</t>
  </si>
  <si>
    <t>TAN</t>
  </si>
  <si>
    <t>DK_OLIVE</t>
  </si>
  <si>
    <t>DK_YELLOW</t>
  </si>
  <si>
    <t>LIME</t>
  </si>
  <si>
    <t>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</si>
  <si>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</si>
  <si>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</si>
  <si>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</si>
  <si>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</si>
  <si>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</si>
  <si>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</si>
  <si>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</si>
  <si>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</si>
  <si>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</si>
  <si>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</si>
  <si>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</si>
  <si>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LT_BLUE</t>
  </si>
  <si>
    <t>SKY_BLUE</t>
  </si>
  <si>
    <t>PALE_BLUE</t>
  </si>
  <si>
    <t>INDIGO</t>
  </si>
  <si>
    <t>BLUE_GREY</t>
  </si>
  <si>
    <t>VIOLET</t>
  </si>
  <si>
    <t>PLUM</t>
  </si>
  <si>
    <t>LAVENDER</t>
  </si>
  <si>
    <t>GREY80</t>
  </si>
  <si>
    <t>GREY40</t>
  </si>
  <si>
    <t>GREY20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</si>
  <si>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</si>
  <si>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</si>
  <si>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</si>
  <si>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</si>
  <si>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</si>
  <si>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</si>
  <si>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</si>
  <si>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</si>
  <si>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</si>
  <si>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</si>
  <si>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</si>
  <si>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</si>
  <si>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</si>
  <si>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</si>
  <si>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</si>
  <si>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Scenario</t>
  </si>
  <si>
    <t>Left</t>
  </si>
  <si>
    <t>Middle</t>
  </si>
  <si>
    <t>Right</t>
  </si>
  <si>
    <t>POLAND</t>
  </si>
  <si>
    <t>SWEDEN</t>
  </si>
  <si>
    <t>SAXONY</t>
  </si>
  <si>
    <t>name</t>
  </si>
  <si>
    <t>rgb</t>
  </si>
  <si>
    <t>example</t>
  </si>
  <si>
    <t>"=rgb(255,153,0)"</t>
  </si>
  <si>
    <t>"=rgb(255,204,0)"</t>
  </si>
  <si>
    <t>"=rgb(255,204,153)"</t>
  </si>
  <si>
    <t>"=rgb(51,51,0)"</t>
  </si>
  <si>
    <t>"=rgb(153,204,0)"</t>
  </si>
  <si>
    <t>"=rgb(255,255,0)"</t>
  </si>
  <si>
    <t>"=rgb(255,255,153)"</t>
  </si>
  <si>
    <t>"=rgb(0,128,0)"</t>
  </si>
  <si>
    <t>"=rgb(51,153,102)"</t>
  </si>
  <si>
    <t>"=rgb(0,255,0)"</t>
  </si>
  <si>
    <t>"=rgb(204,255,204)"</t>
  </si>
  <si>
    <t>"=rgb(0,128,128)"</t>
  </si>
  <si>
    <t>"=rgb(51,204,204)"</t>
  </si>
  <si>
    <t>"=rgb(0,255,255)"</t>
  </si>
  <si>
    <t>"=rgb(204,255,255)"</t>
  </si>
  <si>
    <t>"=rgb(0,0,128)"</t>
  </si>
  <si>
    <t>"=rgb(0,0,255)"</t>
  </si>
  <si>
    <t>"=rgb(51,102,255)"</t>
  </si>
  <si>
    <t>"=rgb(0,204,255)"</t>
  </si>
  <si>
    <t>"=rgb(153,204,255)"</t>
  </si>
  <si>
    <t>"=rgb(51,51,153)"</t>
  </si>
  <si>
    <t>"=rgb(102,102,153)"</t>
  </si>
  <si>
    <t>"=rgb(128,0,128)"</t>
  </si>
  <si>
    <t>"=rgb(153,51,102)"</t>
  </si>
  <si>
    <t>"=rgb(153,153,255)"</t>
  </si>
  <si>
    <t>"=rgb(51,51,51)"</t>
  </si>
  <si>
    <t>"=rgb(128,128,128)"</t>
  </si>
  <si>
    <t>"=rgb(150,150,150)"</t>
  </si>
  <si>
    <t>"=rgb(192,192,192)"</t>
  </si>
  <si>
    <t>"=rgb(255,255,255)"</t>
  </si>
  <si>
    <t>"=rgb(255,128,128)"</t>
  </si>
  <si>
    <t>"=rgb(255,0,0)"</t>
  </si>
  <si>
    <t>"=rgb(128,128,0)"</t>
  </si>
  <si>
    <t>"=rgb(0,0,0)"</t>
  </si>
  <si>
    <t>"=rgb(255,153,204)"</t>
  </si>
  <si>
    <t>"=rgb(255,102,0)"</t>
  </si>
  <si>
    <t>Type</t>
  </si>
  <si>
    <t>font</t>
  </si>
  <si>
    <t>size</t>
  </si>
  <si>
    <t>bold</t>
  </si>
  <si>
    <t>uline</t>
  </si>
  <si>
    <t>shadow</t>
  </si>
  <si>
    <t>outline</t>
  </si>
  <si>
    <t>orientation</t>
  </si>
  <si>
    <t>align</t>
  </si>
  <si>
    <t>transp</t>
  </si>
  <si>
    <t>text</t>
  </si>
  <si>
    <t>Parameter</t>
  </si>
  <si>
    <t>Value</t>
  </si>
  <si>
    <t>Field</t>
  </si>
  <si>
    <t>Scheme</t>
  </si>
  <si>
    <t>FG</t>
  </si>
  <si>
    <t>BG</t>
  </si>
  <si>
    <t>Nature</t>
  </si>
  <si>
    <t>flag</t>
  </si>
  <si>
    <t>left</t>
  </si>
  <si>
    <t>back</t>
  </si>
  <si>
    <t>face</t>
  </si>
  <si>
    <t>image</t>
  </si>
  <si>
    <t>top</t>
  </si>
  <si>
    <t>width</t>
  </si>
  <si>
    <t>height</t>
  </si>
  <si>
    <t>front/back</t>
  </si>
  <si>
    <t>f</t>
  </si>
  <si>
    <t>size of grid</t>
  </si>
  <si>
    <t>units per row</t>
  </si>
  <si>
    <t>margins (pixels)</t>
  </si>
  <si>
    <t>W</t>
  </si>
  <si>
    <t>p+2</t>
  </si>
  <si>
    <t>b</t>
  </si>
  <si>
    <t>points</t>
  </si>
  <si>
    <t>counter size (points)</t>
  </si>
  <si>
    <t>corps</t>
  </si>
  <si>
    <t>symbol</t>
  </si>
  <si>
    <t>II</t>
  </si>
  <si>
    <t>4</t>
  </si>
  <si>
    <t>5</t>
  </si>
  <si>
    <t>2</t>
  </si>
  <si>
    <t>silhouette</t>
  </si>
  <si>
    <t>fort</t>
  </si>
  <si>
    <t>front</t>
  </si>
  <si>
    <t>*</t>
  </si>
  <si>
    <t>****</t>
  </si>
  <si>
    <t>texte</t>
  </si>
  <si>
    <t>L</t>
  </si>
  <si>
    <t>Semaine 3</t>
  </si>
  <si>
    <t>Semaine 4</t>
  </si>
  <si>
    <t>Semaine 1</t>
  </si>
  <si>
    <t>Semaine 2</t>
  </si>
  <si>
    <t>**</t>
  </si>
  <si>
    <t>Napoléon</t>
  </si>
  <si>
    <t>Rapp</t>
  </si>
  <si>
    <t>III</t>
  </si>
  <si>
    <t>VIII</t>
  </si>
  <si>
    <t>IC</t>
  </si>
  <si>
    <t>IIC</t>
  </si>
  <si>
    <t>GD</t>
  </si>
  <si>
    <t>VG</t>
  </si>
  <si>
    <t>CG</t>
  </si>
  <si>
    <t>Art.Res</t>
  </si>
  <si>
    <t>Dét. A</t>
  </si>
  <si>
    <t>Dét. B</t>
  </si>
  <si>
    <t>Dét. 1</t>
  </si>
  <si>
    <t>Dét. 2</t>
  </si>
  <si>
    <t>Blücher</t>
  </si>
  <si>
    <t>Bernadotte</t>
  </si>
  <si>
    <t>Bennigsen</t>
  </si>
  <si>
    <t>Kleist</t>
  </si>
  <si>
    <t>Bülow</t>
  </si>
  <si>
    <t>I</t>
  </si>
  <si>
    <t>Garde</t>
  </si>
  <si>
    <t>Art. Res.</t>
  </si>
  <si>
    <t>Grenadiers</t>
  </si>
  <si>
    <t>Cos. Du Don</t>
  </si>
  <si>
    <t>Wintzingerode</t>
  </si>
  <si>
    <t>Doctoroff</t>
  </si>
  <si>
    <t>Suédois</t>
  </si>
  <si>
    <t>Artillerie Res.</t>
  </si>
  <si>
    <t>Dét. X</t>
  </si>
  <si>
    <t>Pol</t>
  </si>
  <si>
    <t>Sax</t>
  </si>
  <si>
    <t>empty</t>
  </si>
  <si>
    <t>+4</t>
  </si>
  <si>
    <t>3</t>
  </si>
  <si>
    <t>Wittgenstn</t>
  </si>
  <si>
    <t>Schwrznbg</t>
  </si>
  <si>
    <t>1</t>
  </si>
  <si>
    <t>+1</t>
  </si>
  <si>
    <t>7</t>
  </si>
  <si>
    <t>6</t>
  </si>
  <si>
    <t>+2</t>
  </si>
  <si>
    <t>+3</t>
  </si>
  <si>
    <t>+5</t>
  </si>
  <si>
    <t>+6</t>
  </si>
  <si>
    <t>+7</t>
  </si>
  <si>
    <t>r</t>
  </si>
  <si>
    <t>g</t>
  </si>
  <si>
    <t>MOD cbt silh</t>
  </si>
  <si>
    <t>MOD cbt symb</t>
  </si>
  <si>
    <t>Modern period - combat unit - silhouette</t>
  </si>
  <si>
    <t>Modern period - combat unit - symbol</t>
  </si>
  <si>
    <t>Different size units (LCU, SCU, etc)</t>
  </si>
  <si>
    <t>Different shapes (rectangle, circle, hexagon, etc)</t>
  </si>
  <si>
    <t>Colour gradients</t>
  </si>
  <si>
    <t>attack</t>
  </si>
  <si>
    <t>defense</t>
  </si>
  <si>
    <t>range</t>
  </si>
  <si>
    <t>mvt</t>
  </si>
  <si>
    <t>id</t>
  </si>
  <si>
    <t>RUSSIA_3</t>
  </si>
  <si>
    <t>Panther</t>
  </si>
  <si>
    <t>101</t>
  </si>
  <si>
    <t>silh pzv panther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</si>
  <si>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</si>
  <si>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</si>
  <si>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</si>
  <si>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</si>
  <si>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</si>
  <si>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</si>
  <si>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</si>
  <si>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</si>
  <si>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</si>
  <si>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type</t>
  </si>
  <si>
    <t>A</t>
  </si>
  <si>
    <t>MOD pb ge silh</t>
  </si>
  <si>
    <t>MOD pb ge symb</t>
  </si>
  <si>
    <t>RIFLE</t>
  </si>
  <si>
    <t>201</t>
  </si>
  <si>
    <t>nato inf</t>
  </si>
  <si>
    <t>. . .</t>
  </si>
  <si>
    <t>202</t>
  </si>
  <si>
    <t>MOD pb ru silh</t>
  </si>
  <si>
    <t>MOD pb ru symb</t>
  </si>
  <si>
    <t>RUSSIA_4</t>
  </si>
  <si>
    <t>RUSSIA_5</t>
  </si>
  <si>
    <t>RUSSIA_6</t>
  </si>
  <si>
    <t>RUSSIA_7</t>
  </si>
  <si>
    <t>RUSSIA_8</t>
  </si>
  <si>
    <t>RUSSIA_9</t>
  </si>
  <si>
    <t>RUSSIA_10</t>
  </si>
  <si>
    <t>RUSSIA_11</t>
  </si>
  <si>
    <t>silh nashorn</t>
  </si>
  <si>
    <t>T-34/85</t>
  </si>
  <si>
    <t>NAP flag france</t>
  </si>
  <si>
    <t>NAP flag coalition</t>
  </si>
  <si>
    <t>NAP flag sweden</t>
  </si>
  <si>
    <t>NAP unit inf fr</t>
  </si>
  <si>
    <t>NAP unit cav fr</t>
  </si>
  <si>
    <t>NAP unit gren fr</t>
  </si>
  <si>
    <t>NAP unit art canon</t>
  </si>
  <si>
    <t>NAP ldr napoleon</t>
  </si>
  <si>
    <t>NAP ldr moreau</t>
  </si>
  <si>
    <t>NAP ldr bernadotte</t>
  </si>
  <si>
    <t>NAP unit inf pr</t>
  </si>
  <si>
    <t>NAP unit inf au</t>
  </si>
  <si>
    <t>NAP unit inf ru</t>
  </si>
  <si>
    <t>NAP unit cav au</t>
  </si>
  <si>
    <t>NAP unit inf su</t>
  </si>
  <si>
    <t>NAP ldr wellington</t>
  </si>
  <si>
    <t>NAP ldr rapp</t>
  </si>
  <si>
    <t>MARK stopwatch</t>
  </si>
  <si>
    <t>MARK hourglass</t>
  </si>
  <si>
    <t>MARK weather</t>
  </si>
  <si>
    <t>Back</t>
  </si>
  <si>
    <t>Front</t>
  </si>
  <si>
    <t>NAP flag prussia</t>
  </si>
  <si>
    <t>NAP flag russia</t>
  </si>
  <si>
    <t>NAP flag austria</t>
  </si>
  <si>
    <t>NAP Leader</t>
  </si>
  <si>
    <t>NAP Inf</t>
  </si>
  <si>
    <t>NAP Cav</t>
  </si>
  <si>
    <t>NAP Art</t>
  </si>
  <si>
    <t>NAP Fort</t>
  </si>
  <si>
    <t>NAP Dummy</t>
  </si>
  <si>
    <t>NAP Force</t>
  </si>
  <si>
    <t>Napoleonic - leader</t>
  </si>
  <si>
    <t>Napoleonic - infantry</t>
  </si>
  <si>
    <t>Napoleonic - cavalry</t>
  </si>
  <si>
    <t>Napoleonic - artillery</t>
  </si>
  <si>
    <t>Napoleonic - fort marker</t>
  </si>
  <si>
    <t>Napoleonic - dummy marker</t>
  </si>
  <si>
    <t>Napoleonic - force marker</t>
  </si>
  <si>
    <t>Napoleonic - game-turn marker (also used for weather marker)</t>
  </si>
  <si>
    <t>up</t>
  </si>
  <si>
    <t>scenario</t>
  </si>
  <si>
    <t>middle</t>
  </si>
  <si>
    <t>right</t>
  </si>
  <si>
    <t>fb</t>
  </si>
  <si>
    <t>bande</t>
  </si>
  <si>
    <t>NAP Turn</t>
  </si>
  <si>
    <t>NAP Combat FR</t>
  </si>
  <si>
    <t>NAP Combat AU</t>
  </si>
  <si>
    <t>NAP Force FR</t>
  </si>
  <si>
    <t>NAP Force CO</t>
  </si>
  <si>
    <t>NAP Combat Au Nor</t>
  </si>
  <si>
    <t>NAP Combat Au Sil</t>
  </si>
  <si>
    <t>NAP Combat Au Boh</t>
  </si>
  <si>
    <t>NAP Combat Au Pol</t>
  </si>
  <si>
    <t>NAP Combat Pr Nor</t>
  </si>
  <si>
    <t>NAP Combat Pr Sil</t>
  </si>
  <si>
    <t>NAP Combat Pr Boh</t>
  </si>
  <si>
    <t>NAP Combat Pr Pol</t>
  </si>
  <si>
    <t>NAP Combat Ru Nor</t>
  </si>
  <si>
    <t>NAP Combat Ru Sil</t>
  </si>
  <si>
    <t>NAP Combat Ru Boh</t>
  </si>
  <si>
    <t>NAP Combat Ru Pol</t>
  </si>
  <si>
    <t>NAP Combat Su Nor</t>
  </si>
  <si>
    <t>NAP Combat Su Sil</t>
  </si>
  <si>
    <t>NAP Combat Su Boh</t>
  </si>
  <si>
    <t>NAP Combat Su Pol</t>
  </si>
  <si>
    <t>NAP Det Coal</t>
  </si>
  <si>
    <t>NAP Combat Ru Det</t>
  </si>
  <si>
    <t>NAP Combat Pr Det</t>
  </si>
  <si>
    <t>NAP Combat Au Det</t>
  </si>
  <si>
    <t>NAP Combat Su Det</t>
  </si>
  <si>
    <t>NAP Leader FR</t>
  </si>
  <si>
    <t>NAP Leader Au Nor</t>
  </si>
  <si>
    <t>NAP Leader Au Sil</t>
  </si>
  <si>
    <t>NAP Leader Au Boh</t>
  </si>
  <si>
    <t>NAP Leader Au Pol</t>
  </si>
  <si>
    <t>NAP Leader Pr Nor</t>
  </si>
  <si>
    <t>NAP Leader Pr Sil</t>
  </si>
  <si>
    <t>NAP Leader Pr Boh</t>
  </si>
  <si>
    <t>NAP Leader Pr Pol</t>
  </si>
  <si>
    <t>NAP Leader Ru Nor</t>
  </si>
  <si>
    <t>NAP Leader Ru Sil</t>
  </si>
  <si>
    <t>NAP Leader Ru Boh</t>
  </si>
  <si>
    <t>NAP Leader Ru Pol</t>
  </si>
  <si>
    <t>NAP Leader Su Nor</t>
  </si>
  <si>
    <t>NAP Leader Su Sil</t>
  </si>
  <si>
    <t>NAP Leader Su Boh</t>
  </si>
  <si>
    <t>NAP Leader Su Pol</t>
  </si>
  <si>
    <t>NAP Dummy FR</t>
  </si>
  <si>
    <t>NAP Dummy CO</t>
  </si>
  <si>
    <t>NAP eagle</t>
  </si>
  <si>
    <t>Mud</t>
  </si>
  <si>
    <t>Clear</t>
  </si>
  <si>
    <t>Rain</t>
  </si>
  <si>
    <t>Snow</t>
  </si>
  <si>
    <t>NAP unit inf Dummy</t>
  </si>
  <si>
    <t>NAP unit cav Dummy</t>
  </si>
  <si>
    <t>NAP au force</t>
  </si>
  <si>
    <t>Modern Panzerblitz german silhouettes (hard targets)</t>
  </si>
  <si>
    <t>Modern Panzerblitz german symbols (soft targets)</t>
  </si>
  <si>
    <t>Napoleonic leader french</t>
  </si>
  <si>
    <t>Austrian</t>
  </si>
  <si>
    <t>Coalition</t>
  </si>
  <si>
    <t>Austrian, Army of the North</t>
  </si>
  <si>
    <t>Army of Silesia</t>
  </si>
  <si>
    <t>Army of Bohemia</t>
  </si>
  <si>
    <t>Army of Poland</t>
  </si>
  <si>
    <t>Prussian</t>
  </si>
  <si>
    <t>Russian</t>
  </si>
  <si>
    <t>Swedish</t>
  </si>
  <si>
    <t>Detachments</t>
  </si>
  <si>
    <t>x</t>
  </si>
  <si>
    <t>jdg ma</t>
  </si>
  <si>
    <t>jdg ldr</t>
  </si>
  <si>
    <t>jdg inf</t>
  </si>
  <si>
    <t>pic</t>
  </si>
  <si>
    <t>reduced</t>
  </si>
  <si>
    <t>subunit</t>
  </si>
  <si>
    <t>elite</t>
  </si>
  <si>
    <t>heavy</t>
  </si>
  <si>
    <t>eng</t>
  </si>
  <si>
    <t>jdg fr ldr</t>
  </si>
  <si>
    <t>jdg fr green</t>
  </si>
  <si>
    <t>jdg fr ma green</t>
  </si>
  <si>
    <t>Klein</t>
  </si>
  <si>
    <t>Lasalles</t>
  </si>
  <si>
    <t>2°Hussards</t>
  </si>
  <si>
    <t>NAP flag France</t>
  </si>
  <si>
    <t>NAP unit inf dummy</t>
  </si>
  <si>
    <t>jdg cav</t>
  </si>
  <si>
    <t>bleft</t>
  </si>
  <si>
    <t>bmiddle</t>
  </si>
  <si>
    <t>bright</t>
  </si>
  <si>
    <t>fleft</t>
  </si>
  <si>
    <t>fmiddle</t>
  </si>
  <si>
    <t>fright</t>
  </si>
  <si>
    <t>NAP unit cav dummy</t>
  </si>
  <si>
    <t>Fénérols</t>
  </si>
  <si>
    <t>4° Dragons</t>
  </si>
  <si>
    <t>14° Dragons</t>
  </si>
  <si>
    <t>26° Dragons</t>
  </si>
  <si>
    <t>Fauconnet</t>
  </si>
  <si>
    <t>1° Dragons</t>
  </si>
  <si>
    <t>2° Dragons</t>
  </si>
  <si>
    <t>20° Dragons</t>
  </si>
  <si>
    <t>Lasalle</t>
  </si>
  <si>
    <t>5° Hussards</t>
  </si>
  <si>
    <t>7° Hussards</t>
  </si>
  <si>
    <t>2° Art</t>
  </si>
  <si>
    <t>(1)</t>
  </si>
  <si>
    <t>2-4</t>
  </si>
  <si>
    <t>Dorokhov</t>
  </si>
  <si>
    <t>Infanterie</t>
  </si>
  <si>
    <t>I/3° Chasseurs</t>
  </si>
  <si>
    <t>Cavalerie</t>
  </si>
  <si>
    <t>I/Huss.d'Izioum</t>
  </si>
  <si>
    <t>Coss. Novalski</t>
  </si>
  <si>
    <t>Art. Div.</t>
  </si>
  <si>
    <t>II/3° Chasseurs</t>
  </si>
  <si>
    <t>III/3° Chasseurs</t>
  </si>
  <si>
    <t>II/Huss.d'Izioum</t>
  </si>
  <si>
    <t>III/Huss.d'Izioum</t>
  </si>
  <si>
    <t>0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</si>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</sst>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Courier New"/>
      <family val="3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58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4" fillId="2" borderId="1" xfId="0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2" borderId="0" xfId="0" applyFill="1"/>
    <xf numFmtId="0" fontId="0" fillId="37" borderId="0" xfId="0" applyFill="1"/>
    <xf numFmtId="0" fontId="0" fillId="38" borderId="0" xfId="0" applyFill="1"/>
    <xf numFmtId="49" fontId="4" fillId="2" borderId="1" xfId="0" applyNumberFormat="1" applyFont="1" applyFill="1" applyBorder="1"/>
    <xf numFmtId="49" fontId="0" fillId="0" borderId="0" xfId="0" applyNumberFormat="1"/>
    <xf numFmtId="0" fontId="5" fillId="0" borderId="0" xfId="2"/>
    <xf numFmtId="0" fontId="5" fillId="0" borderId="0" xfId="2" applyFont="1"/>
    <xf numFmtId="0" fontId="0" fillId="0" borderId="0" xfId="0" applyAlignment="1">
      <alignment horizontal="center"/>
    </xf>
    <xf numFmtId="0" fontId="4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0" fillId="0" borderId="0" xfId="0" applyFill="1" applyBorder="1"/>
    <xf numFmtId="49" fontId="0" fillId="39" borderId="0" xfId="0" applyNumberFormat="1" applyFill="1"/>
    <xf numFmtId="49" fontId="6" fillId="0" borderId="0" xfId="0" applyNumberFormat="1" applyFont="1" applyAlignment="1">
      <alignment horizontal="left"/>
    </xf>
    <xf numFmtId="49" fontId="0" fillId="39" borderId="0" xfId="0" applyNumberFormat="1" applyFill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6" fillId="0" borderId="0" xfId="0" applyNumberFormat="1" applyFont="1" applyAlignment="1">
      <alignment horizontal="center"/>
    </xf>
  </cellXfs>
  <cellStyles count="3">
    <cellStyle name="Non défini" xfId="1"/>
    <cellStyle name="Normal" xfId="0" builtinId="0"/>
    <cellStyle name="Normal_Pions 1813  V1.0" xfId="2"/>
  </cellStyles>
  <dxfs count="17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</xdr:colOff>
          <xdr:row>5</xdr:row>
          <xdr:rowOff>129540</xdr:rowOff>
        </xdr:from>
        <xdr:to>
          <xdr:col>13</xdr:col>
          <xdr:colOff>457200</xdr:colOff>
          <xdr:row>8</xdr:row>
          <xdr:rowOff>38100</xdr:rowOff>
        </xdr:to>
        <xdr:sp macro="" textlink="">
          <xdr:nvSpPr>
            <xdr:cNvPr id="508929" name="Button 1" hidden="1">
              <a:extLst>
                <a:ext uri="{63B3BB69-23CF-44E3-9099-C40C66FF867C}">
                  <a14:compatExt spid="_x0000_s508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</xdr:colOff>
          <xdr:row>8</xdr:row>
          <xdr:rowOff>137160</xdr:rowOff>
        </xdr:from>
        <xdr:to>
          <xdr:col>13</xdr:col>
          <xdr:colOff>457200</xdr:colOff>
          <xdr:row>11</xdr:row>
          <xdr:rowOff>45720</xdr:rowOff>
        </xdr:to>
        <xdr:sp macro="" textlink="">
          <xdr:nvSpPr>
            <xdr:cNvPr id="508930" name="Button 2" hidden="1">
              <a:extLst>
                <a:ext uri="{63B3BB69-23CF-44E3-9099-C40C66FF867C}">
                  <a14:compatExt spid="_x0000_s508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525780</xdr:colOff>
          <xdr:row>2</xdr:row>
          <xdr:rowOff>38100</xdr:rowOff>
        </xdr:from>
        <xdr:to>
          <xdr:col>16</xdr:col>
          <xdr:colOff>30480</xdr:colOff>
          <xdr:row>4</xdr:row>
          <xdr:rowOff>160020</xdr:rowOff>
        </xdr:to>
        <xdr:sp macro="" textlink="">
          <xdr:nvSpPr>
            <xdr:cNvPr id="514049" name="Button 1" hidden="1">
              <a:extLst>
                <a:ext uri="{63B3BB69-23CF-44E3-9099-C40C66FF867C}">
                  <a14:compatExt spid="_x0000_s514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106680</xdr:colOff>
          <xdr:row>2</xdr:row>
          <xdr:rowOff>7620</xdr:rowOff>
        </xdr:from>
        <xdr:to>
          <xdr:col>10</xdr:col>
          <xdr:colOff>114300</xdr:colOff>
          <xdr:row>4</xdr:row>
          <xdr:rowOff>129540</xdr:rowOff>
        </xdr:to>
        <xdr:sp macro="" textlink="">
          <xdr:nvSpPr>
            <xdr:cNvPr id="513025" name="Button 1" hidden="1">
              <a:extLst>
                <a:ext uri="{63B3BB69-23CF-44E3-9099-C40C66FF867C}">
                  <a14:compatExt spid="_x0000_s51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22860</xdr:rowOff>
    </xdr:from>
    <xdr:to>
      <xdr:col>1</xdr:col>
      <xdr:colOff>254000</xdr:colOff>
      <xdr:row>5</xdr:row>
      <xdr:rowOff>25400</xdr:rowOff>
    </xdr:to>
    <xdr:sp macro="" textlink="">
      <xdr:nvSpPr>
        <xdr:cNvPr id="2" name="Rectangle 1"/>
        <xdr:cNvSpPr/>
      </xdr:nvSpPr>
      <xdr:spPr>
        <a:xfrm>
          <a:off x="1905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1</xdr:row>
      <xdr:rowOff>22860</xdr:rowOff>
    </xdr:from>
    <xdr:to>
      <xdr:col>14</xdr:col>
      <xdr:colOff>152400</xdr:colOff>
      <xdr:row>5</xdr:row>
      <xdr:rowOff>25400</xdr:rowOff>
    </xdr:to>
    <xdr:sp macro="" textlink="">
      <xdr:nvSpPr>
        <xdr:cNvPr id="3" name="Rectangle 2"/>
        <xdr:cNvSpPr/>
      </xdr:nvSpPr>
      <xdr:spPr>
        <a:xfrm>
          <a:off x="80137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1</xdr:row>
      <xdr:rowOff>35560</xdr:rowOff>
    </xdr:from>
    <xdr:to>
      <xdr:col>0</xdr:col>
      <xdr:colOff>355600</xdr:colOff>
      <xdr:row>3</xdr:row>
      <xdr:rowOff>132080</xdr:rowOff>
    </xdr:to>
    <xdr:sp macro="" textlink="">
      <xdr:nvSpPr>
        <xdr:cNvPr id="4" name="Rectangle 3"/>
        <xdr:cNvSpPr/>
      </xdr:nvSpPr>
      <xdr:spPr>
        <a:xfrm>
          <a:off x="203200" y="203200"/>
          <a:ext cx="152400" cy="4318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Napoléon</a:t>
          </a:r>
        </a:p>
      </xdr:txBody>
    </xdr:sp>
    <xdr:clientData/>
  </xdr:twoCellAnchor>
  <xdr:twoCellAnchor editAs="oneCell">
    <xdr:from>
      <xdr:col>1</xdr:col>
      <xdr:colOff>53340</xdr:colOff>
      <xdr:row>1</xdr:row>
      <xdr:rowOff>38100</xdr:rowOff>
    </xdr:from>
    <xdr:to>
      <xdr:col>1</xdr:col>
      <xdr:colOff>251460</xdr:colOff>
      <xdr:row>2</xdr:row>
      <xdr:rowOff>68580</xdr:rowOff>
    </xdr:to>
    <xdr:pic>
      <xdr:nvPicPr>
        <xdr:cNvPr id="810969" name="Picture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" y="205740"/>
          <a:ext cx="19812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1</xdr:row>
      <xdr:rowOff>83820</xdr:rowOff>
    </xdr:from>
    <xdr:to>
      <xdr:col>1</xdr:col>
      <xdr:colOff>175260</xdr:colOff>
      <xdr:row>4</xdr:row>
      <xdr:rowOff>144780</xdr:rowOff>
    </xdr:to>
    <xdr:pic>
      <xdr:nvPicPr>
        <xdr:cNvPr id="810970" name="Picture 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51460"/>
          <a:ext cx="55626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3</xdr:row>
      <xdr:rowOff>132080</xdr:rowOff>
    </xdr:from>
    <xdr:to>
      <xdr:col>0</xdr:col>
      <xdr:colOff>381000</xdr:colOff>
      <xdr:row>5</xdr:row>
      <xdr:rowOff>0</xdr:rowOff>
    </xdr:to>
    <xdr:sp macro="" textlink="">
      <xdr:nvSpPr>
        <xdr:cNvPr id="7" name="Rectangle 6"/>
        <xdr:cNvSpPr/>
      </xdr:nvSpPr>
      <xdr:spPr>
        <a:xfrm>
          <a:off x="228600" y="6350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406400</xdr:colOff>
      <xdr:row>4</xdr:row>
      <xdr:rowOff>15240</xdr:rowOff>
    </xdr:from>
    <xdr:to>
      <xdr:col>0</xdr:col>
      <xdr:colOff>584200</xdr:colOff>
      <xdr:row>4</xdr:row>
      <xdr:rowOff>142240</xdr:rowOff>
    </xdr:to>
    <xdr:sp macro="" textlink="">
      <xdr:nvSpPr>
        <xdr:cNvPr id="8" name="Rectangle 7"/>
        <xdr:cNvSpPr/>
      </xdr:nvSpPr>
      <xdr:spPr>
        <a:xfrm>
          <a:off x="406400" y="6858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1</xdr:col>
      <xdr:colOff>0</xdr:colOff>
      <xdr:row>3</xdr:row>
      <xdr:rowOff>132080</xdr:rowOff>
    </xdr:from>
    <xdr:to>
      <xdr:col>1</xdr:col>
      <xdr:colOff>228600</xdr:colOff>
      <xdr:row>5</xdr:row>
      <xdr:rowOff>0</xdr:rowOff>
    </xdr:to>
    <xdr:sp macro="" textlink="">
      <xdr:nvSpPr>
        <xdr:cNvPr id="9" name="Rectangle 8"/>
        <xdr:cNvSpPr/>
      </xdr:nvSpPr>
      <xdr:spPr>
        <a:xfrm>
          <a:off x="609600" y="6350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+4</a:t>
          </a:r>
        </a:p>
      </xdr:txBody>
    </xdr:sp>
    <xdr:clientData/>
  </xdr:twoCellAnchor>
  <xdr:twoCellAnchor editAs="oneCell">
    <xdr:from>
      <xdr:col>13</xdr:col>
      <xdr:colOff>99060</xdr:colOff>
      <xdr:row>1</xdr:row>
      <xdr:rowOff>38100</xdr:rowOff>
    </xdr:from>
    <xdr:to>
      <xdr:col>14</xdr:col>
      <xdr:colOff>152400</xdr:colOff>
      <xdr:row>5</xdr:row>
      <xdr:rowOff>22860</xdr:rowOff>
    </xdr:to>
    <xdr:pic>
      <xdr:nvPicPr>
        <xdr:cNvPr id="810974" name="Picture 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2057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1</xdr:row>
      <xdr:rowOff>22860</xdr:rowOff>
    </xdr:from>
    <xdr:to>
      <xdr:col>2</xdr:col>
      <xdr:colOff>317500</xdr:colOff>
      <xdr:row>5</xdr:row>
      <xdr:rowOff>25400</xdr:rowOff>
    </xdr:to>
    <xdr:sp macro="" textlink="">
      <xdr:nvSpPr>
        <xdr:cNvPr id="11" name="Rectangle 10"/>
        <xdr:cNvSpPr/>
      </xdr:nvSpPr>
      <xdr:spPr>
        <a:xfrm>
          <a:off x="8636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1</xdr:row>
      <xdr:rowOff>22860</xdr:rowOff>
    </xdr:from>
    <xdr:to>
      <xdr:col>13</xdr:col>
      <xdr:colOff>88900</xdr:colOff>
      <xdr:row>5</xdr:row>
      <xdr:rowOff>25400</xdr:rowOff>
    </xdr:to>
    <xdr:sp macro="" textlink="">
      <xdr:nvSpPr>
        <xdr:cNvPr id="12" name="Rectangle 11"/>
        <xdr:cNvSpPr/>
      </xdr:nvSpPr>
      <xdr:spPr>
        <a:xfrm>
          <a:off x="73406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1</xdr:row>
      <xdr:rowOff>35560</xdr:rowOff>
    </xdr:from>
    <xdr:to>
      <xdr:col>1</xdr:col>
      <xdr:colOff>419100</xdr:colOff>
      <xdr:row>3</xdr:row>
      <xdr:rowOff>132080</xdr:rowOff>
    </xdr:to>
    <xdr:sp macro="" textlink="">
      <xdr:nvSpPr>
        <xdr:cNvPr id="13" name="Rectangle 12"/>
        <xdr:cNvSpPr/>
      </xdr:nvSpPr>
      <xdr:spPr>
        <a:xfrm>
          <a:off x="876300" y="203200"/>
          <a:ext cx="152400" cy="4318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Rapp</a:t>
          </a:r>
        </a:p>
      </xdr:txBody>
    </xdr:sp>
    <xdr:clientData/>
  </xdr:twoCellAnchor>
  <xdr:twoCellAnchor editAs="oneCell">
    <xdr:from>
      <xdr:col>2</xdr:col>
      <xdr:colOff>114300</xdr:colOff>
      <xdr:row>1</xdr:row>
      <xdr:rowOff>38100</xdr:rowOff>
    </xdr:from>
    <xdr:to>
      <xdr:col>2</xdr:col>
      <xdr:colOff>320040</xdr:colOff>
      <xdr:row>2</xdr:row>
      <xdr:rowOff>68580</xdr:rowOff>
    </xdr:to>
    <xdr:pic>
      <xdr:nvPicPr>
        <xdr:cNvPr id="810978" name="Picture 1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05740"/>
          <a:ext cx="20574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289560</xdr:colOff>
      <xdr:row>1</xdr:row>
      <xdr:rowOff>83820</xdr:rowOff>
    </xdr:from>
    <xdr:to>
      <xdr:col>2</xdr:col>
      <xdr:colOff>243840</xdr:colOff>
      <xdr:row>4</xdr:row>
      <xdr:rowOff>144780</xdr:rowOff>
    </xdr:to>
    <xdr:pic>
      <xdr:nvPicPr>
        <xdr:cNvPr id="810979" name="Picture 1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160" y="251460"/>
          <a:ext cx="56388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292100</xdr:colOff>
      <xdr:row>3</xdr:row>
      <xdr:rowOff>132080</xdr:rowOff>
    </xdr:from>
    <xdr:to>
      <xdr:col>1</xdr:col>
      <xdr:colOff>444500</xdr:colOff>
      <xdr:row>5</xdr:row>
      <xdr:rowOff>0</xdr:rowOff>
    </xdr:to>
    <xdr:sp macro="" textlink="">
      <xdr:nvSpPr>
        <xdr:cNvPr id="16" name="Rectangle 15"/>
        <xdr:cNvSpPr/>
      </xdr:nvSpPr>
      <xdr:spPr>
        <a:xfrm>
          <a:off x="901700" y="6350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469900</xdr:colOff>
      <xdr:row>4</xdr:row>
      <xdr:rowOff>15240</xdr:rowOff>
    </xdr:from>
    <xdr:to>
      <xdr:col>2</xdr:col>
      <xdr:colOff>38100</xdr:colOff>
      <xdr:row>4</xdr:row>
      <xdr:rowOff>142240</xdr:rowOff>
    </xdr:to>
    <xdr:sp macro="" textlink="">
      <xdr:nvSpPr>
        <xdr:cNvPr id="17" name="Rectangle 16"/>
        <xdr:cNvSpPr/>
      </xdr:nvSpPr>
      <xdr:spPr>
        <a:xfrm>
          <a:off x="1079500" y="6858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</a:t>
          </a:r>
        </a:p>
      </xdr:txBody>
    </xdr:sp>
    <xdr:clientData/>
  </xdr:twoCellAnchor>
  <xdr:twoCellAnchor editAs="absolute">
    <xdr:from>
      <xdr:col>2</xdr:col>
      <xdr:colOff>63500</xdr:colOff>
      <xdr:row>3</xdr:row>
      <xdr:rowOff>132080</xdr:rowOff>
    </xdr:from>
    <xdr:to>
      <xdr:col>2</xdr:col>
      <xdr:colOff>292100</xdr:colOff>
      <xdr:row>5</xdr:row>
      <xdr:rowOff>0</xdr:rowOff>
    </xdr:to>
    <xdr:sp macro="" textlink="">
      <xdr:nvSpPr>
        <xdr:cNvPr id="18" name="Rectangle 17"/>
        <xdr:cNvSpPr/>
      </xdr:nvSpPr>
      <xdr:spPr>
        <a:xfrm>
          <a:off x="1282700" y="6350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+1</a:t>
          </a:r>
        </a:p>
      </xdr:txBody>
    </xdr:sp>
    <xdr:clientData/>
  </xdr:twoCellAnchor>
  <xdr:twoCellAnchor editAs="oneCell">
    <xdr:from>
      <xdr:col>12</xdr:col>
      <xdr:colOff>38100</xdr:colOff>
      <xdr:row>1</xdr:row>
      <xdr:rowOff>38100</xdr:rowOff>
    </xdr:from>
    <xdr:to>
      <xdr:col>13</xdr:col>
      <xdr:colOff>91440</xdr:colOff>
      <xdr:row>5</xdr:row>
      <xdr:rowOff>22860</xdr:rowOff>
    </xdr:to>
    <xdr:pic>
      <xdr:nvPicPr>
        <xdr:cNvPr id="810983" name="Picture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2057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1</xdr:row>
      <xdr:rowOff>22860</xdr:rowOff>
    </xdr:from>
    <xdr:to>
      <xdr:col>3</xdr:col>
      <xdr:colOff>381000</xdr:colOff>
      <xdr:row>5</xdr:row>
      <xdr:rowOff>25400</xdr:rowOff>
    </xdr:to>
    <xdr:sp macro="" textlink="">
      <xdr:nvSpPr>
        <xdr:cNvPr id="20" name="Rectangle 19"/>
        <xdr:cNvSpPr/>
      </xdr:nvSpPr>
      <xdr:spPr>
        <a:xfrm>
          <a:off x="15367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1</xdr:row>
      <xdr:rowOff>22860</xdr:rowOff>
    </xdr:from>
    <xdr:to>
      <xdr:col>12</xdr:col>
      <xdr:colOff>25400</xdr:colOff>
      <xdr:row>5</xdr:row>
      <xdr:rowOff>25400</xdr:rowOff>
    </xdr:to>
    <xdr:sp macro="" textlink="">
      <xdr:nvSpPr>
        <xdr:cNvPr id="21" name="Rectangle 20"/>
        <xdr:cNvSpPr/>
      </xdr:nvSpPr>
      <xdr:spPr>
        <a:xfrm>
          <a:off x="66675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1</xdr:row>
      <xdr:rowOff>35560</xdr:rowOff>
    </xdr:from>
    <xdr:to>
      <xdr:col>3</xdr:col>
      <xdr:colOff>381000</xdr:colOff>
      <xdr:row>2</xdr:row>
      <xdr:rowOff>20320</xdr:rowOff>
    </xdr:to>
    <xdr:sp macro="" textlink="">
      <xdr:nvSpPr>
        <xdr:cNvPr id="22" name="Rectangle 21"/>
        <xdr:cNvSpPr/>
      </xdr:nvSpPr>
      <xdr:spPr>
        <a:xfrm>
          <a:off x="1549400" y="2032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II</a:t>
          </a:r>
        </a:p>
      </xdr:txBody>
    </xdr:sp>
    <xdr:clientData/>
  </xdr:twoCellAnchor>
  <xdr:twoCellAnchor editAs="absolute">
    <xdr:from>
      <xdr:col>3</xdr:col>
      <xdr:colOff>203200</xdr:colOff>
      <xdr:row>1</xdr:row>
      <xdr:rowOff>35560</xdr:rowOff>
    </xdr:from>
    <xdr:to>
      <xdr:col>3</xdr:col>
      <xdr:colOff>381000</xdr:colOff>
      <xdr:row>2</xdr:row>
      <xdr:rowOff>20320</xdr:rowOff>
    </xdr:to>
    <xdr:sp macro="" textlink="">
      <xdr:nvSpPr>
        <xdr:cNvPr id="23" name="Rectangle 22"/>
        <xdr:cNvSpPr/>
      </xdr:nvSpPr>
      <xdr:spPr>
        <a:xfrm>
          <a:off x="2032000" y="2032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2</xdr:col>
      <xdr:colOff>457200</xdr:colOff>
      <xdr:row>2</xdr:row>
      <xdr:rowOff>45720</xdr:rowOff>
    </xdr:from>
    <xdr:to>
      <xdr:col>3</xdr:col>
      <xdr:colOff>228600</xdr:colOff>
      <xdr:row>4</xdr:row>
      <xdr:rowOff>144780</xdr:rowOff>
    </xdr:to>
    <xdr:pic>
      <xdr:nvPicPr>
        <xdr:cNvPr id="810988" name="Picture 23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3810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3</xdr:row>
      <xdr:rowOff>132080</xdr:rowOff>
    </xdr:from>
    <xdr:to>
      <xdr:col>2</xdr:col>
      <xdr:colOff>533400</xdr:colOff>
      <xdr:row>5</xdr:row>
      <xdr:rowOff>0</xdr:rowOff>
    </xdr:to>
    <xdr:sp macro="" textlink="">
      <xdr:nvSpPr>
        <xdr:cNvPr id="25" name="Rectangle 24"/>
        <xdr:cNvSpPr/>
      </xdr:nvSpPr>
      <xdr:spPr>
        <a:xfrm>
          <a:off x="15748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0</xdr:colOff>
      <xdr:row>3</xdr:row>
      <xdr:rowOff>157480</xdr:rowOff>
    </xdr:from>
    <xdr:to>
      <xdr:col>3</xdr:col>
      <xdr:colOff>152400</xdr:colOff>
      <xdr:row>5</xdr:row>
      <xdr:rowOff>0</xdr:rowOff>
    </xdr:to>
    <xdr:sp macro="" textlink="">
      <xdr:nvSpPr>
        <xdr:cNvPr id="26" name="Rectangle 25"/>
        <xdr:cNvSpPr/>
      </xdr:nvSpPr>
      <xdr:spPr>
        <a:xfrm>
          <a:off x="1828800" y="6604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3</xdr:col>
      <xdr:colOff>152400</xdr:colOff>
      <xdr:row>3</xdr:row>
      <xdr:rowOff>132080</xdr:rowOff>
    </xdr:from>
    <xdr:to>
      <xdr:col>3</xdr:col>
      <xdr:colOff>330200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19812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10</xdr:col>
      <xdr:colOff>586740</xdr:colOff>
      <xdr:row>1</xdr:row>
      <xdr:rowOff>38100</xdr:rowOff>
    </xdr:from>
    <xdr:to>
      <xdr:col>12</xdr:col>
      <xdr:colOff>22860</xdr:colOff>
      <xdr:row>5</xdr:row>
      <xdr:rowOff>22860</xdr:rowOff>
    </xdr:to>
    <xdr:pic>
      <xdr:nvPicPr>
        <xdr:cNvPr id="810992" name="Picture 2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2057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1</xdr:row>
      <xdr:rowOff>22860</xdr:rowOff>
    </xdr:from>
    <xdr:to>
      <xdr:col>4</xdr:col>
      <xdr:colOff>444500</xdr:colOff>
      <xdr:row>5</xdr:row>
      <xdr:rowOff>25400</xdr:rowOff>
    </xdr:to>
    <xdr:sp macro="" textlink="">
      <xdr:nvSpPr>
        <xdr:cNvPr id="29" name="Rectangle 28"/>
        <xdr:cNvSpPr/>
      </xdr:nvSpPr>
      <xdr:spPr>
        <a:xfrm>
          <a:off x="22098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1</xdr:row>
      <xdr:rowOff>22860</xdr:rowOff>
    </xdr:from>
    <xdr:to>
      <xdr:col>10</xdr:col>
      <xdr:colOff>571500</xdr:colOff>
      <xdr:row>5</xdr:row>
      <xdr:rowOff>25400</xdr:rowOff>
    </xdr:to>
    <xdr:sp macro="" textlink="">
      <xdr:nvSpPr>
        <xdr:cNvPr id="30" name="Rectangle 29"/>
        <xdr:cNvSpPr/>
      </xdr:nvSpPr>
      <xdr:spPr>
        <a:xfrm>
          <a:off x="59944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1</xdr:row>
      <xdr:rowOff>35560</xdr:rowOff>
    </xdr:from>
    <xdr:to>
      <xdr:col>4</xdr:col>
      <xdr:colOff>444500</xdr:colOff>
      <xdr:row>2</xdr:row>
      <xdr:rowOff>20320</xdr:rowOff>
    </xdr:to>
    <xdr:sp macro="" textlink="">
      <xdr:nvSpPr>
        <xdr:cNvPr id="31" name="Rectangle 30"/>
        <xdr:cNvSpPr/>
      </xdr:nvSpPr>
      <xdr:spPr>
        <a:xfrm>
          <a:off x="2222500" y="2032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VIII</a:t>
          </a:r>
        </a:p>
      </xdr:txBody>
    </xdr:sp>
    <xdr:clientData/>
  </xdr:twoCellAnchor>
  <xdr:twoCellAnchor editAs="absolute">
    <xdr:from>
      <xdr:col>4</xdr:col>
      <xdr:colOff>266700</xdr:colOff>
      <xdr:row>1</xdr:row>
      <xdr:rowOff>35560</xdr:rowOff>
    </xdr:from>
    <xdr:to>
      <xdr:col>4</xdr:col>
      <xdr:colOff>444500</xdr:colOff>
      <xdr:row>2</xdr:row>
      <xdr:rowOff>20320</xdr:rowOff>
    </xdr:to>
    <xdr:sp macro="" textlink="">
      <xdr:nvSpPr>
        <xdr:cNvPr id="32" name="Rectangle 31"/>
        <xdr:cNvSpPr/>
      </xdr:nvSpPr>
      <xdr:spPr>
        <a:xfrm>
          <a:off x="2705100" y="2032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Pol</a:t>
          </a:r>
        </a:p>
      </xdr:txBody>
    </xdr:sp>
    <xdr:clientData/>
  </xdr:twoCellAnchor>
  <xdr:twoCellAnchor editAs="oneCell">
    <xdr:from>
      <xdr:col>3</xdr:col>
      <xdr:colOff>518160</xdr:colOff>
      <xdr:row>2</xdr:row>
      <xdr:rowOff>45720</xdr:rowOff>
    </xdr:from>
    <xdr:to>
      <xdr:col>4</xdr:col>
      <xdr:colOff>289560</xdr:colOff>
      <xdr:row>4</xdr:row>
      <xdr:rowOff>144780</xdr:rowOff>
    </xdr:to>
    <xdr:pic>
      <xdr:nvPicPr>
        <xdr:cNvPr id="810997" name="Picture 32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6960" y="3810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419100</xdr:colOff>
      <xdr:row>3</xdr:row>
      <xdr:rowOff>132080</xdr:rowOff>
    </xdr:from>
    <xdr:to>
      <xdr:col>3</xdr:col>
      <xdr:colOff>596900</xdr:colOff>
      <xdr:row>5</xdr:row>
      <xdr:rowOff>0</xdr:rowOff>
    </xdr:to>
    <xdr:sp macro="" textlink="">
      <xdr:nvSpPr>
        <xdr:cNvPr id="34" name="Rectangle 33"/>
        <xdr:cNvSpPr/>
      </xdr:nvSpPr>
      <xdr:spPr>
        <a:xfrm>
          <a:off x="22479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63500</xdr:colOff>
      <xdr:row>3</xdr:row>
      <xdr:rowOff>157480</xdr:rowOff>
    </xdr:from>
    <xdr:to>
      <xdr:col>4</xdr:col>
      <xdr:colOff>215900</xdr:colOff>
      <xdr:row>5</xdr:row>
      <xdr:rowOff>0</xdr:rowOff>
    </xdr:to>
    <xdr:sp macro="" textlink="">
      <xdr:nvSpPr>
        <xdr:cNvPr id="35" name="Rectangle 34"/>
        <xdr:cNvSpPr/>
      </xdr:nvSpPr>
      <xdr:spPr>
        <a:xfrm>
          <a:off x="2501900" y="6604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4</xdr:col>
      <xdr:colOff>215900</xdr:colOff>
      <xdr:row>3</xdr:row>
      <xdr:rowOff>132080</xdr:rowOff>
    </xdr:from>
    <xdr:to>
      <xdr:col>4</xdr:col>
      <xdr:colOff>393700</xdr:colOff>
      <xdr:row>5</xdr:row>
      <xdr:rowOff>0</xdr:rowOff>
    </xdr:to>
    <xdr:sp macro="" textlink="">
      <xdr:nvSpPr>
        <xdr:cNvPr id="36" name="Rectangle 35"/>
        <xdr:cNvSpPr/>
      </xdr:nvSpPr>
      <xdr:spPr>
        <a:xfrm>
          <a:off x="26543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9</xdr:col>
      <xdr:colOff>518160</xdr:colOff>
      <xdr:row>1</xdr:row>
      <xdr:rowOff>38100</xdr:rowOff>
    </xdr:from>
    <xdr:to>
      <xdr:col>10</xdr:col>
      <xdr:colOff>571500</xdr:colOff>
      <xdr:row>5</xdr:row>
      <xdr:rowOff>22860</xdr:rowOff>
    </xdr:to>
    <xdr:pic>
      <xdr:nvPicPr>
        <xdr:cNvPr id="811001" name="Picture 3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2057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1</xdr:row>
      <xdr:rowOff>22860</xdr:rowOff>
    </xdr:from>
    <xdr:to>
      <xdr:col>5</xdr:col>
      <xdr:colOff>508000</xdr:colOff>
      <xdr:row>5</xdr:row>
      <xdr:rowOff>25400</xdr:rowOff>
    </xdr:to>
    <xdr:sp macro="" textlink="">
      <xdr:nvSpPr>
        <xdr:cNvPr id="38" name="Rectangle 37"/>
        <xdr:cNvSpPr/>
      </xdr:nvSpPr>
      <xdr:spPr>
        <a:xfrm>
          <a:off x="28829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1</xdr:row>
      <xdr:rowOff>22860</xdr:rowOff>
    </xdr:from>
    <xdr:to>
      <xdr:col>9</xdr:col>
      <xdr:colOff>508000</xdr:colOff>
      <xdr:row>5</xdr:row>
      <xdr:rowOff>25400</xdr:rowOff>
    </xdr:to>
    <xdr:sp macro="" textlink="">
      <xdr:nvSpPr>
        <xdr:cNvPr id="39" name="Rectangle 38"/>
        <xdr:cNvSpPr/>
      </xdr:nvSpPr>
      <xdr:spPr>
        <a:xfrm>
          <a:off x="53213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1</xdr:row>
      <xdr:rowOff>35560</xdr:rowOff>
    </xdr:from>
    <xdr:to>
      <xdr:col>5</xdr:col>
      <xdr:colOff>508000</xdr:colOff>
      <xdr:row>2</xdr:row>
      <xdr:rowOff>20320</xdr:rowOff>
    </xdr:to>
    <xdr:sp macro="" textlink="">
      <xdr:nvSpPr>
        <xdr:cNvPr id="40" name="Rectangle 39"/>
        <xdr:cNvSpPr/>
      </xdr:nvSpPr>
      <xdr:spPr>
        <a:xfrm>
          <a:off x="2895600" y="2032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IC</a:t>
          </a:r>
        </a:p>
      </xdr:txBody>
    </xdr:sp>
    <xdr:clientData/>
  </xdr:twoCellAnchor>
  <xdr:twoCellAnchor editAs="absolute">
    <xdr:from>
      <xdr:col>5</xdr:col>
      <xdr:colOff>330200</xdr:colOff>
      <xdr:row>1</xdr:row>
      <xdr:rowOff>35560</xdr:rowOff>
    </xdr:from>
    <xdr:to>
      <xdr:col>5</xdr:col>
      <xdr:colOff>508000</xdr:colOff>
      <xdr:row>2</xdr:row>
      <xdr:rowOff>20320</xdr:rowOff>
    </xdr:to>
    <xdr:sp macro="" textlink="">
      <xdr:nvSpPr>
        <xdr:cNvPr id="41" name="Rectangle 40"/>
        <xdr:cNvSpPr/>
      </xdr:nvSpPr>
      <xdr:spPr>
        <a:xfrm>
          <a:off x="3378200" y="2032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4</xdr:col>
      <xdr:colOff>586740</xdr:colOff>
      <xdr:row>2</xdr:row>
      <xdr:rowOff>22860</xdr:rowOff>
    </xdr:from>
    <xdr:to>
      <xdr:col>5</xdr:col>
      <xdr:colOff>358140</xdr:colOff>
      <xdr:row>4</xdr:row>
      <xdr:rowOff>114300</xdr:rowOff>
    </xdr:to>
    <xdr:pic>
      <xdr:nvPicPr>
        <xdr:cNvPr id="811006" name="Picture 41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3581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457200</xdr:colOff>
      <xdr:row>2</xdr:row>
      <xdr:rowOff>147320</xdr:rowOff>
    </xdr:from>
    <xdr:to>
      <xdr:col>5</xdr:col>
      <xdr:colOff>25400</xdr:colOff>
      <xdr:row>4</xdr:row>
      <xdr:rowOff>15240</xdr:rowOff>
    </xdr:to>
    <xdr:sp macro="" textlink="">
      <xdr:nvSpPr>
        <xdr:cNvPr id="43" name="Rectangle 42"/>
        <xdr:cNvSpPr/>
      </xdr:nvSpPr>
      <xdr:spPr>
        <a:xfrm>
          <a:off x="2895600" y="4826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482600</xdr:colOff>
      <xdr:row>3</xdr:row>
      <xdr:rowOff>157480</xdr:rowOff>
    </xdr:from>
    <xdr:to>
      <xdr:col>5</xdr:col>
      <xdr:colOff>25400</xdr:colOff>
      <xdr:row>5</xdr:row>
      <xdr:rowOff>0</xdr:rowOff>
    </xdr:to>
    <xdr:sp macro="" textlink="">
      <xdr:nvSpPr>
        <xdr:cNvPr id="44" name="Rectangle 43"/>
        <xdr:cNvSpPr/>
      </xdr:nvSpPr>
      <xdr:spPr>
        <a:xfrm>
          <a:off x="2921000" y="6604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5</xdr:col>
      <xdr:colOff>330200</xdr:colOff>
      <xdr:row>3</xdr:row>
      <xdr:rowOff>132080</xdr:rowOff>
    </xdr:from>
    <xdr:to>
      <xdr:col>5</xdr:col>
      <xdr:colOff>508000</xdr:colOff>
      <xdr:row>5</xdr:row>
      <xdr:rowOff>0</xdr:rowOff>
    </xdr:to>
    <xdr:sp macro="" textlink="">
      <xdr:nvSpPr>
        <xdr:cNvPr id="45" name="Rectangle 44"/>
        <xdr:cNvSpPr/>
      </xdr:nvSpPr>
      <xdr:spPr>
        <a:xfrm>
          <a:off x="33782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8</xdr:col>
      <xdr:colOff>457200</xdr:colOff>
      <xdr:row>1</xdr:row>
      <xdr:rowOff>38100</xdr:rowOff>
    </xdr:from>
    <xdr:to>
      <xdr:col>9</xdr:col>
      <xdr:colOff>510540</xdr:colOff>
      <xdr:row>5</xdr:row>
      <xdr:rowOff>22860</xdr:rowOff>
    </xdr:to>
    <xdr:pic>
      <xdr:nvPicPr>
        <xdr:cNvPr id="812034" name="Picture 4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2057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1</xdr:row>
      <xdr:rowOff>22860</xdr:rowOff>
    </xdr:from>
    <xdr:to>
      <xdr:col>6</xdr:col>
      <xdr:colOff>571500</xdr:colOff>
      <xdr:row>5</xdr:row>
      <xdr:rowOff>25400</xdr:rowOff>
    </xdr:to>
    <xdr:sp macro="" textlink="">
      <xdr:nvSpPr>
        <xdr:cNvPr id="47" name="Rectangle 46"/>
        <xdr:cNvSpPr/>
      </xdr:nvSpPr>
      <xdr:spPr>
        <a:xfrm>
          <a:off x="35560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1</xdr:row>
      <xdr:rowOff>22860</xdr:rowOff>
    </xdr:from>
    <xdr:to>
      <xdr:col>8</xdr:col>
      <xdr:colOff>444500</xdr:colOff>
      <xdr:row>5</xdr:row>
      <xdr:rowOff>25400</xdr:rowOff>
    </xdr:to>
    <xdr:sp macro="" textlink="">
      <xdr:nvSpPr>
        <xdr:cNvPr id="48" name="Rectangle 47"/>
        <xdr:cNvSpPr/>
      </xdr:nvSpPr>
      <xdr:spPr>
        <a:xfrm>
          <a:off x="4648200" y="1905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1</xdr:row>
      <xdr:rowOff>35560</xdr:rowOff>
    </xdr:from>
    <xdr:to>
      <xdr:col>6</xdr:col>
      <xdr:colOff>571500</xdr:colOff>
      <xdr:row>2</xdr:row>
      <xdr:rowOff>20320</xdr:rowOff>
    </xdr:to>
    <xdr:sp macro="" textlink="">
      <xdr:nvSpPr>
        <xdr:cNvPr id="49" name="Rectangle 48"/>
        <xdr:cNvSpPr/>
      </xdr:nvSpPr>
      <xdr:spPr>
        <a:xfrm>
          <a:off x="3568700" y="2032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IIC</a:t>
          </a:r>
        </a:p>
      </xdr:txBody>
    </xdr:sp>
    <xdr:clientData/>
  </xdr:twoCellAnchor>
  <xdr:twoCellAnchor editAs="absolute">
    <xdr:from>
      <xdr:col>6</xdr:col>
      <xdr:colOff>393700</xdr:colOff>
      <xdr:row>1</xdr:row>
      <xdr:rowOff>35560</xdr:rowOff>
    </xdr:from>
    <xdr:to>
      <xdr:col>6</xdr:col>
      <xdr:colOff>571500</xdr:colOff>
      <xdr:row>2</xdr:row>
      <xdr:rowOff>20320</xdr:rowOff>
    </xdr:to>
    <xdr:sp macro="" textlink="">
      <xdr:nvSpPr>
        <xdr:cNvPr id="50" name="Rectangle 49"/>
        <xdr:cNvSpPr/>
      </xdr:nvSpPr>
      <xdr:spPr>
        <a:xfrm>
          <a:off x="4051300" y="2032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6</xdr:col>
      <xdr:colOff>38100</xdr:colOff>
      <xdr:row>2</xdr:row>
      <xdr:rowOff>22860</xdr:rowOff>
    </xdr:from>
    <xdr:to>
      <xdr:col>6</xdr:col>
      <xdr:colOff>419100</xdr:colOff>
      <xdr:row>4</xdr:row>
      <xdr:rowOff>114300</xdr:rowOff>
    </xdr:to>
    <xdr:pic>
      <xdr:nvPicPr>
        <xdr:cNvPr id="812039" name="Picture 50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3581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520700</xdr:colOff>
      <xdr:row>2</xdr:row>
      <xdr:rowOff>147320</xdr:rowOff>
    </xdr:from>
    <xdr:to>
      <xdr:col>6</xdr:col>
      <xdr:colOff>88900</xdr:colOff>
      <xdr:row>4</xdr:row>
      <xdr:rowOff>15240</xdr:rowOff>
    </xdr:to>
    <xdr:sp macro="" textlink="">
      <xdr:nvSpPr>
        <xdr:cNvPr id="52" name="Rectangle 51"/>
        <xdr:cNvSpPr/>
      </xdr:nvSpPr>
      <xdr:spPr>
        <a:xfrm>
          <a:off x="3568700" y="4826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546100</xdr:colOff>
      <xdr:row>3</xdr:row>
      <xdr:rowOff>157480</xdr:rowOff>
    </xdr:from>
    <xdr:to>
      <xdr:col>6</xdr:col>
      <xdr:colOff>88900</xdr:colOff>
      <xdr:row>5</xdr:row>
      <xdr:rowOff>0</xdr:rowOff>
    </xdr:to>
    <xdr:sp macro="" textlink="">
      <xdr:nvSpPr>
        <xdr:cNvPr id="53" name="Rectangle 52"/>
        <xdr:cNvSpPr/>
      </xdr:nvSpPr>
      <xdr:spPr>
        <a:xfrm>
          <a:off x="3594100" y="6604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6</xdr:col>
      <xdr:colOff>393700</xdr:colOff>
      <xdr:row>3</xdr:row>
      <xdr:rowOff>132080</xdr:rowOff>
    </xdr:from>
    <xdr:to>
      <xdr:col>6</xdr:col>
      <xdr:colOff>571500</xdr:colOff>
      <xdr:row>5</xdr:row>
      <xdr:rowOff>0</xdr:rowOff>
    </xdr:to>
    <xdr:sp macro="" textlink="">
      <xdr:nvSpPr>
        <xdr:cNvPr id="54" name="Rectangle 53"/>
        <xdr:cNvSpPr/>
      </xdr:nvSpPr>
      <xdr:spPr>
        <a:xfrm>
          <a:off x="4051300" y="6350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7</xdr:col>
      <xdr:colOff>396240</xdr:colOff>
      <xdr:row>1</xdr:row>
      <xdr:rowOff>38100</xdr:rowOff>
    </xdr:from>
    <xdr:to>
      <xdr:col>8</xdr:col>
      <xdr:colOff>441960</xdr:colOff>
      <xdr:row>5</xdr:row>
      <xdr:rowOff>22860</xdr:rowOff>
    </xdr:to>
    <xdr:pic>
      <xdr:nvPicPr>
        <xdr:cNvPr id="812043" name="Picture 5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2057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5</xdr:row>
      <xdr:rowOff>25400</xdr:rowOff>
    </xdr:from>
    <xdr:to>
      <xdr:col>1</xdr:col>
      <xdr:colOff>254000</xdr:colOff>
      <xdr:row>9</xdr:row>
      <xdr:rowOff>27940</xdr:rowOff>
    </xdr:to>
    <xdr:sp macro="" textlink="">
      <xdr:nvSpPr>
        <xdr:cNvPr id="56" name="Rectangle 55"/>
        <xdr:cNvSpPr/>
      </xdr:nvSpPr>
      <xdr:spPr>
        <a:xfrm>
          <a:off x="1905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5</xdr:row>
      <xdr:rowOff>25400</xdr:rowOff>
    </xdr:from>
    <xdr:to>
      <xdr:col>14</xdr:col>
      <xdr:colOff>152400</xdr:colOff>
      <xdr:row>9</xdr:row>
      <xdr:rowOff>27940</xdr:rowOff>
    </xdr:to>
    <xdr:sp macro="" textlink="">
      <xdr:nvSpPr>
        <xdr:cNvPr id="57" name="Rectangle 56"/>
        <xdr:cNvSpPr/>
      </xdr:nvSpPr>
      <xdr:spPr>
        <a:xfrm>
          <a:off x="80137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5</xdr:row>
      <xdr:rowOff>38100</xdr:rowOff>
    </xdr:from>
    <xdr:to>
      <xdr:col>1</xdr:col>
      <xdr:colOff>254000</xdr:colOff>
      <xdr:row>6</xdr:row>
      <xdr:rowOff>22860</xdr:rowOff>
    </xdr:to>
    <xdr:sp macro="" textlink="">
      <xdr:nvSpPr>
        <xdr:cNvPr id="58" name="Rectangle 57"/>
        <xdr:cNvSpPr/>
      </xdr:nvSpPr>
      <xdr:spPr>
        <a:xfrm>
          <a:off x="2032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VG</a:t>
          </a:r>
        </a:p>
      </xdr:txBody>
    </xdr:sp>
    <xdr:clientData/>
  </xdr:twoCellAnchor>
  <xdr:twoCellAnchor editAs="absolute">
    <xdr:from>
      <xdr:col>1</xdr:col>
      <xdr:colOff>76200</xdr:colOff>
      <xdr:row>5</xdr:row>
      <xdr:rowOff>38100</xdr:rowOff>
    </xdr:from>
    <xdr:to>
      <xdr:col>1</xdr:col>
      <xdr:colOff>254000</xdr:colOff>
      <xdr:row>6</xdr:row>
      <xdr:rowOff>22860</xdr:rowOff>
    </xdr:to>
    <xdr:sp macro="" textlink="">
      <xdr:nvSpPr>
        <xdr:cNvPr id="59" name="Rectangle 58"/>
        <xdr:cNvSpPr/>
      </xdr:nvSpPr>
      <xdr:spPr>
        <a:xfrm>
          <a:off x="6858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GD</a:t>
          </a:r>
        </a:p>
      </xdr:txBody>
    </xdr:sp>
    <xdr:clientData/>
  </xdr:twoCellAnchor>
  <xdr:twoCellAnchor editAs="oneCell">
    <xdr:from>
      <xdr:col>0</xdr:col>
      <xdr:colOff>327660</xdr:colOff>
      <xdr:row>6</xdr:row>
      <xdr:rowOff>45720</xdr:rowOff>
    </xdr:from>
    <xdr:to>
      <xdr:col>1</xdr:col>
      <xdr:colOff>99060</xdr:colOff>
      <xdr:row>8</xdr:row>
      <xdr:rowOff>144780</xdr:rowOff>
    </xdr:to>
    <xdr:pic>
      <xdr:nvPicPr>
        <xdr:cNvPr id="812048" name="Picture 59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0515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7</xdr:row>
      <xdr:rowOff>134620</xdr:rowOff>
    </xdr:from>
    <xdr:to>
      <xdr:col>0</xdr:col>
      <xdr:colOff>406400</xdr:colOff>
      <xdr:row>9</xdr:row>
      <xdr:rowOff>2540</xdr:rowOff>
    </xdr:to>
    <xdr:sp macro="" textlink="">
      <xdr:nvSpPr>
        <xdr:cNvPr id="61" name="Rectangle 60"/>
        <xdr:cNvSpPr/>
      </xdr:nvSpPr>
      <xdr:spPr>
        <a:xfrm>
          <a:off x="2286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482600</xdr:colOff>
      <xdr:row>7</xdr:row>
      <xdr:rowOff>160020</xdr:rowOff>
    </xdr:from>
    <xdr:to>
      <xdr:col>1</xdr:col>
      <xdr:colOff>25400</xdr:colOff>
      <xdr:row>9</xdr:row>
      <xdr:rowOff>2540</xdr:rowOff>
    </xdr:to>
    <xdr:sp macro="" textlink="">
      <xdr:nvSpPr>
        <xdr:cNvPr id="62" name="Rectangle 61"/>
        <xdr:cNvSpPr/>
      </xdr:nvSpPr>
      <xdr:spPr>
        <a:xfrm>
          <a:off x="4826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25400</xdr:colOff>
      <xdr:row>7</xdr:row>
      <xdr:rowOff>134620</xdr:rowOff>
    </xdr:from>
    <xdr:to>
      <xdr:col>1</xdr:col>
      <xdr:colOff>203200</xdr:colOff>
      <xdr:row>9</xdr:row>
      <xdr:rowOff>2540</xdr:rowOff>
    </xdr:to>
    <xdr:sp macro="" textlink="">
      <xdr:nvSpPr>
        <xdr:cNvPr id="63" name="Rectangle 62"/>
        <xdr:cNvSpPr/>
      </xdr:nvSpPr>
      <xdr:spPr>
        <a:xfrm>
          <a:off x="6350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13</xdr:col>
      <xdr:colOff>99060</xdr:colOff>
      <xdr:row>5</xdr:row>
      <xdr:rowOff>38100</xdr:rowOff>
    </xdr:from>
    <xdr:to>
      <xdr:col>14</xdr:col>
      <xdr:colOff>152400</xdr:colOff>
      <xdr:row>9</xdr:row>
      <xdr:rowOff>30480</xdr:rowOff>
    </xdr:to>
    <xdr:pic>
      <xdr:nvPicPr>
        <xdr:cNvPr id="812052" name="Picture 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8763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5</xdr:row>
      <xdr:rowOff>25400</xdr:rowOff>
    </xdr:from>
    <xdr:to>
      <xdr:col>2</xdr:col>
      <xdr:colOff>317500</xdr:colOff>
      <xdr:row>9</xdr:row>
      <xdr:rowOff>27940</xdr:rowOff>
    </xdr:to>
    <xdr:sp macro="" textlink="">
      <xdr:nvSpPr>
        <xdr:cNvPr id="65" name="Rectangle 64"/>
        <xdr:cNvSpPr/>
      </xdr:nvSpPr>
      <xdr:spPr>
        <a:xfrm>
          <a:off x="8636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13</xdr:col>
      <xdr:colOff>88900</xdr:colOff>
      <xdr:row>9</xdr:row>
      <xdr:rowOff>27940</xdr:rowOff>
    </xdr:to>
    <xdr:sp macro="" textlink="">
      <xdr:nvSpPr>
        <xdr:cNvPr id="66" name="Rectangle 65"/>
        <xdr:cNvSpPr/>
      </xdr:nvSpPr>
      <xdr:spPr>
        <a:xfrm>
          <a:off x="73406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5</xdr:row>
      <xdr:rowOff>38100</xdr:rowOff>
    </xdr:from>
    <xdr:to>
      <xdr:col>2</xdr:col>
      <xdr:colOff>317500</xdr:colOff>
      <xdr:row>6</xdr:row>
      <xdr:rowOff>22860</xdr:rowOff>
    </xdr:to>
    <xdr:sp macro="" textlink="">
      <xdr:nvSpPr>
        <xdr:cNvPr id="67" name="Rectangle 66"/>
        <xdr:cNvSpPr/>
      </xdr:nvSpPr>
      <xdr:spPr>
        <a:xfrm>
          <a:off x="8763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CG</a:t>
          </a:r>
        </a:p>
      </xdr:txBody>
    </xdr:sp>
    <xdr:clientData/>
  </xdr:twoCellAnchor>
  <xdr:twoCellAnchor editAs="absolute">
    <xdr:from>
      <xdr:col>2</xdr:col>
      <xdr:colOff>139700</xdr:colOff>
      <xdr:row>5</xdr:row>
      <xdr:rowOff>38100</xdr:rowOff>
    </xdr:from>
    <xdr:to>
      <xdr:col>2</xdr:col>
      <xdr:colOff>317500</xdr:colOff>
      <xdr:row>6</xdr:row>
      <xdr:rowOff>22860</xdr:rowOff>
    </xdr:to>
    <xdr:sp macro="" textlink="">
      <xdr:nvSpPr>
        <xdr:cNvPr id="68" name="Rectangle 67"/>
        <xdr:cNvSpPr/>
      </xdr:nvSpPr>
      <xdr:spPr>
        <a:xfrm>
          <a:off x="13589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GD</a:t>
          </a:r>
        </a:p>
      </xdr:txBody>
    </xdr:sp>
    <xdr:clientData/>
  </xdr:twoCellAnchor>
  <xdr:twoCellAnchor editAs="oneCell">
    <xdr:from>
      <xdr:col>1</xdr:col>
      <xdr:colOff>396240</xdr:colOff>
      <xdr:row>6</xdr:row>
      <xdr:rowOff>22860</xdr:rowOff>
    </xdr:from>
    <xdr:to>
      <xdr:col>2</xdr:col>
      <xdr:colOff>167640</xdr:colOff>
      <xdr:row>8</xdr:row>
      <xdr:rowOff>121920</xdr:rowOff>
    </xdr:to>
    <xdr:pic>
      <xdr:nvPicPr>
        <xdr:cNvPr id="812057" name="Picture 6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" y="10287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6</xdr:row>
      <xdr:rowOff>149860</xdr:rowOff>
    </xdr:from>
    <xdr:to>
      <xdr:col>1</xdr:col>
      <xdr:colOff>444500</xdr:colOff>
      <xdr:row>8</xdr:row>
      <xdr:rowOff>17780</xdr:rowOff>
    </xdr:to>
    <xdr:sp macro="" textlink="">
      <xdr:nvSpPr>
        <xdr:cNvPr id="70" name="Rectangle 69"/>
        <xdr:cNvSpPr/>
      </xdr:nvSpPr>
      <xdr:spPr>
        <a:xfrm>
          <a:off x="876300" y="11557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292100</xdr:colOff>
      <xdr:row>7</xdr:row>
      <xdr:rowOff>160020</xdr:rowOff>
    </xdr:from>
    <xdr:to>
      <xdr:col>1</xdr:col>
      <xdr:colOff>444500</xdr:colOff>
      <xdr:row>9</xdr:row>
      <xdr:rowOff>2540</xdr:rowOff>
    </xdr:to>
    <xdr:sp macro="" textlink="">
      <xdr:nvSpPr>
        <xdr:cNvPr id="71" name="Rectangle 70"/>
        <xdr:cNvSpPr/>
      </xdr:nvSpPr>
      <xdr:spPr>
        <a:xfrm>
          <a:off x="9017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2</xdr:col>
      <xdr:colOff>139700</xdr:colOff>
      <xdr:row>7</xdr:row>
      <xdr:rowOff>134620</xdr:rowOff>
    </xdr:from>
    <xdr:to>
      <xdr:col>2</xdr:col>
      <xdr:colOff>317500</xdr:colOff>
      <xdr:row>9</xdr:row>
      <xdr:rowOff>2540</xdr:rowOff>
    </xdr:to>
    <xdr:sp macro="" textlink="">
      <xdr:nvSpPr>
        <xdr:cNvPr id="72" name="Rectangle 71"/>
        <xdr:cNvSpPr/>
      </xdr:nvSpPr>
      <xdr:spPr>
        <a:xfrm>
          <a:off x="13589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12</xdr:col>
      <xdr:colOff>38100</xdr:colOff>
      <xdr:row>5</xdr:row>
      <xdr:rowOff>38100</xdr:rowOff>
    </xdr:from>
    <xdr:to>
      <xdr:col>13</xdr:col>
      <xdr:colOff>91440</xdr:colOff>
      <xdr:row>9</xdr:row>
      <xdr:rowOff>30480</xdr:rowOff>
    </xdr:to>
    <xdr:pic>
      <xdr:nvPicPr>
        <xdr:cNvPr id="812061" name="Picture 7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8763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5</xdr:row>
      <xdr:rowOff>25400</xdr:rowOff>
    </xdr:from>
    <xdr:to>
      <xdr:col>3</xdr:col>
      <xdr:colOff>381000</xdr:colOff>
      <xdr:row>9</xdr:row>
      <xdr:rowOff>27940</xdr:rowOff>
    </xdr:to>
    <xdr:sp macro="" textlink="">
      <xdr:nvSpPr>
        <xdr:cNvPr id="74" name="Rectangle 73"/>
        <xdr:cNvSpPr/>
      </xdr:nvSpPr>
      <xdr:spPr>
        <a:xfrm>
          <a:off x="15367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5</xdr:row>
      <xdr:rowOff>25400</xdr:rowOff>
    </xdr:from>
    <xdr:to>
      <xdr:col>12</xdr:col>
      <xdr:colOff>25400</xdr:colOff>
      <xdr:row>9</xdr:row>
      <xdr:rowOff>27940</xdr:rowOff>
    </xdr:to>
    <xdr:sp macro="" textlink="">
      <xdr:nvSpPr>
        <xdr:cNvPr id="75" name="Rectangle 74"/>
        <xdr:cNvSpPr/>
      </xdr:nvSpPr>
      <xdr:spPr>
        <a:xfrm>
          <a:off x="66675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5</xdr:row>
      <xdr:rowOff>38100</xdr:rowOff>
    </xdr:from>
    <xdr:to>
      <xdr:col>3</xdr:col>
      <xdr:colOff>381000</xdr:colOff>
      <xdr:row>6</xdr:row>
      <xdr:rowOff>22860</xdr:rowOff>
    </xdr:to>
    <xdr:sp macro="" textlink="">
      <xdr:nvSpPr>
        <xdr:cNvPr id="76" name="Rectangle 75"/>
        <xdr:cNvSpPr/>
      </xdr:nvSpPr>
      <xdr:spPr>
        <a:xfrm>
          <a:off x="15494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Art.Res</a:t>
          </a:r>
        </a:p>
      </xdr:txBody>
    </xdr:sp>
    <xdr:clientData/>
  </xdr:twoCellAnchor>
  <xdr:twoCellAnchor editAs="absolute">
    <xdr:from>
      <xdr:col>3</xdr:col>
      <xdr:colOff>203200</xdr:colOff>
      <xdr:row>5</xdr:row>
      <xdr:rowOff>38100</xdr:rowOff>
    </xdr:from>
    <xdr:to>
      <xdr:col>3</xdr:col>
      <xdr:colOff>381000</xdr:colOff>
      <xdr:row>6</xdr:row>
      <xdr:rowOff>22860</xdr:rowOff>
    </xdr:to>
    <xdr:sp macro="" textlink="">
      <xdr:nvSpPr>
        <xdr:cNvPr id="77" name="Rectangle 76"/>
        <xdr:cNvSpPr/>
      </xdr:nvSpPr>
      <xdr:spPr>
        <a:xfrm>
          <a:off x="20320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2</xdr:col>
      <xdr:colOff>434340</xdr:colOff>
      <xdr:row>5</xdr:row>
      <xdr:rowOff>137160</xdr:rowOff>
    </xdr:from>
    <xdr:to>
      <xdr:col>3</xdr:col>
      <xdr:colOff>205740</xdr:colOff>
      <xdr:row>8</xdr:row>
      <xdr:rowOff>68580</xdr:rowOff>
    </xdr:to>
    <xdr:pic>
      <xdr:nvPicPr>
        <xdr:cNvPr id="812066" name="Picture 77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9753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7</xdr:row>
      <xdr:rowOff>134620</xdr:rowOff>
    </xdr:from>
    <xdr:to>
      <xdr:col>2</xdr:col>
      <xdr:colOff>533400</xdr:colOff>
      <xdr:row>9</xdr:row>
      <xdr:rowOff>2540</xdr:rowOff>
    </xdr:to>
    <xdr:sp macro="" textlink="">
      <xdr:nvSpPr>
        <xdr:cNvPr id="79" name="Rectangle 78"/>
        <xdr:cNvSpPr/>
      </xdr:nvSpPr>
      <xdr:spPr>
        <a:xfrm>
          <a:off x="15748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2</xdr:col>
      <xdr:colOff>584200</xdr:colOff>
      <xdr:row>7</xdr:row>
      <xdr:rowOff>160020</xdr:rowOff>
    </xdr:from>
    <xdr:to>
      <xdr:col>3</xdr:col>
      <xdr:colOff>127000</xdr:colOff>
      <xdr:row>9</xdr:row>
      <xdr:rowOff>2540</xdr:rowOff>
    </xdr:to>
    <xdr:sp macro="" textlink="">
      <xdr:nvSpPr>
        <xdr:cNvPr id="80" name="Rectangle 79"/>
        <xdr:cNvSpPr/>
      </xdr:nvSpPr>
      <xdr:spPr>
        <a:xfrm>
          <a:off x="18034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3</xdr:col>
      <xdr:colOff>152400</xdr:colOff>
      <xdr:row>7</xdr:row>
      <xdr:rowOff>134620</xdr:rowOff>
    </xdr:from>
    <xdr:to>
      <xdr:col>3</xdr:col>
      <xdr:colOff>330200</xdr:colOff>
      <xdr:row>9</xdr:row>
      <xdr:rowOff>2540</xdr:rowOff>
    </xdr:to>
    <xdr:sp macro="" textlink="">
      <xdr:nvSpPr>
        <xdr:cNvPr id="81" name="Rectangle 80"/>
        <xdr:cNvSpPr/>
      </xdr:nvSpPr>
      <xdr:spPr>
        <a:xfrm>
          <a:off x="19812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10</xdr:col>
      <xdr:colOff>586740</xdr:colOff>
      <xdr:row>5</xdr:row>
      <xdr:rowOff>38100</xdr:rowOff>
    </xdr:from>
    <xdr:to>
      <xdr:col>12</xdr:col>
      <xdr:colOff>22860</xdr:colOff>
      <xdr:row>9</xdr:row>
      <xdr:rowOff>30480</xdr:rowOff>
    </xdr:to>
    <xdr:pic>
      <xdr:nvPicPr>
        <xdr:cNvPr id="812070" name="Picture 8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8763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5</xdr:row>
      <xdr:rowOff>25400</xdr:rowOff>
    </xdr:from>
    <xdr:to>
      <xdr:col>4</xdr:col>
      <xdr:colOff>444500</xdr:colOff>
      <xdr:row>9</xdr:row>
      <xdr:rowOff>27940</xdr:rowOff>
    </xdr:to>
    <xdr:sp macro="" textlink="">
      <xdr:nvSpPr>
        <xdr:cNvPr id="83" name="Rectangle 82"/>
        <xdr:cNvSpPr/>
      </xdr:nvSpPr>
      <xdr:spPr>
        <a:xfrm>
          <a:off x="22098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5</xdr:row>
      <xdr:rowOff>25400</xdr:rowOff>
    </xdr:from>
    <xdr:to>
      <xdr:col>10</xdr:col>
      <xdr:colOff>571500</xdr:colOff>
      <xdr:row>9</xdr:row>
      <xdr:rowOff>27940</xdr:rowOff>
    </xdr:to>
    <xdr:sp macro="" textlink="">
      <xdr:nvSpPr>
        <xdr:cNvPr id="84" name="Rectangle 83"/>
        <xdr:cNvSpPr/>
      </xdr:nvSpPr>
      <xdr:spPr>
        <a:xfrm>
          <a:off x="59944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5</xdr:row>
      <xdr:rowOff>38100</xdr:rowOff>
    </xdr:from>
    <xdr:to>
      <xdr:col>4</xdr:col>
      <xdr:colOff>444500</xdr:colOff>
      <xdr:row>6</xdr:row>
      <xdr:rowOff>22860</xdr:rowOff>
    </xdr:to>
    <xdr:sp macro="" textlink="">
      <xdr:nvSpPr>
        <xdr:cNvPr id="85" name="Rectangle 84"/>
        <xdr:cNvSpPr/>
      </xdr:nvSpPr>
      <xdr:spPr>
        <a:xfrm>
          <a:off x="22225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Art.Res</a:t>
          </a:r>
        </a:p>
      </xdr:txBody>
    </xdr:sp>
    <xdr:clientData/>
  </xdr:twoCellAnchor>
  <xdr:twoCellAnchor editAs="absolute">
    <xdr:from>
      <xdr:col>4</xdr:col>
      <xdr:colOff>266700</xdr:colOff>
      <xdr:row>5</xdr:row>
      <xdr:rowOff>38100</xdr:rowOff>
    </xdr:from>
    <xdr:to>
      <xdr:col>4</xdr:col>
      <xdr:colOff>444500</xdr:colOff>
      <xdr:row>6</xdr:row>
      <xdr:rowOff>22860</xdr:rowOff>
    </xdr:to>
    <xdr:sp macro="" textlink="">
      <xdr:nvSpPr>
        <xdr:cNvPr id="86" name="Rectangle 85"/>
        <xdr:cNvSpPr/>
      </xdr:nvSpPr>
      <xdr:spPr>
        <a:xfrm>
          <a:off x="27051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GD</a:t>
          </a:r>
        </a:p>
      </xdr:txBody>
    </xdr:sp>
    <xdr:clientData/>
  </xdr:twoCellAnchor>
  <xdr:twoCellAnchor editAs="oneCell">
    <xdr:from>
      <xdr:col>3</xdr:col>
      <xdr:colOff>495300</xdr:colOff>
      <xdr:row>5</xdr:row>
      <xdr:rowOff>137160</xdr:rowOff>
    </xdr:from>
    <xdr:to>
      <xdr:col>4</xdr:col>
      <xdr:colOff>266700</xdr:colOff>
      <xdr:row>8</xdr:row>
      <xdr:rowOff>68580</xdr:rowOff>
    </xdr:to>
    <xdr:pic>
      <xdr:nvPicPr>
        <xdr:cNvPr id="812075" name="Picture 86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9753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419100</xdr:colOff>
      <xdr:row>7</xdr:row>
      <xdr:rowOff>134620</xdr:rowOff>
    </xdr:from>
    <xdr:to>
      <xdr:col>3</xdr:col>
      <xdr:colOff>596900</xdr:colOff>
      <xdr:row>9</xdr:row>
      <xdr:rowOff>2540</xdr:rowOff>
    </xdr:to>
    <xdr:sp macro="" textlink="">
      <xdr:nvSpPr>
        <xdr:cNvPr id="88" name="Rectangle 87"/>
        <xdr:cNvSpPr/>
      </xdr:nvSpPr>
      <xdr:spPr>
        <a:xfrm>
          <a:off x="22479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38100</xdr:colOff>
      <xdr:row>7</xdr:row>
      <xdr:rowOff>160020</xdr:rowOff>
    </xdr:from>
    <xdr:to>
      <xdr:col>4</xdr:col>
      <xdr:colOff>190500</xdr:colOff>
      <xdr:row>9</xdr:row>
      <xdr:rowOff>2540</xdr:rowOff>
    </xdr:to>
    <xdr:sp macro="" textlink="">
      <xdr:nvSpPr>
        <xdr:cNvPr id="89" name="Rectangle 88"/>
        <xdr:cNvSpPr/>
      </xdr:nvSpPr>
      <xdr:spPr>
        <a:xfrm>
          <a:off x="24765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4</xdr:col>
      <xdr:colOff>215900</xdr:colOff>
      <xdr:row>7</xdr:row>
      <xdr:rowOff>134620</xdr:rowOff>
    </xdr:from>
    <xdr:to>
      <xdr:col>4</xdr:col>
      <xdr:colOff>393700</xdr:colOff>
      <xdr:row>9</xdr:row>
      <xdr:rowOff>2540</xdr:rowOff>
    </xdr:to>
    <xdr:sp macro="" textlink="">
      <xdr:nvSpPr>
        <xdr:cNvPr id="90" name="Rectangle 89"/>
        <xdr:cNvSpPr/>
      </xdr:nvSpPr>
      <xdr:spPr>
        <a:xfrm>
          <a:off x="26543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9</xdr:col>
      <xdr:colOff>518160</xdr:colOff>
      <xdr:row>5</xdr:row>
      <xdr:rowOff>38100</xdr:rowOff>
    </xdr:from>
    <xdr:to>
      <xdr:col>10</xdr:col>
      <xdr:colOff>571500</xdr:colOff>
      <xdr:row>9</xdr:row>
      <xdr:rowOff>30480</xdr:rowOff>
    </xdr:to>
    <xdr:pic>
      <xdr:nvPicPr>
        <xdr:cNvPr id="812079" name="Picture 9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8763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5</xdr:row>
      <xdr:rowOff>25400</xdr:rowOff>
    </xdr:from>
    <xdr:to>
      <xdr:col>5</xdr:col>
      <xdr:colOff>508000</xdr:colOff>
      <xdr:row>9</xdr:row>
      <xdr:rowOff>27940</xdr:rowOff>
    </xdr:to>
    <xdr:sp macro="" textlink="">
      <xdr:nvSpPr>
        <xdr:cNvPr id="92" name="Rectangle 91"/>
        <xdr:cNvSpPr/>
      </xdr:nvSpPr>
      <xdr:spPr>
        <a:xfrm>
          <a:off x="28829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5</xdr:row>
      <xdr:rowOff>25400</xdr:rowOff>
    </xdr:from>
    <xdr:to>
      <xdr:col>9</xdr:col>
      <xdr:colOff>508000</xdr:colOff>
      <xdr:row>9</xdr:row>
      <xdr:rowOff>27940</xdr:rowOff>
    </xdr:to>
    <xdr:sp macro="" textlink="">
      <xdr:nvSpPr>
        <xdr:cNvPr id="93" name="Rectangle 92"/>
        <xdr:cNvSpPr/>
      </xdr:nvSpPr>
      <xdr:spPr>
        <a:xfrm>
          <a:off x="53213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5</xdr:row>
      <xdr:rowOff>38100</xdr:rowOff>
    </xdr:from>
    <xdr:to>
      <xdr:col>5</xdr:col>
      <xdr:colOff>508000</xdr:colOff>
      <xdr:row>6</xdr:row>
      <xdr:rowOff>22860</xdr:rowOff>
    </xdr:to>
    <xdr:sp macro="" textlink="">
      <xdr:nvSpPr>
        <xdr:cNvPr id="94" name="Rectangle 93"/>
        <xdr:cNvSpPr/>
      </xdr:nvSpPr>
      <xdr:spPr>
        <a:xfrm>
          <a:off x="28956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A</a:t>
          </a:r>
        </a:p>
      </xdr:txBody>
    </xdr:sp>
    <xdr:clientData/>
  </xdr:twoCellAnchor>
  <xdr:twoCellAnchor editAs="absolute">
    <xdr:from>
      <xdr:col>5</xdr:col>
      <xdr:colOff>330200</xdr:colOff>
      <xdr:row>5</xdr:row>
      <xdr:rowOff>38100</xdr:rowOff>
    </xdr:from>
    <xdr:to>
      <xdr:col>5</xdr:col>
      <xdr:colOff>508000</xdr:colOff>
      <xdr:row>6</xdr:row>
      <xdr:rowOff>22860</xdr:rowOff>
    </xdr:to>
    <xdr:sp macro="" textlink="">
      <xdr:nvSpPr>
        <xdr:cNvPr id="95" name="Rectangle 94"/>
        <xdr:cNvSpPr/>
      </xdr:nvSpPr>
      <xdr:spPr>
        <a:xfrm>
          <a:off x="33782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4</xdr:col>
      <xdr:colOff>586740</xdr:colOff>
      <xdr:row>6</xdr:row>
      <xdr:rowOff>45720</xdr:rowOff>
    </xdr:from>
    <xdr:to>
      <xdr:col>5</xdr:col>
      <xdr:colOff>358140</xdr:colOff>
      <xdr:row>8</xdr:row>
      <xdr:rowOff>144780</xdr:rowOff>
    </xdr:to>
    <xdr:pic>
      <xdr:nvPicPr>
        <xdr:cNvPr id="812084" name="Picture 9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10515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482600</xdr:colOff>
      <xdr:row>7</xdr:row>
      <xdr:rowOff>134620</xdr:rowOff>
    </xdr:from>
    <xdr:to>
      <xdr:col>5</xdr:col>
      <xdr:colOff>50800</xdr:colOff>
      <xdr:row>9</xdr:row>
      <xdr:rowOff>2540</xdr:rowOff>
    </xdr:to>
    <xdr:sp macro="" textlink="">
      <xdr:nvSpPr>
        <xdr:cNvPr id="97" name="Rectangle 96"/>
        <xdr:cNvSpPr/>
      </xdr:nvSpPr>
      <xdr:spPr>
        <a:xfrm>
          <a:off x="29210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127000</xdr:colOff>
      <xdr:row>7</xdr:row>
      <xdr:rowOff>160020</xdr:rowOff>
    </xdr:from>
    <xdr:to>
      <xdr:col>5</xdr:col>
      <xdr:colOff>279400</xdr:colOff>
      <xdr:row>9</xdr:row>
      <xdr:rowOff>2540</xdr:rowOff>
    </xdr:to>
    <xdr:sp macro="" textlink="">
      <xdr:nvSpPr>
        <xdr:cNvPr id="98" name="Rectangle 97"/>
        <xdr:cNvSpPr/>
      </xdr:nvSpPr>
      <xdr:spPr>
        <a:xfrm>
          <a:off x="31750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5</xdr:col>
      <xdr:colOff>279400</xdr:colOff>
      <xdr:row>7</xdr:row>
      <xdr:rowOff>134620</xdr:rowOff>
    </xdr:from>
    <xdr:to>
      <xdr:col>5</xdr:col>
      <xdr:colOff>457200</xdr:colOff>
      <xdr:row>9</xdr:row>
      <xdr:rowOff>2540</xdr:rowOff>
    </xdr:to>
    <xdr:sp macro="" textlink="">
      <xdr:nvSpPr>
        <xdr:cNvPr id="99" name="Rectangle 98"/>
        <xdr:cNvSpPr/>
      </xdr:nvSpPr>
      <xdr:spPr>
        <a:xfrm>
          <a:off x="33274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8</xdr:col>
      <xdr:colOff>457200</xdr:colOff>
      <xdr:row>5</xdr:row>
      <xdr:rowOff>38100</xdr:rowOff>
    </xdr:from>
    <xdr:to>
      <xdr:col>9</xdr:col>
      <xdr:colOff>510540</xdr:colOff>
      <xdr:row>9</xdr:row>
      <xdr:rowOff>30480</xdr:rowOff>
    </xdr:to>
    <xdr:pic>
      <xdr:nvPicPr>
        <xdr:cNvPr id="812088" name="Picture 9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8763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5</xdr:row>
      <xdr:rowOff>25400</xdr:rowOff>
    </xdr:from>
    <xdr:to>
      <xdr:col>6</xdr:col>
      <xdr:colOff>571500</xdr:colOff>
      <xdr:row>9</xdr:row>
      <xdr:rowOff>27940</xdr:rowOff>
    </xdr:to>
    <xdr:sp macro="" textlink="">
      <xdr:nvSpPr>
        <xdr:cNvPr id="101" name="Rectangle 100"/>
        <xdr:cNvSpPr/>
      </xdr:nvSpPr>
      <xdr:spPr>
        <a:xfrm>
          <a:off x="35560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5</xdr:row>
      <xdr:rowOff>25400</xdr:rowOff>
    </xdr:from>
    <xdr:to>
      <xdr:col>8</xdr:col>
      <xdr:colOff>444500</xdr:colOff>
      <xdr:row>9</xdr:row>
      <xdr:rowOff>27940</xdr:rowOff>
    </xdr:to>
    <xdr:sp macro="" textlink="">
      <xdr:nvSpPr>
        <xdr:cNvPr id="102" name="Rectangle 101"/>
        <xdr:cNvSpPr/>
      </xdr:nvSpPr>
      <xdr:spPr>
        <a:xfrm>
          <a:off x="4648200" y="8636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5</xdr:row>
      <xdr:rowOff>38100</xdr:rowOff>
    </xdr:from>
    <xdr:to>
      <xdr:col>6</xdr:col>
      <xdr:colOff>571500</xdr:colOff>
      <xdr:row>6</xdr:row>
      <xdr:rowOff>22860</xdr:rowOff>
    </xdr:to>
    <xdr:sp macro="" textlink="">
      <xdr:nvSpPr>
        <xdr:cNvPr id="103" name="Rectangle 102"/>
        <xdr:cNvSpPr/>
      </xdr:nvSpPr>
      <xdr:spPr>
        <a:xfrm>
          <a:off x="3568700" y="8763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B</a:t>
          </a:r>
        </a:p>
      </xdr:txBody>
    </xdr:sp>
    <xdr:clientData/>
  </xdr:twoCellAnchor>
  <xdr:twoCellAnchor editAs="absolute">
    <xdr:from>
      <xdr:col>6</xdr:col>
      <xdr:colOff>393700</xdr:colOff>
      <xdr:row>5</xdr:row>
      <xdr:rowOff>38100</xdr:rowOff>
    </xdr:from>
    <xdr:to>
      <xdr:col>6</xdr:col>
      <xdr:colOff>571500</xdr:colOff>
      <xdr:row>6</xdr:row>
      <xdr:rowOff>22860</xdr:rowOff>
    </xdr:to>
    <xdr:sp macro="" textlink="">
      <xdr:nvSpPr>
        <xdr:cNvPr id="104" name="Rectangle 103"/>
        <xdr:cNvSpPr/>
      </xdr:nvSpPr>
      <xdr:spPr>
        <a:xfrm>
          <a:off x="4051300" y="8763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6</xdr:col>
      <xdr:colOff>38100</xdr:colOff>
      <xdr:row>6</xdr:row>
      <xdr:rowOff>45720</xdr:rowOff>
    </xdr:from>
    <xdr:to>
      <xdr:col>6</xdr:col>
      <xdr:colOff>419100</xdr:colOff>
      <xdr:row>8</xdr:row>
      <xdr:rowOff>144780</xdr:rowOff>
    </xdr:to>
    <xdr:pic>
      <xdr:nvPicPr>
        <xdr:cNvPr id="812093" name="Picture 104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10515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546100</xdr:colOff>
      <xdr:row>7</xdr:row>
      <xdr:rowOff>134620</xdr:rowOff>
    </xdr:from>
    <xdr:to>
      <xdr:col>6</xdr:col>
      <xdr:colOff>114300</xdr:colOff>
      <xdr:row>9</xdr:row>
      <xdr:rowOff>2540</xdr:rowOff>
    </xdr:to>
    <xdr:sp macro="" textlink="">
      <xdr:nvSpPr>
        <xdr:cNvPr id="106" name="Rectangle 105"/>
        <xdr:cNvSpPr/>
      </xdr:nvSpPr>
      <xdr:spPr>
        <a:xfrm>
          <a:off x="35941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190500</xdr:colOff>
      <xdr:row>7</xdr:row>
      <xdr:rowOff>160020</xdr:rowOff>
    </xdr:from>
    <xdr:to>
      <xdr:col>6</xdr:col>
      <xdr:colOff>342900</xdr:colOff>
      <xdr:row>9</xdr:row>
      <xdr:rowOff>2540</xdr:rowOff>
    </xdr:to>
    <xdr:sp macro="" textlink="">
      <xdr:nvSpPr>
        <xdr:cNvPr id="107" name="Rectangle 106"/>
        <xdr:cNvSpPr/>
      </xdr:nvSpPr>
      <xdr:spPr>
        <a:xfrm>
          <a:off x="3848100" y="13335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6</xdr:col>
      <xdr:colOff>342900</xdr:colOff>
      <xdr:row>7</xdr:row>
      <xdr:rowOff>134620</xdr:rowOff>
    </xdr:from>
    <xdr:to>
      <xdr:col>6</xdr:col>
      <xdr:colOff>520700</xdr:colOff>
      <xdr:row>9</xdr:row>
      <xdr:rowOff>2540</xdr:rowOff>
    </xdr:to>
    <xdr:sp macro="" textlink="">
      <xdr:nvSpPr>
        <xdr:cNvPr id="108" name="Rectangle 107"/>
        <xdr:cNvSpPr/>
      </xdr:nvSpPr>
      <xdr:spPr>
        <a:xfrm>
          <a:off x="4000500" y="13081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7</xdr:col>
      <xdr:colOff>396240</xdr:colOff>
      <xdr:row>5</xdr:row>
      <xdr:rowOff>38100</xdr:rowOff>
    </xdr:from>
    <xdr:to>
      <xdr:col>8</xdr:col>
      <xdr:colOff>441960</xdr:colOff>
      <xdr:row>9</xdr:row>
      <xdr:rowOff>30480</xdr:rowOff>
    </xdr:to>
    <xdr:pic>
      <xdr:nvPicPr>
        <xdr:cNvPr id="812097" name="Picture 10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8763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9</xdr:row>
      <xdr:rowOff>27940</xdr:rowOff>
    </xdr:from>
    <xdr:to>
      <xdr:col>1</xdr:col>
      <xdr:colOff>254000</xdr:colOff>
      <xdr:row>13</xdr:row>
      <xdr:rowOff>30480</xdr:rowOff>
    </xdr:to>
    <xdr:sp macro="" textlink="">
      <xdr:nvSpPr>
        <xdr:cNvPr id="110" name="Rectangle 109"/>
        <xdr:cNvSpPr/>
      </xdr:nvSpPr>
      <xdr:spPr>
        <a:xfrm>
          <a:off x="190500" y="15367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9</xdr:row>
      <xdr:rowOff>27940</xdr:rowOff>
    </xdr:from>
    <xdr:to>
      <xdr:col>14</xdr:col>
      <xdr:colOff>152400</xdr:colOff>
      <xdr:row>13</xdr:row>
      <xdr:rowOff>30480</xdr:rowOff>
    </xdr:to>
    <xdr:sp macro="" textlink="">
      <xdr:nvSpPr>
        <xdr:cNvPr id="111" name="Rectangle 110"/>
        <xdr:cNvSpPr/>
      </xdr:nvSpPr>
      <xdr:spPr>
        <a:xfrm>
          <a:off x="8013700" y="15367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9</xdr:row>
      <xdr:rowOff>40640</xdr:rowOff>
    </xdr:from>
    <xdr:to>
      <xdr:col>1</xdr:col>
      <xdr:colOff>254000</xdr:colOff>
      <xdr:row>10</xdr:row>
      <xdr:rowOff>25400</xdr:rowOff>
    </xdr:to>
    <xdr:sp macro="" textlink="">
      <xdr:nvSpPr>
        <xdr:cNvPr id="112" name="Rectangle 111"/>
        <xdr:cNvSpPr/>
      </xdr:nvSpPr>
      <xdr:spPr>
        <a:xfrm>
          <a:off x="203200" y="15494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1</a:t>
          </a:r>
        </a:p>
      </xdr:txBody>
    </xdr:sp>
    <xdr:clientData/>
  </xdr:twoCellAnchor>
  <xdr:twoCellAnchor editAs="absolute">
    <xdr:from>
      <xdr:col>1</xdr:col>
      <xdr:colOff>76200</xdr:colOff>
      <xdr:row>9</xdr:row>
      <xdr:rowOff>40640</xdr:rowOff>
    </xdr:from>
    <xdr:to>
      <xdr:col>1</xdr:col>
      <xdr:colOff>254000</xdr:colOff>
      <xdr:row>10</xdr:row>
      <xdr:rowOff>25400</xdr:rowOff>
    </xdr:to>
    <xdr:sp macro="" textlink="">
      <xdr:nvSpPr>
        <xdr:cNvPr id="113" name="Rectangle 112"/>
        <xdr:cNvSpPr/>
      </xdr:nvSpPr>
      <xdr:spPr>
        <a:xfrm>
          <a:off x="685800" y="15494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0</xdr:col>
      <xdr:colOff>327660</xdr:colOff>
      <xdr:row>10</xdr:row>
      <xdr:rowOff>22860</xdr:rowOff>
    </xdr:from>
    <xdr:to>
      <xdr:col>1</xdr:col>
      <xdr:colOff>99060</xdr:colOff>
      <xdr:row>12</xdr:row>
      <xdr:rowOff>121920</xdr:rowOff>
    </xdr:to>
    <xdr:pic>
      <xdr:nvPicPr>
        <xdr:cNvPr id="812102" name="Picture 113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6992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10</xdr:row>
      <xdr:rowOff>152400</xdr:rowOff>
    </xdr:from>
    <xdr:to>
      <xdr:col>0</xdr:col>
      <xdr:colOff>381000</xdr:colOff>
      <xdr:row>12</xdr:row>
      <xdr:rowOff>20320</xdr:rowOff>
    </xdr:to>
    <xdr:sp macro="" textlink="">
      <xdr:nvSpPr>
        <xdr:cNvPr id="115" name="Rectangle 114"/>
        <xdr:cNvSpPr/>
      </xdr:nvSpPr>
      <xdr:spPr>
        <a:xfrm>
          <a:off x="203200" y="18288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228600</xdr:colOff>
      <xdr:row>11</xdr:row>
      <xdr:rowOff>162560</xdr:rowOff>
    </xdr:from>
    <xdr:to>
      <xdr:col>0</xdr:col>
      <xdr:colOff>381000</xdr:colOff>
      <xdr:row>13</xdr:row>
      <xdr:rowOff>5080</xdr:rowOff>
    </xdr:to>
    <xdr:sp macro="" textlink="">
      <xdr:nvSpPr>
        <xdr:cNvPr id="116" name="Rectangle 115"/>
        <xdr:cNvSpPr/>
      </xdr:nvSpPr>
      <xdr:spPr>
        <a:xfrm>
          <a:off x="228600" y="20066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76200</xdr:colOff>
      <xdr:row>11</xdr:row>
      <xdr:rowOff>137160</xdr:rowOff>
    </xdr:from>
    <xdr:to>
      <xdr:col>1</xdr:col>
      <xdr:colOff>254000</xdr:colOff>
      <xdr:row>13</xdr:row>
      <xdr:rowOff>5080</xdr:rowOff>
    </xdr:to>
    <xdr:sp macro="" textlink="">
      <xdr:nvSpPr>
        <xdr:cNvPr id="117" name="Rectangle 116"/>
        <xdr:cNvSpPr/>
      </xdr:nvSpPr>
      <xdr:spPr>
        <a:xfrm>
          <a:off x="685800" y="19812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13</xdr:col>
      <xdr:colOff>99060</xdr:colOff>
      <xdr:row>9</xdr:row>
      <xdr:rowOff>38100</xdr:rowOff>
    </xdr:from>
    <xdr:to>
      <xdr:col>14</xdr:col>
      <xdr:colOff>152400</xdr:colOff>
      <xdr:row>13</xdr:row>
      <xdr:rowOff>30480</xdr:rowOff>
    </xdr:to>
    <xdr:pic>
      <xdr:nvPicPr>
        <xdr:cNvPr id="812106" name="Picture 11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15468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9</xdr:row>
      <xdr:rowOff>27940</xdr:rowOff>
    </xdr:from>
    <xdr:to>
      <xdr:col>2</xdr:col>
      <xdr:colOff>317500</xdr:colOff>
      <xdr:row>13</xdr:row>
      <xdr:rowOff>30480</xdr:rowOff>
    </xdr:to>
    <xdr:sp macro="" textlink="">
      <xdr:nvSpPr>
        <xdr:cNvPr id="119" name="Rectangle 118"/>
        <xdr:cNvSpPr/>
      </xdr:nvSpPr>
      <xdr:spPr>
        <a:xfrm>
          <a:off x="863600" y="15367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9</xdr:row>
      <xdr:rowOff>27940</xdr:rowOff>
    </xdr:from>
    <xdr:to>
      <xdr:col>13</xdr:col>
      <xdr:colOff>88900</xdr:colOff>
      <xdr:row>13</xdr:row>
      <xdr:rowOff>30480</xdr:rowOff>
    </xdr:to>
    <xdr:sp macro="" textlink="">
      <xdr:nvSpPr>
        <xdr:cNvPr id="120" name="Rectangle 119"/>
        <xdr:cNvSpPr/>
      </xdr:nvSpPr>
      <xdr:spPr>
        <a:xfrm>
          <a:off x="7340600" y="15367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9</xdr:row>
      <xdr:rowOff>40640</xdr:rowOff>
    </xdr:from>
    <xdr:to>
      <xdr:col>2</xdr:col>
      <xdr:colOff>317500</xdr:colOff>
      <xdr:row>10</xdr:row>
      <xdr:rowOff>25400</xdr:rowOff>
    </xdr:to>
    <xdr:sp macro="" textlink="">
      <xdr:nvSpPr>
        <xdr:cNvPr id="121" name="Rectangle 120"/>
        <xdr:cNvSpPr/>
      </xdr:nvSpPr>
      <xdr:spPr>
        <a:xfrm>
          <a:off x="876300" y="1549400"/>
          <a:ext cx="6604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2</a:t>
          </a:r>
        </a:p>
      </xdr:txBody>
    </xdr:sp>
    <xdr:clientData/>
  </xdr:twoCellAnchor>
  <xdr:twoCellAnchor editAs="absolute">
    <xdr:from>
      <xdr:col>2</xdr:col>
      <xdr:colOff>139700</xdr:colOff>
      <xdr:row>9</xdr:row>
      <xdr:rowOff>40640</xdr:rowOff>
    </xdr:from>
    <xdr:to>
      <xdr:col>2</xdr:col>
      <xdr:colOff>317500</xdr:colOff>
      <xdr:row>10</xdr:row>
      <xdr:rowOff>25400</xdr:rowOff>
    </xdr:to>
    <xdr:sp macro="" textlink="">
      <xdr:nvSpPr>
        <xdr:cNvPr id="122" name="Rectangle 121"/>
        <xdr:cNvSpPr/>
      </xdr:nvSpPr>
      <xdr:spPr>
        <a:xfrm>
          <a:off x="1358900" y="1549400"/>
          <a:ext cx="177800" cy="152400"/>
        </a:xfrm>
        <a:prstGeom prst="rect">
          <a:avLst/>
        </a:prstGeom>
        <a:solidFill>
          <a:srgbClr val="FFFF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1</xdr:col>
      <xdr:colOff>396240</xdr:colOff>
      <xdr:row>10</xdr:row>
      <xdr:rowOff>22860</xdr:rowOff>
    </xdr:from>
    <xdr:to>
      <xdr:col>2</xdr:col>
      <xdr:colOff>167640</xdr:colOff>
      <xdr:row>12</xdr:row>
      <xdr:rowOff>121920</xdr:rowOff>
    </xdr:to>
    <xdr:pic>
      <xdr:nvPicPr>
        <xdr:cNvPr id="812111" name="Picture 122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" y="16992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10</xdr:row>
      <xdr:rowOff>152400</xdr:rowOff>
    </xdr:from>
    <xdr:to>
      <xdr:col>1</xdr:col>
      <xdr:colOff>444500</xdr:colOff>
      <xdr:row>12</xdr:row>
      <xdr:rowOff>20320</xdr:rowOff>
    </xdr:to>
    <xdr:sp macro="" textlink="">
      <xdr:nvSpPr>
        <xdr:cNvPr id="124" name="Rectangle 123"/>
        <xdr:cNvSpPr/>
      </xdr:nvSpPr>
      <xdr:spPr>
        <a:xfrm>
          <a:off x="876300" y="18288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292100</xdr:colOff>
      <xdr:row>11</xdr:row>
      <xdr:rowOff>162560</xdr:rowOff>
    </xdr:from>
    <xdr:to>
      <xdr:col>1</xdr:col>
      <xdr:colOff>444500</xdr:colOff>
      <xdr:row>13</xdr:row>
      <xdr:rowOff>5080</xdr:rowOff>
    </xdr:to>
    <xdr:sp macro="" textlink="">
      <xdr:nvSpPr>
        <xdr:cNvPr id="125" name="Rectangle 124"/>
        <xdr:cNvSpPr/>
      </xdr:nvSpPr>
      <xdr:spPr>
        <a:xfrm>
          <a:off x="901700" y="2006600"/>
          <a:ext cx="152400" cy="1778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2</xdr:col>
      <xdr:colOff>139700</xdr:colOff>
      <xdr:row>11</xdr:row>
      <xdr:rowOff>137160</xdr:rowOff>
    </xdr:from>
    <xdr:to>
      <xdr:col>2</xdr:col>
      <xdr:colOff>317500</xdr:colOff>
      <xdr:row>13</xdr:row>
      <xdr:rowOff>5080</xdr:rowOff>
    </xdr:to>
    <xdr:sp macro="" textlink="">
      <xdr:nvSpPr>
        <xdr:cNvPr id="126" name="Rectangle 125"/>
        <xdr:cNvSpPr/>
      </xdr:nvSpPr>
      <xdr:spPr>
        <a:xfrm>
          <a:off x="1358900" y="1981200"/>
          <a:ext cx="177800" cy="203200"/>
        </a:xfrm>
        <a:prstGeom prst="rect">
          <a:avLst/>
        </a:prstGeom>
        <a:solidFill>
          <a:srgbClr val="0000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12</xdr:col>
      <xdr:colOff>38100</xdr:colOff>
      <xdr:row>9</xdr:row>
      <xdr:rowOff>38100</xdr:rowOff>
    </xdr:from>
    <xdr:to>
      <xdr:col>13</xdr:col>
      <xdr:colOff>91440</xdr:colOff>
      <xdr:row>13</xdr:row>
      <xdr:rowOff>30480</xdr:rowOff>
    </xdr:to>
    <xdr:pic>
      <xdr:nvPicPr>
        <xdr:cNvPr id="812115" name="Picture 12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5468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9</xdr:row>
      <xdr:rowOff>27940</xdr:rowOff>
    </xdr:from>
    <xdr:to>
      <xdr:col>3</xdr:col>
      <xdr:colOff>381000</xdr:colOff>
      <xdr:row>13</xdr:row>
      <xdr:rowOff>30480</xdr:rowOff>
    </xdr:to>
    <xdr:sp macro="" textlink="">
      <xdr:nvSpPr>
        <xdr:cNvPr id="128" name="Rectangle 127"/>
        <xdr:cNvSpPr/>
      </xdr:nvSpPr>
      <xdr:spPr>
        <a:xfrm>
          <a:off x="1536700" y="15367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9</xdr:row>
      <xdr:rowOff>27940</xdr:rowOff>
    </xdr:from>
    <xdr:to>
      <xdr:col>12</xdr:col>
      <xdr:colOff>25400</xdr:colOff>
      <xdr:row>13</xdr:row>
      <xdr:rowOff>30480</xdr:rowOff>
    </xdr:to>
    <xdr:sp macro="" textlink="">
      <xdr:nvSpPr>
        <xdr:cNvPr id="129" name="Rectangle 128"/>
        <xdr:cNvSpPr/>
      </xdr:nvSpPr>
      <xdr:spPr>
        <a:xfrm>
          <a:off x="6667500" y="15367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9</xdr:row>
      <xdr:rowOff>40640</xdr:rowOff>
    </xdr:from>
    <xdr:to>
      <xdr:col>2</xdr:col>
      <xdr:colOff>482600</xdr:colOff>
      <xdr:row>11</xdr:row>
      <xdr:rowOff>137160</xdr:rowOff>
    </xdr:to>
    <xdr:sp macro="" textlink="">
      <xdr:nvSpPr>
        <xdr:cNvPr id="130" name="Rectangle 129"/>
        <xdr:cNvSpPr/>
      </xdr:nvSpPr>
      <xdr:spPr>
        <a:xfrm>
          <a:off x="1549400" y="1549400"/>
          <a:ext cx="152400" cy="4318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Blücher</a:t>
          </a:r>
        </a:p>
      </xdr:txBody>
    </xdr:sp>
    <xdr:clientData/>
  </xdr:twoCellAnchor>
  <xdr:twoCellAnchor editAs="oneCell">
    <xdr:from>
      <xdr:col>3</xdr:col>
      <xdr:colOff>175260</xdr:colOff>
      <xdr:row>9</xdr:row>
      <xdr:rowOff>38100</xdr:rowOff>
    </xdr:from>
    <xdr:to>
      <xdr:col>3</xdr:col>
      <xdr:colOff>381000</xdr:colOff>
      <xdr:row>10</xdr:row>
      <xdr:rowOff>76200</xdr:rowOff>
    </xdr:to>
    <xdr:pic>
      <xdr:nvPicPr>
        <xdr:cNvPr id="812119" name="Picture 130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4060" y="15468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358140</xdr:colOff>
      <xdr:row>9</xdr:row>
      <xdr:rowOff>91440</xdr:rowOff>
    </xdr:from>
    <xdr:to>
      <xdr:col>3</xdr:col>
      <xdr:colOff>304800</xdr:colOff>
      <xdr:row>12</xdr:row>
      <xdr:rowOff>144780</xdr:rowOff>
    </xdr:to>
    <xdr:pic>
      <xdr:nvPicPr>
        <xdr:cNvPr id="812120" name="Picture 131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7340" y="1600200"/>
          <a:ext cx="55626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11</xdr:row>
      <xdr:rowOff>137160</xdr:rowOff>
    </xdr:from>
    <xdr:to>
      <xdr:col>2</xdr:col>
      <xdr:colOff>508000</xdr:colOff>
      <xdr:row>13</xdr:row>
      <xdr:rowOff>5080</xdr:rowOff>
    </xdr:to>
    <xdr:sp macro="" textlink="">
      <xdr:nvSpPr>
        <xdr:cNvPr id="133" name="Rectangle 132"/>
        <xdr:cNvSpPr/>
      </xdr:nvSpPr>
      <xdr:spPr>
        <a:xfrm>
          <a:off x="1574800" y="19812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2</xdr:col>
      <xdr:colOff>533400</xdr:colOff>
      <xdr:row>12</xdr:row>
      <xdr:rowOff>20320</xdr:rowOff>
    </xdr:from>
    <xdr:to>
      <xdr:col>3</xdr:col>
      <xdr:colOff>101600</xdr:colOff>
      <xdr:row>12</xdr:row>
      <xdr:rowOff>147320</xdr:rowOff>
    </xdr:to>
    <xdr:sp macro="" textlink="">
      <xdr:nvSpPr>
        <xdr:cNvPr id="134" name="Rectangle 133"/>
        <xdr:cNvSpPr/>
      </xdr:nvSpPr>
      <xdr:spPr>
        <a:xfrm>
          <a:off x="1752600" y="20320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3</xdr:col>
      <xdr:colOff>127000</xdr:colOff>
      <xdr:row>11</xdr:row>
      <xdr:rowOff>137160</xdr:rowOff>
    </xdr:from>
    <xdr:to>
      <xdr:col>3</xdr:col>
      <xdr:colOff>355600</xdr:colOff>
      <xdr:row>13</xdr:row>
      <xdr:rowOff>5080</xdr:rowOff>
    </xdr:to>
    <xdr:sp macro="" textlink="">
      <xdr:nvSpPr>
        <xdr:cNvPr id="135" name="Rectangle 134"/>
        <xdr:cNvSpPr/>
      </xdr:nvSpPr>
      <xdr:spPr>
        <a:xfrm>
          <a:off x="1955800" y="19812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+1</a:t>
          </a:r>
        </a:p>
      </xdr:txBody>
    </xdr:sp>
    <xdr:clientData/>
  </xdr:twoCellAnchor>
  <xdr:twoCellAnchor editAs="oneCell">
    <xdr:from>
      <xdr:col>10</xdr:col>
      <xdr:colOff>586740</xdr:colOff>
      <xdr:row>9</xdr:row>
      <xdr:rowOff>38100</xdr:rowOff>
    </xdr:from>
    <xdr:to>
      <xdr:col>12</xdr:col>
      <xdr:colOff>22860</xdr:colOff>
      <xdr:row>13</xdr:row>
      <xdr:rowOff>30480</xdr:rowOff>
    </xdr:to>
    <xdr:pic>
      <xdr:nvPicPr>
        <xdr:cNvPr id="812124" name="Picture 13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15468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9</xdr:row>
      <xdr:rowOff>27940</xdr:rowOff>
    </xdr:from>
    <xdr:to>
      <xdr:col>4</xdr:col>
      <xdr:colOff>444500</xdr:colOff>
      <xdr:row>13</xdr:row>
      <xdr:rowOff>30480</xdr:rowOff>
    </xdr:to>
    <xdr:sp macro="" textlink="">
      <xdr:nvSpPr>
        <xdr:cNvPr id="137" name="Rectangle 136"/>
        <xdr:cNvSpPr/>
      </xdr:nvSpPr>
      <xdr:spPr>
        <a:xfrm>
          <a:off x="2209800" y="15367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9</xdr:row>
      <xdr:rowOff>27940</xdr:rowOff>
    </xdr:from>
    <xdr:to>
      <xdr:col>10</xdr:col>
      <xdr:colOff>571500</xdr:colOff>
      <xdr:row>13</xdr:row>
      <xdr:rowOff>30480</xdr:rowOff>
    </xdr:to>
    <xdr:sp macro="" textlink="">
      <xdr:nvSpPr>
        <xdr:cNvPr id="138" name="Rectangle 137"/>
        <xdr:cNvSpPr/>
      </xdr:nvSpPr>
      <xdr:spPr>
        <a:xfrm>
          <a:off x="5994400" y="15367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9</xdr:row>
      <xdr:rowOff>40640</xdr:rowOff>
    </xdr:from>
    <xdr:to>
      <xdr:col>3</xdr:col>
      <xdr:colOff>546100</xdr:colOff>
      <xdr:row>11</xdr:row>
      <xdr:rowOff>137160</xdr:rowOff>
    </xdr:to>
    <xdr:sp macro="" textlink="">
      <xdr:nvSpPr>
        <xdr:cNvPr id="139" name="Rectangle 138"/>
        <xdr:cNvSpPr/>
      </xdr:nvSpPr>
      <xdr:spPr>
        <a:xfrm>
          <a:off x="2222500" y="1549400"/>
          <a:ext cx="152400" cy="4318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Wittgenstn</a:t>
          </a:r>
        </a:p>
      </xdr:txBody>
    </xdr:sp>
    <xdr:clientData/>
  </xdr:twoCellAnchor>
  <xdr:twoCellAnchor editAs="oneCell">
    <xdr:from>
      <xdr:col>4</xdr:col>
      <xdr:colOff>243840</xdr:colOff>
      <xdr:row>9</xdr:row>
      <xdr:rowOff>38100</xdr:rowOff>
    </xdr:from>
    <xdr:to>
      <xdr:col>4</xdr:col>
      <xdr:colOff>441960</xdr:colOff>
      <xdr:row>10</xdr:row>
      <xdr:rowOff>76200</xdr:rowOff>
    </xdr:to>
    <xdr:pic>
      <xdr:nvPicPr>
        <xdr:cNvPr id="812128" name="Picture 139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546860"/>
          <a:ext cx="1981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419100</xdr:colOff>
      <xdr:row>9</xdr:row>
      <xdr:rowOff>91440</xdr:rowOff>
    </xdr:from>
    <xdr:to>
      <xdr:col>4</xdr:col>
      <xdr:colOff>365760</xdr:colOff>
      <xdr:row>12</xdr:row>
      <xdr:rowOff>144780</xdr:rowOff>
    </xdr:to>
    <xdr:pic>
      <xdr:nvPicPr>
        <xdr:cNvPr id="812129" name="Picture 140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7900" y="1600200"/>
          <a:ext cx="55626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419100</xdr:colOff>
      <xdr:row>11</xdr:row>
      <xdr:rowOff>137160</xdr:rowOff>
    </xdr:from>
    <xdr:to>
      <xdr:col>3</xdr:col>
      <xdr:colOff>571500</xdr:colOff>
      <xdr:row>13</xdr:row>
      <xdr:rowOff>5080</xdr:rowOff>
    </xdr:to>
    <xdr:sp macro="" textlink="">
      <xdr:nvSpPr>
        <xdr:cNvPr id="142" name="Rectangle 141"/>
        <xdr:cNvSpPr/>
      </xdr:nvSpPr>
      <xdr:spPr>
        <a:xfrm>
          <a:off x="2247900" y="19812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3</xdr:col>
      <xdr:colOff>596900</xdr:colOff>
      <xdr:row>12</xdr:row>
      <xdr:rowOff>20320</xdr:rowOff>
    </xdr:from>
    <xdr:to>
      <xdr:col>4</xdr:col>
      <xdr:colOff>165100</xdr:colOff>
      <xdr:row>12</xdr:row>
      <xdr:rowOff>147320</xdr:rowOff>
    </xdr:to>
    <xdr:sp macro="" textlink="">
      <xdr:nvSpPr>
        <xdr:cNvPr id="143" name="Rectangle 142"/>
        <xdr:cNvSpPr/>
      </xdr:nvSpPr>
      <xdr:spPr>
        <a:xfrm>
          <a:off x="2425700" y="20320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4</xdr:col>
      <xdr:colOff>190500</xdr:colOff>
      <xdr:row>11</xdr:row>
      <xdr:rowOff>137160</xdr:rowOff>
    </xdr:from>
    <xdr:to>
      <xdr:col>4</xdr:col>
      <xdr:colOff>419100</xdr:colOff>
      <xdr:row>13</xdr:row>
      <xdr:rowOff>5080</xdr:rowOff>
    </xdr:to>
    <xdr:sp macro="" textlink="">
      <xdr:nvSpPr>
        <xdr:cNvPr id="144" name="Rectangle 143"/>
        <xdr:cNvSpPr/>
      </xdr:nvSpPr>
      <xdr:spPr>
        <a:xfrm>
          <a:off x="2628900" y="19812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+2</a:t>
          </a:r>
        </a:p>
      </xdr:txBody>
    </xdr:sp>
    <xdr:clientData/>
  </xdr:twoCellAnchor>
  <xdr:twoCellAnchor editAs="oneCell">
    <xdr:from>
      <xdr:col>9</xdr:col>
      <xdr:colOff>518160</xdr:colOff>
      <xdr:row>9</xdr:row>
      <xdr:rowOff>38100</xdr:rowOff>
    </xdr:from>
    <xdr:to>
      <xdr:col>10</xdr:col>
      <xdr:colOff>571500</xdr:colOff>
      <xdr:row>13</xdr:row>
      <xdr:rowOff>30480</xdr:rowOff>
    </xdr:to>
    <xdr:pic>
      <xdr:nvPicPr>
        <xdr:cNvPr id="812133" name="Picture 14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15468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9</xdr:row>
      <xdr:rowOff>27940</xdr:rowOff>
    </xdr:from>
    <xdr:to>
      <xdr:col>5</xdr:col>
      <xdr:colOff>508000</xdr:colOff>
      <xdr:row>13</xdr:row>
      <xdr:rowOff>30480</xdr:rowOff>
    </xdr:to>
    <xdr:sp macro="" textlink="">
      <xdr:nvSpPr>
        <xdr:cNvPr id="146" name="Rectangle 145"/>
        <xdr:cNvSpPr/>
      </xdr:nvSpPr>
      <xdr:spPr>
        <a:xfrm>
          <a:off x="2882900" y="15367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9</xdr:row>
      <xdr:rowOff>27940</xdr:rowOff>
    </xdr:from>
    <xdr:to>
      <xdr:col>9</xdr:col>
      <xdr:colOff>508000</xdr:colOff>
      <xdr:row>13</xdr:row>
      <xdr:rowOff>30480</xdr:rowOff>
    </xdr:to>
    <xdr:sp macro="" textlink="">
      <xdr:nvSpPr>
        <xdr:cNvPr id="147" name="Rectangle 146"/>
        <xdr:cNvSpPr/>
      </xdr:nvSpPr>
      <xdr:spPr>
        <a:xfrm>
          <a:off x="5321300" y="15367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9</xdr:row>
      <xdr:rowOff>40640</xdr:rowOff>
    </xdr:from>
    <xdr:to>
      <xdr:col>5</xdr:col>
      <xdr:colOff>0</xdr:colOff>
      <xdr:row>11</xdr:row>
      <xdr:rowOff>137160</xdr:rowOff>
    </xdr:to>
    <xdr:sp macro="" textlink="">
      <xdr:nvSpPr>
        <xdr:cNvPr id="148" name="Rectangle 147"/>
        <xdr:cNvSpPr/>
      </xdr:nvSpPr>
      <xdr:spPr>
        <a:xfrm>
          <a:off x="2895600" y="1549400"/>
          <a:ext cx="152400" cy="4318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FFFF00"/>
              </a:solidFill>
              <a:latin typeface=""/>
            </a:rPr>
            <a:t>Bernadotte</a:t>
          </a:r>
        </a:p>
      </xdr:txBody>
    </xdr:sp>
    <xdr:clientData/>
  </xdr:twoCellAnchor>
  <xdr:twoCellAnchor editAs="oneCell">
    <xdr:from>
      <xdr:col>5</xdr:col>
      <xdr:colOff>304800</xdr:colOff>
      <xdr:row>9</xdr:row>
      <xdr:rowOff>38100</xdr:rowOff>
    </xdr:from>
    <xdr:to>
      <xdr:col>5</xdr:col>
      <xdr:colOff>510540</xdr:colOff>
      <xdr:row>10</xdr:row>
      <xdr:rowOff>76200</xdr:rowOff>
    </xdr:to>
    <xdr:pic>
      <xdr:nvPicPr>
        <xdr:cNvPr id="812137" name="Picture 148"/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5468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480060</xdr:colOff>
      <xdr:row>9</xdr:row>
      <xdr:rowOff>91440</xdr:rowOff>
    </xdr:from>
    <xdr:to>
      <xdr:col>5</xdr:col>
      <xdr:colOff>434340</xdr:colOff>
      <xdr:row>12</xdr:row>
      <xdr:rowOff>144780</xdr:rowOff>
    </xdr:to>
    <xdr:pic>
      <xdr:nvPicPr>
        <xdr:cNvPr id="812138" name="Picture 149"/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8460" y="1600200"/>
          <a:ext cx="56388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482600</xdr:colOff>
      <xdr:row>11</xdr:row>
      <xdr:rowOff>137160</xdr:rowOff>
    </xdr:from>
    <xdr:to>
      <xdr:col>5</xdr:col>
      <xdr:colOff>25400</xdr:colOff>
      <xdr:row>13</xdr:row>
      <xdr:rowOff>5080</xdr:rowOff>
    </xdr:to>
    <xdr:sp macro="" textlink="">
      <xdr:nvSpPr>
        <xdr:cNvPr id="151" name="Rectangle 150"/>
        <xdr:cNvSpPr/>
      </xdr:nvSpPr>
      <xdr:spPr>
        <a:xfrm>
          <a:off x="2921000" y="19812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5</xdr:col>
      <xdr:colOff>50800</xdr:colOff>
      <xdr:row>12</xdr:row>
      <xdr:rowOff>20320</xdr:rowOff>
    </xdr:from>
    <xdr:to>
      <xdr:col>5</xdr:col>
      <xdr:colOff>228600</xdr:colOff>
      <xdr:row>12</xdr:row>
      <xdr:rowOff>147320</xdr:rowOff>
    </xdr:to>
    <xdr:sp macro="" textlink="">
      <xdr:nvSpPr>
        <xdr:cNvPr id="152" name="Rectangle 151"/>
        <xdr:cNvSpPr/>
      </xdr:nvSpPr>
      <xdr:spPr>
        <a:xfrm>
          <a:off x="3098800" y="20320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5</xdr:col>
      <xdr:colOff>254000</xdr:colOff>
      <xdr:row>11</xdr:row>
      <xdr:rowOff>137160</xdr:rowOff>
    </xdr:from>
    <xdr:to>
      <xdr:col>5</xdr:col>
      <xdr:colOff>482600</xdr:colOff>
      <xdr:row>13</xdr:row>
      <xdr:rowOff>5080</xdr:rowOff>
    </xdr:to>
    <xdr:sp macro="" textlink="">
      <xdr:nvSpPr>
        <xdr:cNvPr id="153" name="Rectangle 152"/>
        <xdr:cNvSpPr/>
      </xdr:nvSpPr>
      <xdr:spPr>
        <a:xfrm>
          <a:off x="3302000" y="19812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+3</a:t>
          </a:r>
        </a:p>
      </xdr:txBody>
    </xdr:sp>
    <xdr:clientData/>
  </xdr:twoCellAnchor>
  <xdr:twoCellAnchor editAs="oneCell">
    <xdr:from>
      <xdr:col>8</xdr:col>
      <xdr:colOff>457200</xdr:colOff>
      <xdr:row>9</xdr:row>
      <xdr:rowOff>38100</xdr:rowOff>
    </xdr:from>
    <xdr:to>
      <xdr:col>9</xdr:col>
      <xdr:colOff>510540</xdr:colOff>
      <xdr:row>13</xdr:row>
      <xdr:rowOff>30480</xdr:rowOff>
    </xdr:to>
    <xdr:pic>
      <xdr:nvPicPr>
        <xdr:cNvPr id="812142" name="Picture 153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15468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9</xdr:row>
      <xdr:rowOff>27940</xdr:rowOff>
    </xdr:from>
    <xdr:to>
      <xdr:col>6</xdr:col>
      <xdr:colOff>571500</xdr:colOff>
      <xdr:row>13</xdr:row>
      <xdr:rowOff>30480</xdr:rowOff>
    </xdr:to>
    <xdr:sp macro="" textlink="">
      <xdr:nvSpPr>
        <xdr:cNvPr id="155" name="Rectangle 154"/>
        <xdr:cNvSpPr/>
      </xdr:nvSpPr>
      <xdr:spPr>
        <a:xfrm>
          <a:off x="3556000" y="1536700"/>
          <a:ext cx="673100" cy="673100"/>
        </a:xfrm>
        <a:prstGeom prst="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9</xdr:row>
      <xdr:rowOff>27940</xdr:rowOff>
    </xdr:from>
    <xdr:to>
      <xdr:col>8</xdr:col>
      <xdr:colOff>444500</xdr:colOff>
      <xdr:row>13</xdr:row>
      <xdr:rowOff>30480</xdr:rowOff>
    </xdr:to>
    <xdr:sp macro="" textlink="">
      <xdr:nvSpPr>
        <xdr:cNvPr id="156" name="Rectangle 155"/>
        <xdr:cNvSpPr/>
      </xdr:nvSpPr>
      <xdr:spPr>
        <a:xfrm>
          <a:off x="4648200" y="1536700"/>
          <a:ext cx="673100" cy="673100"/>
        </a:xfrm>
        <a:prstGeom prst="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9</xdr:row>
      <xdr:rowOff>40640</xdr:rowOff>
    </xdr:from>
    <xdr:to>
      <xdr:col>6</xdr:col>
      <xdr:colOff>63500</xdr:colOff>
      <xdr:row>11</xdr:row>
      <xdr:rowOff>137160</xdr:rowOff>
    </xdr:to>
    <xdr:sp macro="" textlink="">
      <xdr:nvSpPr>
        <xdr:cNvPr id="157" name="Rectangle 156"/>
        <xdr:cNvSpPr/>
      </xdr:nvSpPr>
      <xdr:spPr>
        <a:xfrm>
          <a:off x="3568700" y="1549400"/>
          <a:ext cx="152400" cy="4318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Schwrznbg</a:t>
          </a:r>
        </a:p>
      </xdr:txBody>
    </xdr:sp>
    <xdr:clientData/>
  </xdr:twoCellAnchor>
  <xdr:twoCellAnchor editAs="oneCell">
    <xdr:from>
      <xdr:col>6</xdr:col>
      <xdr:colOff>365760</xdr:colOff>
      <xdr:row>9</xdr:row>
      <xdr:rowOff>38100</xdr:rowOff>
    </xdr:from>
    <xdr:to>
      <xdr:col>6</xdr:col>
      <xdr:colOff>571500</xdr:colOff>
      <xdr:row>10</xdr:row>
      <xdr:rowOff>76200</xdr:rowOff>
    </xdr:to>
    <xdr:pic>
      <xdr:nvPicPr>
        <xdr:cNvPr id="812146" name="Picture 157"/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3360" y="15468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548640</xdr:colOff>
      <xdr:row>9</xdr:row>
      <xdr:rowOff>91440</xdr:rowOff>
    </xdr:from>
    <xdr:to>
      <xdr:col>6</xdr:col>
      <xdr:colOff>495300</xdr:colOff>
      <xdr:row>12</xdr:row>
      <xdr:rowOff>144780</xdr:rowOff>
    </xdr:to>
    <xdr:pic>
      <xdr:nvPicPr>
        <xdr:cNvPr id="812147" name="Picture 158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1600200"/>
          <a:ext cx="55626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546100</xdr:colOff>
      <xdr:row>11</xdr:row>
      <xdr:rowOff>137160</xdr:rowOff>
    </xdr:from>
    <xdr:to>
      <xdr:col>6</xdr:col>
      <xdr:colOff>88900</xdr:colOff>
      <xdr:row>13</xdr:row>
      <xdr:rowOff>5080</xdr:rowOff>
    </xdr:to>
    <xdr:sp macro="" textlink="">
      <xdr:nvSpPr>
        <xdr:cNvPr id="160" name="Rectangle 159"/>
        <xdr:cNvSpPr/>
      </xdr:nvSpPr>
      <xdr:spPr>
        <a:xfrm>
          <a:off x="3594100" y="19812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114300</xdr:colOff>
      <xdr:row>12</xdr:row>
      <xdr:rowOff>20320</xdr:rowOff>
    </xdr:from>
    <xdr:to>
      <xdr:col>6</xdr:col>
      <xdr:colOff>292100</xdr:colOff>
      <xdr:row>12</xdr:row>
      <xdr:rowOff>147320</xdr:rowOff>
    </xdr:to>
    <xdr:sp macro="" textlink="">
      <xdr:nvSpPr>
        <xdr:cNvPr id="161" name="Rectangle 160"/>
        <xdr:cNvSpPr/>
      </xdr:nvSpPr>
      <xdr:spPr>
        <a:xfrm>
          <a:off x="3771900" y="20320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6</xdr:col>
      <xdr:colOff>317500</xdr:colOff>
      <xdr:row>11</xdr:row>
      <xdr:rowOff>137160</xdr:rowOff>
    </xdr:from>
    <xdr:to>
      <xdr:col>6</xdr:col>
      <xdr:colOff>546100</xdr:colOff>
      <xdr:row>13</xdr:row>
      <xdr:rowOff>5080</xdr:rowOff>
    </xdr:to>
    <xdr:sp macro="" textlink="">
      <xdr:nvSpPr>
        <xdr:cNvPr id="162" name="Rectangle 161"/>
        <xdr:cNvSpPr/>
      </xdr:nvSpPr>
      <xdr:spPr>
        <a:xfrm>
          <a:off x="3975100" y="19812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+4</a:t>
          </a:r>
        </a:p>
      </xdr:txBody>
    </xdr:sp>
    <xdr:clientData/>
  </xdr:twoCellAnchor>
  <xdr:twoCellAnchor editAs="oneCell">
    <xdr:from>
      <xdr:col>7</xdr:col>
      <xdr:colOff>396240</xdr:colOff>
      <xdr:row>9</xdr:row>
      <xdr:rowOff>38100</xdr:rowOff>
    </xdr:from>
    <xdr:to>
      <xdr:col>8</xdr:col>
      <xdr:colOff>441960</xdr:colOff>
      <xdr:row>13</xdr:row>
      <xdr:rowOff>30480</xdr:rowOff>
    </xdr:to>
    <xdr:pic>
      <xdr:nvPicPr>
        <xdr:cNvPr id="812151" name="Picture 162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15468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13</xdr:row>
      <xdr:rowOff>30480</xdr:rowOff>
    </xdr:from>
    <xdr:to>
      <xdr:col>1</xdr:col>
      <xdr:colOff>254000</xdr:colOff>
      <xdr:row>17</xdr:row>
      <xdr:rowOff>33020</xdr:rowOff>
    </xdr:to>
    <xdr:sp macro="" textlink="">
      <xdr:nvSpPr>
        <xdr:cNvPr id="164" name="Rectangle 163"/>
        <xdr:cNvSpPr/>
      </xdr:nvSpPr>
      <xdr:spPr>
        <a:xfrm>
          <a:off x="190500" y="22098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13</xdr:row>
      <xdr:rowOff>30480</xdr:rowOff>
    </xdr:from>
    <xdr:to>
      <xdr:col>14</xdr:col>
      <xdr:colOff>152400</xdr:colOff>
      <xdr:row>17</xdr:row>
      <xdr:rowOff>33020</xdr:rowOff>
    </xdr:to>
    <xdr:sp macro="" textlink="">
      <xdr:nvSpPr>
        <xdr:cNvPr id="165" name="Rectangle 164"/>
        <xdr:cNvSpPr/>
      </xdr:nvSpPr>
      <xdr:spPr>
        <a:xfrm>
          <a:off x="8013700" y="22098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13</xdr:row>
      <xdr:rowOff>43180</xdr:rowOff>
    </xdr:from>
    <xdr:to>
      <xdr:col>0</xdr:col>
      <xdr:colOff>355600</xdr:colOff>
      <xdr:row>15</xdr:row>
      <xdr:rowOff>139700</xdr:rowOff>
    </xdr:to>
    <xdr:sp macro="" textlink="">
      <xdr:nvSpPr>
        <xdr:cNvPr id="166" name="Rectangle 165"/>
        <xdr:cNvSpPr/>
      </xdr:nvSpPr>
      <xdr:spPr>
        <a:xfrm>
          <a:off x="203200" y="2222500"/>
          <a:ext cx="152400" cy="431800"/>
        </a:xfrm>
        <a:prstGeom prst="rect">
          <a:avLst/>
        </a:prstGeom>
        <a:solidFill>
          <a:srgbClr val="008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FFFF00"/>
              </a:solidFill>
              <a:latin typeface=""/>
            </a:rPr>
            <a:t>Bennigsen</a:t>
          </a:r>
        </a:p>
      </xdr:txBody>
    </xdr:sp>
    <xdr:clientData/>
  </xdr:twoCellAnchor>
  <xdr:twoCellAnchor editAs="oneCell">
    <xdr:from>
      <xdr:col>1</xdr:col>
      <xdr:colOff>53340</xdr:colOff>
      <xdr:row>13</xdr:row>
      <xdr:rowOff>45720</xdr:rowOff>
    </xdr:from>
    <xdr:to>
      <xdr:col>1</xdr:col>
      <xdr:colOff>251460</xdr:colOff>
      <xdr:row>14</xdr:row>
      <xdr:rowOff>76200</xdr:rowOff>
    </xdr:to>
    <xdr:pic>
      <xdr:nvPicPr>
        <xdr:cNvPr id="812155" name="Picture 166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" y="2225040"/>
          <a:ext cx="19812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13</xdr:row>
      <xdr:rowOff>91440</xdr:rowOff>
    </xdr:from>
    <xdr:to>
      <xdr:col>1</xdr:col>
      <xdr:colOff>175260</xdr:colOff>
      <xdr:row>16</xdr:row>
      <xdr:rowOff>152400</xdr:rowOff>
    </xdr:to>
    <xdr:pic>
      <xdr:nvPicPr>
        <xdr:cNvPr id="812156" name="Picture 167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270760"/>
          <a:ext cx="55626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15</xdr:row>
      <xdr:rowOff>139700</xdr:rowOff>
    </xdr:from>
    <xdr:to>
      <xdr:col>0</xdr:col>
      <xdr:colOff>381000</xdr:colOff>
      <xdr:row>17</xdr:row>
      <xdr:rowOff>7620</xdr:rowOff>
    </xdr:to>
    <xdr:sp macro="" textlink="">
      <xdr:nvSpPr>
        <xdr:cNvPr id="169" name="Rectangle 168"/>
        <xdr:cNvSpPr/>
      </xdr:nvSpPr>
      <xdr:spPr>
        <a:xfrm>
          <a:off x="228600" y="26543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406400</xdr:colOff>
      <xdr:row>16</xdr:row>
      <xdr:rowOff>22860</xdr:rowOff>
    </xdr:from>
    <xdr:to>
      <xdr:col>0</xdr:col>
      <xdr:colOff>584200</xdr:colOff>
      <xdr:row>16</xdr:row>
      <xdr:rowOff>149860</xdr:rowOff>
    </xdr:to>
    <xdr:sp macro="" textlink="">
      <xdr:nvSpPr>
        <xdr:cNvPr id="170" name="Rectangle 169"/>
        <xdr:cNvSpPr/>
      </xdr:nvSpPr>
      <xdr:spPr>
        <a:xfrm>
          <a:off x="406400" y="27051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****</a:t>
          </a:r>
        </a:p>
      </xdr:txBody>
    </xdr:sp>
    <xdr:clientData/>
  </xdr:twoCellAnchor>
  <xdr:twoCellAnchor editAs="absolute">
    <xdr:from>
      <xdr:col>1</xdr:col>
      <xdr:colOff>0</xdr:colOff>
      <xdr:row>15</xdr:row>
      <xdr:rowOff>139700</xdr:rowOff>
    </xdr:from>
    <xdr:to>
      <xdr:col>1</xdr:col>
      <xdr:colOff>228600</xdr:colOff>
      <xdr:row>17</xdr:row>
      <xdr:rowOff>7620</xdr:rowOff>
    </xdr:to>
    <xdr:sp macro="" textlink="">
      <xdr:nvSpPr>
        <xdr:cNvPr id="171" name="Rectangle 170"/>
        <xdr:cNvSpPr/>
      </xdr:nvSpPr>
      <xdr:spPr>
        <a:xfrm>
          <a:off x="609600" y="26543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+5</a:t>
          </a:r>
        </a:p>
      </xdr:txBody>
    </xdr:sp>
    <xdr:clientData/>
  </xdr:twoCellAnchor>
  <xdr:twoCellAnchor editAs="oneCell">
    <xdr:from>
      <xdr:col>13</xdr:col>
      <xdr:colOff>99060</xdr:colOff>
      <xdr:row>13</xdr:row>
      <xdr:rowOff>45720</xdr:rowOff>
    </xdr:from>
    <xdr:to>
      <xdr:col>14</xdr:col>
      <xdr:colOff>152400</xdr:colOff>
      <xdr:row>17</xdr:row>
      <xdr:rowOff>30480</xdr:rowOff>
    </xdr:to>
    <xdr:pic>
      <xdr:nvPicPr>
        <xdr:cNvPr id="812160" name="Picture 17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22250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13</xdr:row>
      <xdr:rowOff>30480</xdr:rowOff>
    </xdr:from>
    <xdr:to>
      <xdr:col>2</xdr:col>
      <xdr:colOff>317500</xdr:colOff>
      <xdr:row>17</xdr:row>
      <xdr:rowOff>33020</xdr:rowOff>
    </xdr:to>
    <xdr:sp macro="" textlink="">
      <xdr:nvSpPr>
        <xdr:cNvPr id="173" name="Rectangle 172"/>
        <xdr:cNvSpPr/>
      </xdr:nvSpPr>
      <xdr:spPr>
        <a:xfrm>
          <a:off x="8636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13</xdr:row>
      <xdr:rowOff>30480</xdr:rowOff>
    </xdr:from>
    <xdr:to>
      <xdr:col>13</xdr:col>
      <xdr:colOff>88900</xdr:colOff>
      <xdr:row>17</xdr:row>
      <xdr:rowOff>33020</xdr:rowOff>
    </xdr:to>
    <xdr:sp macro="" textlink="">
      <xdr:nvSpPr>
        <xdr:cNvPr id="174" name="Rectangle 173"/>
        <xdr:cNvSpPr/>
      </xdr:nvSpPr>
      <xdr:spPr>
        <a:xfrm>
          <a:off x="73406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13</xdr:row>
      <xdr:rowOff>43180</xdr:rowOff>
    </xdr:from>
    <xdr:to>
      <xdr:col>1</xdr:col>
      <xdr:colOff>419100</xdr:colOff>
      <xdr:row>15</xdr:row>
      <xdr:rowOff>139700</xdr:rowOff>
    </xdr:to>
    <xdr:sp macro="" textlink="">
      <xdr:nvSpPr>
        <xdr:cNvPr id="175" name="Rectangle 174"/>
        <xdr:cNvSpPr/>
      </xdr:nvSpPr>
      <xdr:spPr>
        <a:xfrm>
          <a:off x="876300" y="2222500"/>
          <a:ext cx="152400" cy="4318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12700" tIns="12700" rIns="12700" bIns="12700" rtlCol="0" anchor="b"/>
        <a:lstStyle/>
        <a:p>
          <a:pPr algn="ctr"/>
          <a:r>
            <a:rPr lang="en-GB" sz="600" b="0">
              <a:solidFill>
                <a:srgbClr val="FFFF00"/>
              </a:solidFill>
              <a:latin typeface=""/>
            </a:rPr>
            <a:t>Bülow</a:t>
          </a:r>
        </a:p>
      </xdr:txBody>
    </xdr:sp>
    <xdr:clientData/>
  </xdr:twoCellAnchor>
  <xdr:twoCellAnchor editAs="oneCell">
    <xdr:from>
      <xdr:col>2</xdr:col>
      <xdr:colOff>114300</xdr:colOff>
      <xdr:row>13</xdr:row>
      <xdr:rowOff>45720</xdr:rowOff>
    </xdr:from>
    <xdr:to>
      <xdr:col>2</xdr:col>
      <xdr:colOff>320040</xdr:colOff>
      <xdr:row>14</xdr:row>
      <xdr:rowOff>76200</xdr:rowOff>
    </xdr:to>
    <xdr:pic>
      <xdr:nvPicPr>
        <xdr:cNvPr id="812164" name="Picture 175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225040"/>
          <a:ext cx="20574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289560</xdr:colOff>
      <xdr:row>13</xdr:row>
      <xdr:rowOff>91440</xdr:rowOff>
    </xdr:from>
    <xdr:to>
      <xdr:col>2</xdr:col>
      <xdr:colOff>243840</xdr:colOff>
      <xdr:row>16</xdr:row>
      <xdr:rowOff>152400</xdr:rowOff>
    </xdr:to>
    <xdr:pic>
      <xdr:nvPicPr>
        <xdr:cNvPr id="812165" name="Picture 176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160" y="2270760"/>
          <a:ext cx="56388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292100</xdr:colOff>
      <xdr:row>15</xdr:row>
      <xdr:rowOff>139700</xdr:rowOff>
    </xdr:from>
    <xdr:to>
      <xdr:col>1</xdr:col>
      <xdr:colOff>444500</xdr:colOff>
      <xdr:row>17</xdr:row>
      <xdr:rowOff>7620</xdr:rowOff>
    </xdr:to>
    <xdr:sp macro="" textlink="">
      <xdr:nvSpPr>
        <xdr:cNvPr id="178" name="Rectangle 177"/>
        <xdr:cNvSpPr/>
      </xdr:nvSpPr>
      <xdr:spPr>
        <a:xfrm>
          <a:off x="901700" y="2654300"/>
          <a:ext cx="1524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469900</xdr:colOff>
      <xdr:row>16</xdr:row>
      <xdr:rowOff>22860</xdr:rowOff>
    </xdr:from>
    <xdr:to>
      <xdr:col>2</xdr:col>
      <xdr:colOff>38100</xdr:colOff>
      <xdr:row>16</xdr:row>
      <xdr:rowOff>149860</xdr:rowOff>
    </xdr:to>
    <xdr:sp macro="" textlink="">
      <xdr:nvSpPr>
        <xdr:cNvPr id="179" name="Rectangle 178"/>
        <xdr:cNvSpPr/>
      </xdr:nvSpPr>
      <xdr:spPr>
        <a:xfrm>
          <a:off x="1079500" y="2705100"/>
          <a:ext cx="177800" cy="127000"/>
        </a:xfrm>
        <a:prstGeom prst="rect">
          <a:avLst/>
        </a:prstGeom>
        <a:solidFill>
          <a:srgbClr val="3366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1">
              <a:solidFill>
                <a:srgbClr val="FFFF00"/>
              </a:solidFill>
              <a:latin typeface=""/>
            </a:rPr>
            <a:t>**</a:t>
          </a:r>
        </a:p>
      </xdr:txBody>
    </xdr:sp>
    <xdr:clientData/>
  </xdr:twoCellAnchor>
  <xdr:twoCellAnchor editAs="absolute">
    <xdr:from>
      <xdr:col>2</xdr:col>
      <xdr:colOff>63500</xdr:colOff>
      <xdr:row>15</xdr:row>
      <xdr:rowOff>139700</xdr:rowOff>
    </xdr:from>
    <xdr:to>
      <xdr:col>2</xdr:col>
      <xdr:colOff>292100</xdr:colOff>
      <xdr:row>17</xdr:row>
      <xdr:rowOff>7620</xdr:rowOff>
    </xdr:to>
    <xdr:sp macro="" textlink="">
      <xdr:nvSpPr>
        <xdr:cNvPr id="180" name="Rectangle 179"/>
        <xdr:cNvSpPr/>
      </xdr:nvSpPr>
      <xdr:spPr>
        <a:xfrm>
          <a:off x="1282700" y="2654300"/>
          <a:ext cx="2286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+7</a:t>
          </a:r>
        </a:p>
      </xdr:txBody>
    </xdr:sp>
    <xdr:clientData/>
  </xdr:twoCellAnchor>
  <xdr:twoCellAnchor editAs="oneCell">
    <xdr:from>
      <xdr:col>12</xdr:col>
      <xdr:colOff>38100</xdr:colOff>
      <xdr:row>13</xdr:row>
      <xdr:rowOff>45720</xdr:rowOff>
    </xdr:from>
    <xdr:to>
      <xdr:col>13</xdr:col>
      <xdr:colOff>91440</xdr:colOff>
      <xdr:row>17</xdr:row>
      <xdr:rowOff>30480</xdr:rowOff>
    </xdr:to>
    <xdr:pic>
      <xdr:nvPicPr>
        <xdr:cNvPr id="812169" name="Picture 180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22250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13</xdr:row>
      <xdr:rowOff>30480</xdr:rowOff>
    </xdr:from>
    <xdr:to>
      <xdr:col>3</xdr:col>
      <xdr:colOff>381000</xdr:colOff>
      <xdr:row>17</xdr:row>
      <xdr:rowOff>33020</xdr:rowOff>
    </xdr:to>
    <xdr:sp macro="" textlink="">
      <xdr:nvSpPr>
        <xdr:cNvPr id="182" name="Rectangle 181"/>
        <xdr:cNvSpPr/>
      </xdr:nvSpPr>
      <xdr:spPr>
        <a:xfrm>
          <a:off x="15367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13</xdr:row>
      <xdr:rowOff>30480</xdr:rowOff>
    </xdr:from>
    <xdr:to>
      <xdr:col>12</xdr:col>
      <xdr:colOff>25400</xdr:colOff>
      <xdr:row>17</xdr:row>
      <xdr:rowOff>33020</xdr:rowOff>
    </xdr:to>
    <xdr:sp macro="" textlink="">
      <xdr:nvSpPr>
        <xdr:cNvPr id="183" name="Rectangle 182"/>
        <xdr:cNvSpPr/>
      </xdr:nvSpPr>
      <xdr:spPr>
        <a:xfrm>
          <a:off x="66675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13</xdr:row>
      <xdr:rowOff>43180</xdr:rowOff>
    </xdr:from>
    <xdr:to>
      <xdr:col>3</xdr:col>
      <xdr:colOff>381000</xdr:colOff>
      <xdr:row>14</xdr:row>
      <xdr:rowOff>27940</xdr:rowOff>
    </xdr:to>
    <xdr:sp macro="" textlink="">
      <xdr:nvSpPr>
        <xdr:cNvPr id="184" name="Rectangle 183"/>
        <xdr:cNvSpPr/>
      </xdr:nvSpPr>
      <xdr:spPr>
        <a:xfrm>
          <a:off x="1549400" y="2222500"/>
          <a:ext cx="6604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absolute">
    <xdr:from>
      <xdr:col>3</xdr:col>
      <xdr:colOff>203200</xdr:colOff>
      <xdr:row>13</xdr:row>
      <xdr:rowOff>43180</xdr:rowOff>
    </xdr:from>
    <xdr:to>
      <xdr:col>3</xdr:col>
      <xdr:colOff>381000</xdr:colOff>
      <xdr:row>14</xdr:row>
      <xdr:rowOff>27940</xdr:rowOff>
    </xdr:to>
    <xdr:sp macro="" textlink="">
      <xdr:nvSpPr>
        <xdr:cNvPr id="185" name="Rectangle 184"/>
        <xdr:cNvSpPr/>
      </xdr:nvSpPr>
      <xdr:spPr>
        <a:xfrm>
          <a:off x="2032000" y="2222500"/>
          <a:ext cx="1778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2</xdr:col>
      <xdr:colOff>457200</xdr:colOff>
      <xdr:row>14</xdr:row>
      <xdr:rowOff>53340</xdr:rowOff>
    </xdr:from>
    <xdr:to>
      <xdr:col>3</xdr:col>
      <xdr:colOff>228600</xdr:colOff>
      <xdr:row>16</xdr:row>
      <xdr:rowOff>152400</xdr:rowOff>
    </xdr:to>
    <xdr:pic>
      <xdr:nvPicPr>
        <xdr:cNvPr id="812174" name="Picture 185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24003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15</xdr:row>
      <xdr:rowOff>139700</xdr:rowOff>
    </xdr:from>
    <xdr:to>
      <xdr:col>2</xdr:col>
      <xdr:colOff>533400</xdr:colOff>
      <xdr:row>17</xdr:row>
      <xdr:rowOff>7620</xdr:rowOff>
    </xdr:to>
    <xdr:sp macro="" textlink="">
      <xdr:nvSpPr>
        <xdr:cNvPr id="187" name="Rectangle 186"/>
        <xdr:cNvSpPr/>
      </xdr:nvSpPr>
      <xdr:spPr>
        <a:xfrm>
          <a:off x="15748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0</xdr:colOff>
      <xdr:row>15</xdr:row>
      <xdr:rowOff>165100</xdr:rowOff>
    </xdr:from>
    <xdr:to>
      <xdr:col>3</xdr:col>
      <xdr:colOff>152400</xdr:colOff>
      <xdr:row>17</xdr:row>
      <xdr:rowOff>7620</xdr:rowOff>
    </xdr:to>
    <xdr:sp macro="" textlink="">
      <xdr:nvSpPr>
        <xdr:cNvPr id="188" name="Rectangle 187"/>
        <xdr:cNvSpPr/>
      </xdr:nvSpPr>
      <xdr:spPr>
        <a:xfrm>
          <a:off x="1828800" y="2679700"/>
          <a:ext cx="152400" cy="1778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152400</xdr:colOff>
      <xdr:row>15</xdr:row>
      <xdr:rowOff>139700</xdr:rowOff>
    </xdr:from>
    <xdr:to>
      <xdr:col>3</xdr:col>
      <xdr:colOff>330200</xdr:colOff>
      <xdr:row>17</xdr:row>
      <xdr:rowOff>7620</xdr:rowOff>
    </xdr:to>
    <xdr:sp macro="" textlink="">
      <xdr:nvSpPr>
        <xdr:cNvPr id="189" name="Rectangle 188"/>
        <xdr:cNvSpPr/>
      </xdr:nvSpPr>
      <xdr:spPr>
        <a:xfrm>
          <a:off x="19812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10</xdr:col>
      <xdr:colOff>586740</xdr:colOff>
      <xdr:row>13</xdr:row>
      <xdr:rowOff>45720</xdr:rowOff>
    </xdr:from>
    <xdr:to>
      <xdr:col>12</xdr:col>
      <xdr:colOff>22860</xdr:colOff>
      <xdr:row>17</xdr:row>
      <xdr:rowOff>30480</xdr:rowOff>
    </xdr:to>
    <xdr:pic>
      <xdr:nvPicPr>
        <xdr:cNvPr id="812178" name="Picture 189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22250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13</xdr:row>
      <xdr:rowOff>30480</xdr:rowOff>
    </xdr:from>
    <xdr:to>
      <xdr:col>4</xdr:col>
      <xdr:colOff>444500</xdr:colOff>
      <xdr:row>17</xdr:row>
      <xdr:rowOff>33020</xdr:rowOff>
    </xdr:to>
    <xdr:sp macro="" textlink="">
      <xdr:nvSpPr>
        <xdr:cNvPr id="191" name="Rectangle 190"/>
        <xdr:cNvSpPr/>
      </xdr:nvSpPr>
      <xdr:spPr>
        <a:xfrm>
          <a:off x="22098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13</xdr:row>
      <xdr:rowOff>30480</xdr:rowOff>
    </xdr:from>
    <xdr:to>
      <xdr:col>10</xdr:col>
      <xdr:colOff>571500</xdr:colOff>
      <xdr:row>17</xdr:row>
      <xdr:rowOff>33020</xdr:rowOff>
    </xdr:to>
    <xdr:sp macro="" textlink="">
      <xdr:nvSpPr>
        <xdr:cNvPr id="192" name="Rectangle 191"/>
        <xdr:cNvSpPr/>
      </xdr:nvSpPr>
      <xdr:spPr>
        <a:xfrm>
          <a:off x="59944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13</xdr:row>
      <xdr:rowOff>43180</xdr:rowOff>
    </xdr:from>
    <xdr:to>
      <xdr:col>4</xdr:col>
      <xdr:colOff>444500</xdr:colOff>
      <xdr:row>14</xdr:row>
      <xdr:rowOff>27940</xdr:rowOff>
    </xdr:to>
    <xdr:sp macro="" textlink="">
      <xdr:nvSpPr>
        <xdr:cNvPr id="193" name="Rectangle 192"/>
        <xdr:cNvSpPr/>
      </xdr:nvSpPr>
      <xdr:spPr>
        <a:xfrm>
          <a:off x="2222500" y="2222500"/>
          <a:ext cx="6604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FFFF00"/>
              </a:solidFill>
              <a:latin typeface=""/>
            </a:rPr>
            <a:t>III</a:t>
          </a:r>
        </a:p>
      </xdr:txBody>
    </xdr:sp>
    <xdr:clientData/>
  </xdr:twoCellAnchor>
  <xdr:twoCellAnchor editAs="absolute">
    <xdr:from>
      <xdr:col>4</xdr:col>
      <xdr:colOff>266700</xdr:colOff>
      <xdr:row>13</xdr:row>
      <xdr:rowOff>43180</xdr:rowOff>
    </xdr:from>
    <xdr:to>
      <xdr:col>4</xdr:col>
      <xdr:colOff>444500</xdr:colOff>
      <xdr:row>14</xdr:row>
      <xdr:rowOff>27940</xdr:rowOff>
    </xdr:to>
    <xdr:sp macro="" textlink="">
      <xdr:nvSpPr>
        <xdr:cNvPr id="194" name="Rectangle 193"/>
        <xdr:cNvSpPr/>
      </xdr:nvSpPr>
      <xdr:spPr>
        <a:xfrm>
          <a:off x="2705100" y="2222500"/>
          <a:ext cx="1778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FFFF00"/>
            </a:solidFill>
            <a:latin typeface=""/>
          </a:endParaRPr>
        </a:p>
      </xdr:txBody>
    </xdr:sp>
    <xdr:clientData/>
  </xdr:twoCellAnchor>
  <xdr:twoCellAnchor editAs="oneCell">
    <xdr:from>
      <xdr:col>3</xdr:col>
      <xdr:colOff>518160</xdr:colOff>
      <xdr:row>14</xdr:row>
      <xdr:rowOff>53340</xdr:rowOff>
    </xdr:from>
    <xdr:to>
      <xdr:col>4</xdr:col>
      <xdr:colOff>289560</xdr:colOff>
      <xdr:row>16</xdr:row>
      <xdr:rowOff>152400</xdr:rowOff>
    </xdr:to>
    <xdr:pic>
      <xdr:nvPicPr>
        <xdr:cNvPr id="812183" name="Picture 194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6960" y="24003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419100</xdr:colOff>
      <xdr:row>15</xdr:row>
      <xdr:rowOff>139700</xdr:rowOff>
    </xdr:from>
    <xdr:to>
      <xdr:col>3</xdr:col>
      <xdr:colOff>596900</xdr:colOff>
      <xdr:row>17</xdr:row>
      <xdr:rowOff>7620</xdr:rowOff>
    </xdr:to>
    <xdr:sp macro="" textlink="">
      <xdr:nvSpPr>
        <xdr:cNvPr id="196" name="Rectangle 195"/>
        <xdr:cNvSpPr/>
      </xdr:nvSpPr>
      <xdr:spPr>
        <a:xfrm>
          <a:off x="22479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63500</xdr:colOff>
      <xdr:row>15</xdr:row>
      <xdr:rowOff>165100</xdr:rowOff>
    </xdr:from>
    <xdr:to>
      <xdr:col>4</xdr:col>
      <xdr:colOff>215900</xdr:colOff>
      <xdr:row>17</xdr:row>
      <xdr:rowOff>7620</xdr:rowOff>
    </xdr:to>
    <xdr:sp macro="" textlink="">
      <xdr:nvSpPr>
        <xdr:cNvPr id="197" name="Rectangle 196"/>
        <xdr:cNvSpPr/>
      </xdr:nvSpPr>
      <xdr:spPr>
        <a:xfrm>
          <a:off x="2501900" y="2679700"/>
          <a:ext cx="152400" cy="1778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215900</xdr:colOff>
      <xdr:row>15</xdr:row>
      <xdr:rowOff>139700</xdr:rowOff>
    </xdr:from>
    <xdr:to>
      <xdr:col>4</xdr:col>
      <xdr:colOff>393700</xdr:colOff>
      <xdr:row>17</xdr:row>
      <xdr:rowOff>7620</xdr:rowOff>
    </xdr:to>
    <xdr:sp macro="" textlink="">
      <xdr:nvSpPr>
        <xdr:cNvPr id="198" name="Rectangle 197"/>
        <xdr:cNvSpPr/>
      </xdr:nvSpPr>
      <xdr:spPr>
        <a:xfrm>
          <a:off x="26543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9</xdr:col>
      <xdr:colOff>518160</xdr:colOff>
      <xdr:row>13</xdr:row>
      <xdr:rowOff>45720</xdr:rowOff>
    </xdr:from>
    <xdr:to>
      <xdr:col>10</xdr:col>
      <xdr:colOff>571500</xdr:colOff>
      <xdr:row>17</xdr:row>
      <xdr:rowOff>30480</xdr:rowOff>
    </xdr:to>
    <xdr:pic>
      <xdr:nvPicPr>
        <xdr:cNvPr id="812187" name="Picture 198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22250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13</xdr:row>
      <xdr:rowOff>30480</xdr:rowOff>
    </xdr:from>
    <xdr:to>
      <xdr:col>5</xdr:col>
      <xdr:colOff>508000</xdr:colOff>
      <xdr:row>17</xdr:row>
      <xdr:rowOff>33020</xdr:rowOff>
    </xdr:to>
    <xdr:sp macro="" textlink="">
      <xdr:nvSpPr>
        <xdr:cNvPr id="200" name="Rectangle 199"/>
        <xdr:cNvSpPr/>
      </xdr:nvSpPr>
      <xdr:spPr>
        <a:xfrm>
          <a:off x="28829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13</xdr:row>
      <xdr:rowOff>30480</xdr:rowOff>
    </xdr:from>
    <xdr:to>
      <xdr:col>9</xdr:col>
      <xdr:colOff>508000</xdr:colOff>
      <xdr:row>17</xdr:row>
      <xdr:rowOff>33020</xdr:rowOff>
    </xdr:to>
    <xdr:sp macro="" textlink="">
      <xdr:nvSpPr>
        <xdr:cNvPr id="201" name="Rectangle 200"/>
        <xdr:cNvSpPr/>
      </xdr:nvSpPr>
      <xdr:spPr>
        <a:xfrm>
          <a:off x="53213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13</xdr:row>
      <xdr:rowOff>43180</xdr:rowOff>
    </xdr:from>
    <xdr:to>
      <xdr:col>5</xdr:col>
      <xdr:colOff>508000</xdr:colOff>
      <xdr:row>14</xdr:row>
      <xdr:rowOff>27940</xdr:rowOff>
    </xdr:to>
    <xdr:sp macro="" textlink="">
      <xdr:nvSpPr>
        <xdr:cNvPr id="202" name="Rectangle 201"/>
        <xdr:cNvSpPr/>
      </xdr:nvSpPr>
      <xdr:spPr>
        <a:xfrm>
          <a:off x="2895600" y="2222500"/>
          <a:ext cx="6604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Garde</a:t>
          </a:r>
        </a:p>
      </xdr:txBody>
    </xdr:sp>
    <xdr:clientData/>
  </xdr:twoCellAnchor>
  <xdr:twoCellAnchor editAs="absolute">
    <xdr:from>
      <xdr:col>5</xdr:col>
      <xdr:colOff>330200</xdr:colOff>
      <xdr:row>13</xdr:row>
      <xdr:rowOff>43180</xdr:rowOff>
    </xdr:from>
    <xdr:to>
      <xdr:col>5</xdr:col>
      <xdr:colOff>508000</xdr:colOff>
      <xdr:row>14</xdr:row>
      <xdr:rowOff>27940</xdr:rowOff>
    </xdr:to>
    <xdr:sp macro="" textlink="">
      <xdr:nvSpPr>
        <xdr:cNvPr id="203" name="Rectangle 202"/>
        <xdr:cNvSpPr/>
      </xdr:nvSpPr>
      <xdr:spPr>
        <a:xfrm>
          <a:off x="3378200" y="2222500"/>
          <a:ext cx="1778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GD</a:t>
          </a:r>
        </a:p>
      </xdr:txBody>
    </xdr:sp>
    <xdr:clientData/>
  </xdr:twoCellAnchor>
  <xdr:twoCellAnchor editAs="oneCell">
    <xdr:from>
      <xdr:col>4</xdr:col>
      <xdr:colOff>586740</xdr:colOff>
      <xdr:row>14</xdr:row>
      <xdr:rowOff>53340</xdr:rowOff>
    </xdr:from>
    <xdr:to>
      <xdr:col>5</xdr:col>
      <xdr:colOff>358140</xdr:colOff>
      <xdr:row>16</xdr:row>
      <xdr:rowOff>152400</xdr:rowOff>
    </xdr:to>
    <xdr:pic>
      <xdr:nvPicPr>
        <xdr:cNvPr id="812192" name="Picture 203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24003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482600</xdr:colOff>
      <xdr:row>15</xdr:row>
      <xdr:rowOff>139700</xdr:rowOff>
    </xdr:from>
    <xdr:to>
      <xdr:col>5</xdr:col>
      <xdr:colOff>50800</xdr:colOff>
      <xdr:row>17</xdr:row>
      <xdr:rowOff>7620</xdr:rowOff>
    </xdr:to>
    <xdr:sp macro="" textlink="">
      <xdr:nvSpPr>
        <xdr:cNvPr id="205" name="Rectangle 204"/>
        <xdr:cNvSpPr/>
      </xdr:nvSpPr>
      <xdr:spPr>
        <a:xfrm>
          <a:off x="29210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127000</xdr:colOff>
      <xdr:row>15</xdr:row>
      <xdr:rowOff>165100</xdr:rowOff>
    </xdr:from>
    <xdr:to>
      <xdr:col>5</xdr:col>
      <xdr:colOff>279400</xdr:colOff>
      <xdr:row>17</xdr:row>
      <xdr:rowOff>7620</xdr:rowOff>
    </xdr:to>
    <xdr:sp macro="" textlink="">
      <xdr:nvSpPr>
        <xdr:cNvPr id="206" name="Rectangle 205"/>
        <xdr:cNvSpPr/>
      </xdr:nvSpPr>
      <xdr:spPr>
        <a:xfrm>
          <a:off x="3175000" y="2679700"/>
          <a:ext cx="152400" cy="1778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279400</xdr:colOff>
      <xdr:row>15</xdr:row>
      <xdr:rowOff>139700</xdr:rowOff>
    </xdr:from>
    <xdr:to>
      <xdr:col>5</xdr:col>
      <xdr:colOff>457200</xdr:colOff>
      <xdr:row>17</xdr:row>
      <xdr:rowOff>7620</xdr:rowOff>
    </xdr:to>
    <xdr:sp macro="" textlink="">
      <xdr:nvSpPr>
        <xdr:cNvPr id="207" name="Rectangle 206"/>
        <xdr:cNvSpPr/>
      </xdr:nvSpPr>
      <xdr:spPr>
        <a:xfrm>
          <a:off x="33274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8</xdr:col>
      <xdr:colOff>457200</xdr:colOff>
      <xdr:row>13</xdr:row>
      <xdr:rowOff>45720</xdr:rowOff>
    </xdr:from>
    <xdr:to>
      <xdr:col>9</xdr:col>
      <xdr:colOff>510540</xdr:colOff>
      <xdr:row>17</xdr:row>
      <xdr:rowOff>30480</xdr:rowOff>
    </xdr:to>
    <xdr:pic>
      <xdr:nvPicPr>
        <xdr:cNvPr id="812196" name="Picture 207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22250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13</xdr:row>
      <xdr:rowOff>30480</xdr:rowOff>
    </xdr:from>
    <xdr:to>
      <xdr:col>6</xdr:col>
      <xdr:colOff>571500</xdr:colOff>
      <xdr:row>17</xdr:row>
      <xdr:rowOff>33020</xdr:rowOff>
    </xdr:to>
    <xdr:sp macro="" textlink="">
      <xdr:nvSpPr>
        <xdr:cNvPr id="209" name="Rectangle 208"/>
        <xdr:cNvSpPr/>
      </xdr:nvSpPr>
      <xdr:spPr>
        <a:xfrm>
          <a:off x="35560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13</xdr:row>
      <xdr:rowOff>30480</xdr:rowOff>
    </xdr:from>
    <xdr:to>
      <xdr:col>8</xdr:col>
      <xdr:colOff>444500</xdr:colOff>
      <xdr:row>17</xdr:row>
      <xdr:rowOff>33020</xdr:rowOff>
    </xdr:to>
    <xdr:sp macro="" textlink="">
      <xdr:nvSpPr>
        <xdr:cNvPr id="210" name="Rectangle 209"/>
        <xdr:cNvSpPr/>
      </xdr:nvSpPr>
      <xdr:spPr>
        <a:xfrm>
          <a:off x="4648200" y="22098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13</xdr:row>
      <xdr:rowOff>43180</xdr:rowOff>
    </xdr:from>
    <xdr:to>
      <xdr:col>6</xdr:col>
      <xdr:colOff>571500</xdr:colOff>
      <xdr:row>14</xdr:row>
      <xdr:rowOff>27940</xdr:rowOff>
    </xdr:to>
    <xdr:sp macro="" textlink="">
      <xdr:nvSpPr>
        <xdr:cNvPr id="211" name="Rectangle 210"/>
        <xdr:cNvSpPr/>
      </xdr:nvSpPr>
      <xdr:spPr>
        <a:xfrm>
          <a:off x="3568700" y="2222500"/>
          <a:ext cx="6604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Art. Res.</a:t>
          </a:r>
        </a:p>
      </xdr:txBody>
    </xdr:sp>
    <xdr:clientData/>
  </xdr:twoCellAnchor>
  <xdr:twoCellAnchor editAs="absolute">
    <xdr:from>
      <xdr:col>6</xdr:col>
      <xdr:colOff>393700</xdr:colOff>
      <xdr:row>13</xdr:row>
      <xdr:rowOff>43180</xdr:rowOff>
    </xdr:from>
    <xdr:to>
      <xdr:col>6</xdr:col>
      <xdr:colOff>571500</xdr:colOff>
      <xdr:row>14</xdr:row>
      <xdr:rowOff>27940</xdr:rowOff>
    </xdr:to>
    <xdr:sp macro="" textlink="">
      <xdr:nvSpPr>
        <xdr:cNvPr id="212" name="Rectangle 211"/>
        <xdr:cNvSpPr/>
      </xdr:nvSpPr>
      <xdr:spPr>
        <a:xfrm>
          <a:off x="4051300" y="2222500"/>
          <a:ext cx="1778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6</xdr:col>
      <xdr:colOff>15240</xdr:colOff>
      <xdr:row>13</xdr:row>
      <xdr:rowOff>144780</xdr:rowOff>
    </xdr:from>
    <xdr:to>
      <xdr:col>6</xdr:col>
      <xdr:colOff>396240</xdr:colOff>
      <xdr:row>16</xdr:row>
      <xdr:rowOff>76200</xdr:rowOff>
    </xdr:to>
    <xdr:pic>
      <xdr:nvPicPr>
        <xdr:cNvPr id="812201" name="Picture 212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2840" y="23241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546100</xdr:colOff>
      <xdr:row>15</xdr:row>
      <xdr:rowOff>139700</xdr:rowOff>
    </xdr:from>
    <xdr:to>
      <xdr:col>6</xdr:col>
      <xdr:colOff>114300</xdr:colOff>
      <xdr:row>17</xdr:row>
      <xdr:rowOff>7620</xdr:rowOff>
    </xdr:to>
    <xdr:sp macro="" textlink="">
      <xdr:nvSpPr>
        <xdr:cNvPr id="214" name="Rectangle 213"/>
        <xdr:cNvSpPr/>
      </xdr:nvSpPr>
      <xdr:spPr>
        <a:xfrm>
          <a:off x="35941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165100</xdr:colOff>
      <xdr:row>15</xdr:row>
      <xdr:rowOff>165100</xdr:rowOff>
    </xdr:from>
    <xdr:to>
      <xdr:col>6</xdr:col>
      <xdr:colOff>317500</xdr:colOff>
      <xdr:row>17</xdr:row>
      <xdr:rowOff>7620</xdr:rowOff>
    </xdr:to>
    <xdr:sp macro="" textlink="">
      <xdr:nvSpPr>
        <xdr:cNvPr id="215" name="Rectangle 214"/>
        <xdr:cNvSpPr/>
      </xdr:nvSpPr>
      <xdr:spPr>
        <a:xfrm>
          <a:off x="3822700" y="2679700"/>
          <a:ext cx="152400" cy="1778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342900</xdr:colOff>
      <xdr:row>15</xdr:row>
      <xdr:rowOff>139700</xdr:rowOff>
    </xdr:from>
    <xdr:to>
      <xdr:col>6</xdr:col>
      <xdr:colOff>520700</xdr:colOff>
      <xdr:row>17</xdr:row>
      <xdr:rowOff>7620</xdr:rowOff>
    </xdr:to>
    <xdr:sp macro="" textlink="">
      <xdr:nvSpPr>
        <xdr:cNvPr id="216" name="Rectangle 215"/>
        <xdr:cNvSpPr/>
      </xdr:nvSpPr>
      <xdr:spPr>
        <a:xfrm>
          <a:off x="4000500" y="2654300"/>
          <a:ext cx="1778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7</xdr:col>
      <xdr:colOff>396240</xdr:colOff>
      <xdr:row>13</xdr:row>
      <xdr:rowOff>45720</xdr:rowOff>
    </xdr:from>
    <xdr:to>
      <xdr:col>8</xdr:col>
      <xdr:colOff>441960</xdr:colOff>
      <xdr:row>17</xdr:row>
      <xdr:rowOff>30480</xdr:rowOff>
    </xdr:to>
    <xdr:pic>
      <xdr:nvPicPr>
        <xdr:cNvPr id="812205" name="Picture 216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22250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17</xdr:row>
      <xdr:rowOff>33020</xdr:rowOff>
    </xdr:from>
    <xdr:to>
      <xdr:col>1</xdr:col>
      <xdr:colOff>254000</xdr:colOff>
      <xdr:row>21</xdr:row>
      <xdr:rowOff>35560</xdr:rowOff>
    </xdr:to>
    <xdr:sp macro="" textlink="">
      <xdr:nvSpPr>
        <xdr:cNvPr id="218" name="Rectangle 217"/>
        <xdr:cNvSpPr/>
      </xdr:nvSpPr>
      <xdr:spPr>
        <a:xfrm>
          <a:off x="190500" y="2882900"/>
          <a:ext cx="673100" cy="673100"/>
        </a:xfrm>
        <a:prstGeom prst="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17</xdr:row>
      <xdr:rowOff>33020</xdr:rowOff>
    </xdr:from>
    <xdr:to>
      <xdr:col>14</xdr:col>
      <xdr:colOff>152400</xdr:colOff>
      <xdr:row>21</xdr:row>
      <xdr:rowOff>35560</xdr:rowOff>
    </xdr:to>
    <xdr:sp macro="" textlink="">
      <xdr:nvSpPr>
        <xdr:cNvPr id="219" name="Rectangle 218"/>
        <xdr:cNvSpPr/>
      </xdr:nvSpPr>
      <xdr:spPr>
        <a:xfrm>
          <a:off x="8013700" y="2882900"/>
          <a:ext cx="673100" cy="673100"/>
        </a:xfrm>
        <a:prstGeom prst="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17</xdr:row>
      <xdr:rowOff>45720</xdr:rowOff>
    </xdr:from>
    <xdr:to>
      <xdr:col>1</xdr:col>
      <xdr:colOff>254000</xdr:colOff>
      <xdr:row>18</xdr:row>
      <xdr:rowOff>30480</xdr:rowOff>
    </xdr:to>
    <xdr:sp macro="" textlink="">
      <xdr:nvSpPr>
        <xdr:cNvPr id="220" name="Rectangle 219"/>
        <xdr:cNvSpPr/>
      </xdr:nvSpPr>
      <xdr:spPr>
        <a:xfrm>
          <a:off x="203200" y="2895600"/>
          <a:ext cx="6604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absolute">
    <xdr:from>
      <xdr:col>1</xdr:col>
      <xdr:colOff>76200</xdr:colOff>
      <xdr:row>17</xdr:row>
      <xdr:rowOff>45720</xdr:rowOff>
    </xdr:from>
    <xdr:to>
      <xdr:col>1</xdr:col>
      <xdr:colOff>254000</xdr:colOff>
      <xdr:row>18</xdr:row>
      <xdr:rowOff>30480</xdr:rowOff>
    </xdr:to>
    <xdr:sp macro="" textlink="">
      <xdr:nvSpPr>
        <xdr:cNvPr id="221" name="Rectangle 220"/>
        <xdr:cNvSpPr/>
      </xdr:nvSpPr>
      <xdr:spPr>
        <a:xfrm>
          <a:off x="685800" y="2895600"/>
          <a:ext cx="1778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0</xdr:col>
      <xdr:colOff>327660</xdr:colOff>
      <xdr:row>18</xdr:row>
      <xdr:rowOff>53340</xdr:rowOff>
    </xdr:from>
    <xdr:to>
      <xdr:col>1</xdr:col>
      <xdr:colOff>99060</xdr:colOff>
      <xdr:row>20</xdr:row>
      <xdr:rowOff>152400</xdr:rowOff>
    </xdr:to>
    <xdr:pic>
      <xdr:nvPicPr>
        <xdr:cNvPr id="812210" name="Picture 221"/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30708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19</xdr:row>
      <xdr:rowOff>142240</xdr:rowOff>
    </xdr:from>
    <xdr:to>
      <xdr:col>0</xdr:col>
      <xdr:colOff>406400</xdr:colOff>
      <xdr:row>21</xdr:row>
      <xdr:rowOff>10160</xdr:rowOff>
    </xdr:to>
    <xdr:sp macro="" textlink="">
      <xdr:nvSpPr>
        <xdr:cNvPr id="223" name="Rectangle 222"/>
        <xdr:cNvSpPr/>
      </xdr:nvSpPr>
      <xdr:spPr>
        <a:xfrm>
          <a:off x="228600" y="3327400"/>
          <a:ext cx="177800" cy="203200"/>
        </a:xfrm>
        <a:prstGeom prst="rect">
          <a:avLst/>
        </a:prstGeom>
        <a:solidFill>
          <a:srgbClr val="FFFF66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482600</xdr:colOff>
      <xdr:row>20</xdr:row>
      <xdr:rowOff>0</xdr:rowOff>
    </xdr:from>
    <xdr:to>
      <xdr:col>1</xdr:col>
      <xdr:colOff>25400</xdr:colOff>
      <xdr:row>21</xdr:row>
      <xdr:rowOff>10160</xdr:rowOff>
    </xdr:to>
    <xdr:sp macro="" textlink="">
      <xdr:nvSpPr>
        <xdr:cNvPr id="224" name="Rectangle 223"/>
        <xdr:cNvSpPr/>
      </xdr:nvSpPr>
      <xdr:spPr>
        <a:xfrm>
          <a:off x="482600" y="3352800"/>
          <a:ext cx="152400" cy="177800"/>
        </a:xfrm>
        <a:prstGeom prst="rect">
          <a:avLst/>
        </a:prstGeom>
        <a:solidFill>
          <a:srgbClr val="FFFF66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25400</xdr:colOff>
      <xdr:row>19</xdr:row>
      <xdr:rowOff>142240</xdr:rowOff>
    </xdr:from>
    <xdr:to>
      <xdr:col>1</xdr:col>
      <xdr:colOff>203200</xdr:colOff>
      <xdr:row>21</xdr:row>
      <xdr:rowOff>10160</xdr:rowOff>
    </xdr:to>
    <xdr:sp macro="" textlink="">
      <xdr:nvSpPr>
        <xdr:cNvPr id="225" name="Rectangle 224"/>
        <xdr:cNvSpPr/>
      </xdr:nvSpPr>
      <xdr:spPr>
        <a:xfrm>
          <a:off x="635000" y="3327400"/>
          <a:ext cx="177800" cy="203200"/>
        </a:xfrm>
        <a:prstGeom prst="rect">
          <a:avLst/>
        </a:prstGeom>
        <a:solidFill>
          <a:srgbClr val="FFFF66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13</xdr:col>
      <xdr:colOff>99060</xdr:colOff>
      <xdr:row>17</xdr:row>
      <xdr:rowOff>45720</xdr:rowOff>
    </xdr:from>
    <xdr:to>
      <xdr:col>14</xdr:col>
      <xdr:colOff>152400</xdr:colOff>
      <xdr:row>21</xdr:row>
      <xdr:rowOff>38100</xdr:rowOff>
    </xdr:to>
    <xdr:pic>
      <xdr:nvPicPr>
        <xdr:cNvPr id="812214" name="Picture 22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28956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17</xdr:row>
      <xdr:rowOff>33020</xdr:rowOff>
    </xdr:from>
    <xdr:to>
      <xdr:col>2</xdr:col>
      <xdr:colOff>317500</xdr:colOff>
      <xdr:row>21</xdr:row>
      <xdr:rowOff>35560</xdr:rowOff>
    </xdr:to>
    <xdr:sp macro="" textlink="">
      <xdr:nvSpPr>
        <xdr:cNvPr id="227" name="Rectangle 226"/>
        <xdr:cNvSpPr/>
      </xdr:nvSpPr>
      <xdr:spPr>
        <a:xfrm>
          <a:off x="8636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17</xdr:row>
      <xdr:rowOff>33020</xdr:rowOff>
    </xdr:from>
    <xdr:to>
      <xdr:col>13</xdr:col>
      <xdr:colOff>88900</xdr:colOff>
      <xdr:row>21</xdr:row>
      <xdr:rowOff>35560</xdr:rowOff>
    </xdr:to>
    <xdr:sp macro="" textlink="">
      <xdr:nvSpPr>
        <xdr:cNvPr id="228" name="Rectangle 227"/>
        <xdr:cNvSpPr/>
      </xdr:nvSpPr>
      <xdr:spPr>
        <a:xfrm>
          <a:off x="73406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17</xdr:row>
      <xdr:rowOff>45720</xdr:rowOff>
    </xdr:from>
    <xdr:to>
      <xdr:col>2</xdr:col>
      <xdr:colOff>317500</xdr:colOff>
      <xdr:row>18</xdr:row>
      <xdr:rowOff>30480</xdr:rowOff>
    </xdr:to>
    <xdr:sp macro="" textlink="">
      <xdr:nvSpPr>
        <xdr:cNvPr id="229" name="Rectangle 228"/>
        <xdr:cNvSpPr/>
      </xdr:nvSpPr>
      <xdr:spPr>
        <a:xfrm>
          <a:off x="876300" y="2895600"/>
          <a:ext cx="6604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VIII</a:t>
          </a:r>
        </a:p>
      </xdr:txBody>
    </xdr:sp>
    <xdr:clientData/>
  </xdr:twoCellAnchor>
  <xdr:twoCellAnchor editAs="absolute">
    <xdr:from>
      <xdr:col>2</xdr:col>
      <xdr:colOff>139700</xdr:colOff>
      <xdr:row>17</xdr:row>
      <xdr:rowOff>45720</xdr:rowOff>
    </xdr:from>
    <xdr:to>
      <xdr:col>2</xdr:col>
      <xdr:colOff>317500</xdr:colOff>
      <xdr:row>18</xdr:row>
      <xdr:rowOff>30480</xdr:rowOff>
    </xdr:to>
    <xdr:sp macro="" textlink="">
      <xdr:nvSpPr>
        <xdr:cNvPr id="230" name="Rectangle 229"/>
        <xdr:cNvSpPr/>
      </xdr:nvSpPr>
      <xdr:spPr>
        <a:xfrm>
          <a:off x="1358900" y="2895600"/>
          <a:ext cx="177800" cy="1524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1</xdr:col>
      <xdr:colOff>396240</xdr:colOff>
      <xdr:row>18</xdr:row>
      <xdr:rowOff>53340</xdr:rowOff>
    </xdr:from>
    <xdr:to>
      <xdr:col>2</xdr:col>
      <xdr:colOff>167640</xdr:colOff>
      <xdr:row>20</xdr:row>
      <xdr:rowOff>152400</xdr:rowOff>
    </xdr:to>
    <xdr:pic>
      <xdr:nvPicPr>
        <xdr:cNvPr id="812219" name="Picture 230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" y="30708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292100</xdr:colOff>
      <xdr:row>19</xdr:row>
      <xdr:rowOff>142240</xdr:rowOff>
    </xdr:from>
    <xdr:to>
      <xdr:col>1</xdr:col>
      <xdr:colOff>469900</xdr:colOff>
      <xdr:row>21</xdr:row>
      <xdr:rowOff>10160</xdr:rowOff>
    </xdr:to>
    <xdr:sp macro="" textlink="">
      <xdr:nvSpPr>
        <xdr:cNvPr id="232" name="Rectangle 231"/>
        <xdr:cNvSpPr/>
      </xdr:nvSpPr>
      <xdr:spPr>
        <a:xfrm>
          <a:off x="9017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546100</xdr:colOff>
      <xdr:row>20</xdr:row>
      <xdr:rowOff>0</xdr:rowOff>
    </xdr:from>
    <xdr:to>
      <xdr:col>2</xdr:col>
      <xdr:colOff>88900</xdr:colOff>
      <xdr:row>21</xdr:row>
      <xdr:rowOff>10160</xdr:rowOff>
    </xdr:to>
    <xdr:sp macro="" textlink="">
      <xdr:nvSpPr>
        <xdr:cNvPr id="233" name="Rectangle 232"/>
        <xdr:cNvSpPr/>
      </xdr:nvSpPr>
      <xdr:spPr>
        <a:xfrm>
          <a:off x="1155700" y="3352800"/>
          <a:ext cx="152400" cy="1778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2</xdr:col>
      <xdr:colOff>88900</xdr:colOff>
      <xdr:row>19</xdr:row>
      <xdr:rowOff>142240</xdr:rowOff>
    </xdr:from>
    <xdr:to>
      <xdr:col>2</xdr:col>
      <xdr:colOff>266700</xdr:colOff>
      <xdr:row>21</xdr:row>
      <xdr:rowOff>10160</xdr:rowOff>
    </xdr:to>
    <xdr:sp macro="" textlink="">
      <xdr:nvSpPr>
        <xdr:cNvPr id="234" name="Rectangle 233"/>
        <xdr:cNvSpPr/>
      </xdr:nvSpPr>
      <xdr:spPr>
        <a:xfrm>
          <a:off x="13081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12</xdr:col>
      <xdr:colOff>38100</xdr:colOff>
      <xdr:row>17</xdr:row>
      <xdr:rowOff>45720</xdr:rowOff>
    </xdr:from>
    <xdr:to>
      <xdr:col>13</xdr:col>
      <xdr:colOff>91440</xdr:colOff>
      <xdr:row>21</xdr:row>
      <xdr:rowOff>38100</xdr:rowOff>
    </xdr:to>
    <xdr:pic>
      <xdr:nvPicPr>
        <xdr:cNvPr id="812223" name="Picture 23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28956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17</xdr:row>
      <xdr:rowOff>33020</xdr:rowOff>
    </xdr:from>
    <xdr:to>
      <xdr:col>3</xdr:col>
      <xdr:colOff>381000</xdr:colOff>
      <xdr:row>21</xdr:row>
      <xdr:rowOff>35560</xdr:rowOff>
    </xdr:to>
    <xdr:sp macro="" textlink="">
      <xdr:nvSpPr>
        <xdr:cNvPr id="236" name="Rectangle 235"/>
        <xdr:cNvSpPr/>
      </xdr:nvSpPr>
      <xdr:spPr>
        <a:xfrm>
          <a:off x="15367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17</xdr:row>
      <xdr:rowOff>33020</xdr:rowOff>
    </xdr:from>
    <xdr:to>
      <xdr:col>12</xdr:col>
      <xdr:colOff>25400</xdr:colOff>
      <xdr:row>21</xdr:row>
      <xdr:rowOff>35560</xdr:rowOff>
    </xdr:to>
    <xdr:sp macro="" textlink="">
      <xdr:nvSpPr>
        <xdr:cNvPr id="237" name="Rectangle 236"/>
        <xdr:cNvSpPr/>
      </xdr:nvSpPr>
      <xdr:spPr>
        <a:xfrm>
          <a:off x="66675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17</xdr:row>
      <xdr:rowOff>45720</xdr:rowOff>
    </xdr:from>
    <xdr:to>
      <xdr:col>3</xdr:col>
      <xdr:colOff>381000</xdr:colOff>
      <xdr:row>18</xdr:row>
      <xdr:rowOff>30480</xdr:rowOff>
    </xdr:to>
    <xdr:sp macro="" textlink="">
      <xdr:nvSpPr>
        <xdr:cNvPr id="238" name="Rectangle 237"/>
        <xdr:cNvSpPr/>
      </xdr:nvSpPr>
      <xdr:spPr>
        <a:xfrm>
          <a:off x="1549400" y="2895600"/>
          <a:ext cx="6604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Grenadiers</a:t>
          </a:r>
        </a:p>
      </xdr:txBody>
    </xdr:sp>
    <xdr:clientData/>
  </xdr:twoCellAnchor>
  <xdr:twoCellAnchor editAs="absolute">
    <xdr:from>
      <xdr:col>3</xdr:col>
      <xdr:colOff>203200</xdr:colOff>
      <xdr:row>17</xdr:row>
      <xdr:rowOff>45720</xdr:rowOff>
    </xdr:from>
    <xdr:to>
      <xdr:col>3</xdr:col>
      <xdr:colOff>381000</xdr:colOff>
      <xdr:row>18</xdr:row>
      <xdr:rowOff>30480</xdr:rowOff>
    </xdr:to>
    <xdr:sp macro="" textlink="">
      <xdr:nvSpPr>
        <xdr:cNvPr id="239" name="Rectangle 238"/>
        <xdr:cNvSpPr/>
      </xdr:nvSpPr>
      <xdr:spPr>
        <a:xfrm>
          <a:off x="2032000" y="2895600"/>
          <a:ext cx="1778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GD</a:t>
          </a:r>
        </a:p>
      </xdr:txBody>
    </xdr:sp>
    <xdr:clientData/>
  </xdr:twoCellAnchor>
  <xdr:twoCellAnchor editAs="oneCell">
    <xdr:from>
      <xdr:col>2</xdr:col>
      <xdr:colOff>457200</xdr:colOff>
      <xdr:row>18</xdr:row>
      <xdr:rowOff>53340</xdr:rowOff>
    </xdr:from>
    <xdr:to>
      <xdr:col>3</xdr:col>
      <xdr:colOff>228600</xdr:colOff>
      <xdr:row>20</xdr:row>
      <xdr:rowOff>152400</xdr:rowOff>
    </xdr:to>
    <xdr:pic>
      <xdr:nvPicPr>
        <xdr:cNvPr id="812228" name="Picture 239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30708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19</xdr:row>
      <xdr:rowOff>142240</xdr:rowOff>
    </xdr:from>
    <xdr:to>
      <xdr:col>2</xdr:col>
      <xdr:colOff>533400</xdr:colOff>
      <xdr:row>21</xdr:row>
      <xdr:rowOff>10160</xdr:rowOff>
    </xdr:to>
    <xdr:sp macro="" textlink="">
      <xdr:nvSpPr>
        <xdr:cNvPr id="241" name="Rectangle 240"/>
        <xdr:cNvSpPr/>
      </xdr:nvSpPr>
      <xdr:spPr>
        <a:xfrm>
          <a:off x="15748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0</xdr:colOff>
      <xdr:row>20</xdr:row>
      <xdr:rowOff>0</xdr:rowOff>
    </xdr:from>
    <xdr:to>
      <xdr:col>3</xdr:col>
      <xdr:colOff>152400</xdr:colOff>
      <xdr:row>21</xdr:row>
      <xdr:rowOff>10160</xdr:rowOff>
    </xdr:to>
    <xdr:sp macro="" textlink="">
      <xdr:nvSpPr>
        <xdr:cNvPr id="242" name="Rectangle 241"/>
        <xdr:cNvSpPr/>
      </xdr:nvSpPr>
      <xdr:spPr>
        <a:xfrm>
          <a:off x="1828800" y="3352800"/>
          <a:ext cx="152400" cy="1778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152400</xdr:colOff>
      <xdr:row>19</xdr:row>
      <xdr:rowOff>142240</xdr:rowOff>
    </xdr:from>
    <xdr:to>
      <xdr:col>3</xdr:col>
      <xdr:colOff>330200</xdr:colOff>
      <xdr:row>21</xdr:row>
      <xdr:rowOff>10160</xdr:rowOff>
    </xdr:to>
    <xdr:sp macro="" textlink="">
      <xdr:nvSpPr>
        <xdr:cNvPr id="243" name="Rectangle 242"/>
        <xdr:cNvSpPr/>
      </xdr:nvSpPr>
      <xdr:spPr>
        <a:xfrm>
          <a:off x="19812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10</xdr:col>
      <xdr:colOff>586740</xdr:colOff>
      <xdr:row>17</xdr:row>
      <xdr:rowOff>45720</xdr:rowOff>
    </xdr:from>
    <xdr:to>
      <xdr:col>12</xdr:col>
      <xdr:colOff>22860</xdr:colOff>
      <xdr:row>21</xdr:row>
      <xdr:rowOff>38100</xdr:rowOff>
    </xdr:to>
    <xdr:pic>
      <xdr:nvPicPr>
        <xdr:cNvPr id="812232" name="Picture 243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28956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17</xdr:row>
      <xdr:rowOff>33020</xdr:rowOff>
    </xdr:from>
    <xdr:to>
      <xdr:col>4</xdr:col>
      <xdr:colOff>444500</xdr:colOff>
      <xdr:row>21</xdr:row>
      <xdr:rowOff>35560</xdr:rowOff>
    </xdr:to>
    <xdr:sp macro="" textlink="">
      <xdr:nvSpPr>
        <xdr:cNvPr id="245" name="Rectangle 244"/>
        <xdr:cNvSpPr/>
      </xdr:nvSpPr>
      <xdr:spPr>
        <a:xfrm>
          <a:off x="22098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17</xdr:row>
      <xdr:rowOff>33020</xdr:rowOff>
    </xdr:from>
    <xdr:to>
      <xdr:col>10</xdr:col>
      <xdr:colOff>571500</xdr:colOff>
      <xdr:row>21</xdr:row>
      <xdr:rowOff>35560</xdr:rowOff>
    </xdr:to>
    <xdr:sp macro="" textlink="">
      <xdr:nvSpPr>
        <xdr:cNvPr id="246" name="Rectangle 245"/>
        <xdr:cNvSpPr/>
      </xdr:nvSpPr>
      <xdr:spPr>
        <a:xfrm>
          <a:off x="59944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17</xdr:row>
      <xdr:rowOff>45720</xdr:rowOff>
    </xdr:from>
    <xdr:to>
      <xdr:col>4</xdr:col>
      <xdr:colOff>444500</xdr:colOff>
      <xdr:row>18</xdr:row>
      <xdr:rowOff>30480</xdr:rowOff>
    </xdr:to>
    <xdr:sp macro="" textlink="">
      <xdr:nvSpPr>
        <xdr:cNvPr id="247" name="Rectangle 246"/>
        <xdr:cNvSpPr/>
      </xdr:nvSpPr>
      <xdr:spPr>
        <a:xfrm>
          <a:off x="2222500" y="2895600"/>
          <a:ext cx="6604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Cos. Du Don</a:t>
          </a:r>
        </a:p>
      </xdr:txBody>
    </xdr:sp>
    <xdr:clientData/>
  </xdr:twoCellAnchor>
  <xdr:twoCellAnchor editAs="absolute">
    <xdr:from>
      <xdr:col>4</xdr:col>
      <xdr:colOff>266700</xdr:colOff>
      <xdr:row>17</xdr:row>
      <xdr:rowOff>45720</xdr:rowOff>
    </xdr:from>
    <xdr:to>
      <xdr:col>4</xdr:col>
      <xdr:colOff>444500</xdr:colOff>
      <xdr:row>18</xdr:row>
      <xdr:rowOff>30480</xdr:rowOff>
    </xdr:to>
    <xdr:sp macro="" textlink="">
      <xdr:nvSpPr>
        <xdr:cNvPr id="248" name="Rectangle 247"/>
        <xdr:cNvSpPr/>
      </xdr:nvSpPr>
      <xdr:spPr>
        <a:xfrm>
          <a:off x="2705100" y="2895600"/>
          <a:ext cx="177800" cy="152400"/>
        </a:xfrm>
        <a:prstGeom prst="rect">
          <a:avLst/>
        </a:prstGeom>
        <a:solidFill>
          <a:srgbClr val="FFCC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3</xdr:col>
      <xdr:colOff>518160</xdr:colOff>
      <xdr:row>18</xdr:row>
      <xdr:rowOff>30480</xdr:rowOff>
    </xdr:from>
    <xdr:to>
      <xdr:col>4</xdr:col>
      <xdr:colOff>289560</xdr:colOff>
      <xdr:row>20</xdr:row>
      <xdr:rowOff>129540</xdr:rowOff>
    </xdr:to>
    <xdr:pic>
      <xdr:nvPicPr>
        <xdr:cNvPr id="812237" name="Picture 248"/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6960" y="304800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393700</xdr:colOff>
      <xdr:row>18</xdr:row>
      <xdr:rowOff>157480</xdr:rowOff>
    </xdr:from>
    <xdr:to>
      <xdr:col>3</xdr:col>
      <xdr:colOff>571500</xdr:colOff>
      <xdr:row>20</xdr:row>
      <xdr:rowOff>25400</xdr:rowOff>
    </xdr:to>
    <xdr:sp macro="" textlink="">
      <xdr:nvSpPr>
        <xdr:cNvPr id="250" name="Rectangle 249"/>
        <xdr:cNvSpPr/>
      </xdr:nvSpPr>
      <xdr:spPr>
        <a:xfrm>
          <a:off x="2222500" y="31750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419100</xdr:colOff>
      <xdr:row>20</xdr:row>
      <xdr:rowOff>0</xdr:rowOff>
    </xdr:from>
    <xdr:to>
      <xdr:col>3</xdr:col>
      <xdr:colOff>571500</xdr:colOff>
      <xdr:row>21</xdr:row>
      <xdr:rowOff>10160</xdr:rowOff>
    </xdr:to>
    <xdr:sp macro="" textlink="">
      <xdr:nvSpPr>
        <xdr:cNvPr id="251" name="Rectangle 250"/>
        <xdr:cNvSpPr/>
      </xdr:nvSpPr>
      <xdr:spPr>
        <a:xfrm>
          <a:off x="2247900" y="3352800"/>
          <a:ext cx="152400" cy="1778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266700</xdr:colOff>
      <xdr:row>19</xdr:row>
      <xdr:rowOff>142240</xdr:rowOff>
    </xdr:from>
    <xdr:to>
      <xdr:col>4</xdr:col>
      <xdr:colOff>444500</xdr:colOff>
      <xdr:row>21</xdr:row>
      <xdr:rowOff>10160</xdr:rowOff>
    </xdr:to>
    <xdr:sp macro="" textlink="">
      <xdr:nvSpPr>
        <xdr:cNvPr id="252" name="Rectangle 251"/>
        <xdr:cNvSpPr/>
      </xdr:nvSpPr>
      <xdr:spPr>
        <a:xfrm>
          <a:off x="27051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9</xdr:col>
      <xdr:colOff>518160</xdr:colOff>
      <xdr:row>17</xdr:row>
      <xdr:rowOff>45720</xdr:rowOff>
    </xdr:from>
    <xdr:to>
      <xdr:col>10</xdr:col>
      <xdr:colOff>571500</xdr:colOff>
      <xdr:row>21</xdr:row>
      <xdr:rowOff>38100</xdr:rowOff>
    </xdr:to>
    <xdr:pic>
      <xdr:nvPicPr>
        <xdr:cNvPr id="812241" name="Picture 252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28956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17</xdr:row>
      <xdr:rowOff>33020</xdr:rowOff>
    </xdr:from>
    <xdr:to>
      <xdr:col>5</xdr:col>
      <xdr:colOff>508000</xdr:colOff>
      <xdr:row>21</xdr:row>
      <xdr:rowOff>35560</xdr:rowOff>
    </xdr:to>
    <xdr:sp macro="" textlink="">
      <xdr:nvSpPr>
        <xdr:cNvPr id="254" name="Rectangle 253"/>
        <xdr:cNvSpPr/>
      </xdr:nvSpPr>
      <xdr:spPr>
        <a:xfrm>
          <a:off x="28829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17</xdr:row>
      <xdr:rowOff>33020</xdr:rowOff>
    </xdr:from>
    <xdr:to>
      <xdr:col>9</xdr:col>
      <xdr:colOff>508000</xdr:colOff>
      <xdr:row>21</xdr:row>
      <xdr:rowOff>35560</xdr:rowOff>
    </xdr:to>
    <xdr:sp macro="" textlink="">
      <xdr:nvSpPr>
        <xdr:cNvPr id="255" name="Rectangle 254"/>
        <xdr:cNvSpPr/>
      </xdr:nvSpPr>
      <xdr:spPr>
        <a:xfrm>
          <a:off x="53213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17</xdr:row>
      <xdr:rowOff>45720</xdr:rowOff>
    </xdr:from>
    <xdr:to>
      <xdr:col>5</xdr:col>
      <xdr:colOff>508000</xdr:colOff>
      <xdr:row>18</xdr:row>
      <xdr:rowOff>30480</xdr:rowOff>
    </xdr:to>
    <xdr:sp macro="" textlink="">
      <xdr:nvSpPr>
        <xdr:cNvPr id="256" name="Rectangle 255"/>
        <xdr:cNvSpPr/>
      </xdr:nvSpPr>
      <xdr:spPr>
        <a:xfrm>
          <a:off x="2895600" y="2895600"/>
          <a:ext cx="6604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FFFF00"/>
              </a:solidFill>
              <a:latin typeface=""/>
            </a:rPr>
            <a:t>Wintzingerode</a:t>
          </a:r>
        </a:p>
      </xdr:txBody>
    </xdr:sp>
    <xdr:clientData/>
  </xdr:twoCellAnchor>
  <xdr:twoCellAnchor editAs="absolute">
    <xdr:from>
      <xdr:col>5</xdr:col>
      <xdr:colOff>330200</xdr:colOff>
      <xdr:row>17</xdr:row>
      <xdr:rowOff>45720</xdr:rowOff>
    </xdr:from>
    <xdr:to>
      <xdr:col>5</xdr:col>
      <xdr:colOff>508000</xdr:colOff>
      <xdr:row>18</xdr:row>
      <xdr:rowOff>30480</xdr:rowOff>
    </xdr:to>
    <xdr:sp macro="" textlink="">
      <xdr:nvSpPr>
        <xdr:cNvPr id="257" name="Rectangle 256"/>
        <xdr:cNvSpPr/>
      </xdr:nvSpPr>
      <xdr:spPr>
        <a:xfrm>
          <a:off x="3378200" y="2895600"/>
          <a:ext cx="1778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FFFF00"/>
            </a:solidFill>
            <a:latin typeface=""/>
          </a:endParaRPr>
        </a:p>
      </xdr:txBody>
    </xdr:sp>
    <xdr:clientData/>
  </xdr:twoCellAnchor>
  <xdr:twoCellAnchor editAs="oneCell">
    <xdr:from>
      <xdr:col>4</xdr:col>
      <xdr:colOff>586740</xdr:colOff>
      <xdr:row>18</xdr:row>
      <xdr:rowOff>53340</xdr:rowOff>
    </xdr:from>
    <xdr:to>
      <xdr:col>5</xdr:col>
      <xdr:colOff>358140</xdr:colOff>
      <xdr:row>20</xdr:row>
      <xdr:rowOff>152400</xdr:rowOff>
    </xdr:to>
    <xdr:pic>
      <xdr:nvPicPr>
        <xdr:cNvPr id="812246" name="Picture 257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30708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482600</xdr:colOff>
      <xdr:row>19</xdr:row>
      <xdr:rowOff>142240</xdr:rowOff>
    </xdr:from>
    <xdr:to>
      <xdr:col>5</xdr:col>
      <xdr:colOff>50800</xdr:colOff>
      <xdr:row>21</xdr:row>
      <xdr:rowOff>10160</xdr:rowOff>
    </xdr:to>
    <xdr:sp macro="" textlink="">
      <xdr:nvSpPr>
        <xdr:cNvPr id="259" name="Rectangle 258"/>
        <xdr:cNvSpPr/>
      </xdr:nvSpPr>
      <xdr:spPr>
        <a:xfrm>
          <a:off x="29210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127000</xdr:colOff>
      <xdr:row>20</xdr:row>
      <xdr:rowOff>0</xdr:rowOff>
    </xdr:from>
    <xdr:to>
      <xdr:col>5</xdr:col>
      <xdr:colOff>279400</xdr:colOff>
      <xdr:row>21</xdr:row>
      <xdr:rowOff>10160</xdr:rowOff>
    </xdr:to>
    <xdr:sp macro="" textlink="">
      <xdr:nvSpPr>
        <xdr:cNvPr id="260" name="Rectangle 259"/>
        <xdr:cNvSpPr/>
      </xdr:nvSpPr>
      <xdr:spPr>
        <a:xfrm>
          <a:off x="3175000" y="3352800"/>
          <a:ext cx="152400" cy="1778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279400</xdr:colOff>
      <xdr:row>19</xdr:row>
      <xdr:rowOff>142240</xdr:rowOff>
    </xdr:from>
    <xdr:to>
      <xdr:col>5</xdr:col>
      <xdr:colOff>457200</xdr:colOff>
      <xdr:row>21</xdr:row>
      <xdr:rowOff>10160</xdr:rowOff>
    </xdr:to>
    <xdr:sp macro="" textlink="">
      <xdr:nvSpPr>
        <xdr:cNvPr id="261" name="Rectangle 260"/>
        <xdr:cNvSpPr/>
      </xdr:nvSpPr>
      <xdr:spPr>
        <a:xfrm>
          <a:off x="33274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8</xdr:col>
      <xdr:colOff>457200</xdr:colOff>
      <xdr:row>17</xdr:row>
      <xdr:rowOff>45720</xdr:rowOff>
    </xdr:from>
    <xdr:to>
      <xdr:col>9</xdr:col>
      <xdr:colOff>510540</xdr:colOff>
      <xdr:row>21</xdr:row>
      <xdr:rowOff>38100</xdr:rowOff>
    </xdr:to>
    <xdr:pic>
      <xdr:nvPicPr>
        <xdr:cNvPr id="812250" name="Picture 26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28956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17</xdr:row>
      <xdr:rowOff>33020</xdr:rowOff>
    </xdr:from>
    <xdr:to>
      <xdr:col>6</xdr:col>
      <xdr:colOff>571500</xdr:colOff>
      <xdr:row>21</xdr:row>
      <xdr:rowOff>35560</xdr:rowOff>
    </xdr:to>
    <xdr:sp macro="" textlink="">
      <xdr:nvSpPr>
        <xdr:cNvPr id="263" name="Rectangle 262"/>
        <xdr:cNvSpPr/>
      </xdr:nvSpPr>
      <xdr:spPr>
        <a:xfrm>
          <a:off x="35560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17</xdr:row>
      <xdr:rowOff>33020</xdr:rowOff>
    </xdr:from>
    <xdr:to>
      <xdr:col>8</xdr:col>
      <xdr:colOff>444500</xdr:colOff>
      <xdr:row>21</xdr:row>
      <xdr:rowOff>35560</xdr:rowOff>
    </xdr:to>
    <xdr:sp macro="" textlink="">
      <xdr:nvSpPr>
        <xdr:cNvPr id="264" name="Rectangle 263"/>
        <xdr:cNvSpPr/>
      </xdr:nvSpPr>
      <xdr:spPr>
        <a:xfrm>
          <a:off x="4648200" y="2882900"/>
          <a:ext cx="673100" cy="673100"/>
        </a:xfrm>
        <a:prstGeom prst="rect">
          <a:avLst/>
        </a:prstGeom>
        <a:solidFill>
          <a:srgbClr val="33CC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17</xdr:row>
      <xdr:rowOff>45720</xdr:rowOff>
    </xdr:from>
    <xdr:to>
      <xdr:col>6</xdr:col>
      <xdr:colOff>571500</xdr:colOff>
      <xdr:row>18</xdr:row>
      <xdr:rowOff>30480</xdr:rowOff>
    </xdr:to>
    <xdr:sp macro="" textlink="">
      <xdr:nvSpPr>
        <xdr:cNvPr id="265" name="Rectangle 264"/>
        <xdr:cNvSpPr/>
      </xdr:nvSpPr>
      <xdr:spPr>
        <a:xfrm>
          <a:off x="3568700" y="2895600"/>
          <a:ext cx="660400" cy="152400"/>
        </a:xfrm>
        <a:prstGeom prst="rect">
          <a:avLst/>
        </a:prstGeom>
        <a:solidFill>
          <a:srgbClr val="008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FFFF00"/>
              </a:solidFill>
              <a:latin typeface=""/>
            </a:rPr>
            <a:t>Doctoroff</a:t>
          </a:r>
        </a:p>
      </xdr:txBody>
    </xdr:sp>
    <xdr:clientData/>
  </xdr:twoCellAnchor>
  <xdr:twoCellAnchor editAs="absolute">
    <xdr:from>
      <xdr:col>6</xdr:col>
      <xdr:colOff>393700</xdr:colOff>
      <xdr:row>17</xdr:row>
      <xdr:rowOff>45720</xdr:rowOff>
    </xdr:from>
    <xdr:to>
      <xdr:col>6</xdr:col>
      <xdr:colOff>571500</xdr:colOff>
      <xdr:row>18</xdr:row>
      <xdr:rowOff>30480</xdr:rowOff>
    </xdr:to>
    <xdr:sp macro="" textlink="">
      <xdr:nvSpPr>
        <xdr:cNvPr id="266" name="Rectangle 265"/>
        <xdr:cNvSpPr/>
      </xdr:nvSpPr>
      <xdr:spPr>
        <a:xfrm>
          <a:off x="4051300" y="2895600"/>
          <a:ext cx="177800" cy="152400"/>
        </a:xfrm>
        <a:prstGeom prst="rect">
          <a:avLst/>
        </a:prstGeom>
        <a:solidFill>
          <a:srgbClr val="008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FFFF00"/>
            </a:solidFill>
            <a:latin typeface=""/>
          </a:endParaRPr>
        </a:p>
      </xdr:txBody>
    </xdr:sp>
    <xdr:clientData/>
  </xdr:twoCellAnchor>
  <xdr:twoCellAnchor editAs="oneCell">
    <xdr:from>
      <xdr:col>6</xdr:col>
      <xdr:colOff>38100</xdr:colOff>
      <xdr:row>18</xdr:row>
      <xdr:rowOff>53340</xdr:rowOff>
    </xdr:from>
    <xdr:to>
      <xdr:col>6</xdr:col>
      <xdr:colOff>419100</xdr:colOff>
      <xdr:row>20</xdr:row>
      <xdr:rowOff>152400</xdr:rowOff>
    </xdr:to>
    <xdr:pic>
      <xdr:nvPicPr>
        <xdr:cNvPr id="812255" name="Picture 266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30708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546100</xdr:colOff>
      <xdr:row>19</xdr:row>
      <xdr:rowOff>142240</xdr:rowOff>
    </xdr:from>
    <xdr:to>
      <xdr:col>6</xdr:col>
      <xdr:colOff>114300</xdr:colOff>
      <xdr:row>21</xdr:row>
      <xdr:rowOff>10160</xdr:rowOff>
    </xdr:to>
    <xdr:sp macro="" textlink="">
      <xdr:nvSpPr>
        <xdr:cNvPr id="268" name="Rectangle 267"/>
        <xdr:cNvSpPr/>
      </xdr:nvSpPr>
      <xdr:spPr>
        <a:xfrm>
          <a:off x="35941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190500</xdr:colOff>
      <xdr:row>20</xdr:row>
      <xdr:rowOff>0</xdr:rowOff>
    </xdr:from>
    <xdr:to>
      <xdr:col>6</xdr:col>
      <xdr:colOff>342900</xdr:colOff>
      <xdr:row>21</xdr:row>
      <xdr:rowOff>10160</xdr:rowOff>
    </xdr:to>
    <xdr:sp macro="" textlink="">
      <xdr:nvSpPr>
        <xdr:cNvPr id="269" name="Rectangle 268"/>
        <xdr:cNvSpPr/>
      </xdr:nvSpPr>
      <xdr:spPr>
        <a:xfrm>
          <a:off x="3848100" y="3352800"/>
          <a:ext cx="152400" cy="1778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342900</xdr:colOff>
      <xdr:row>19</xdr:row>
      <xdr:rowOff>142240</xdr:rowOff>
    </xdr:from>
    <xdr:to>
      <xdr:col>6</xdr:col>
      <xdr:colOff>520700</xdr:colOff>
      <xdr:row>21</xdr:row>
      <xdr:rowOff>10160</xdr:rowOff>
    </xdr:to>
    <xdr:sp macro="" textlink="">
      <xdr:nvSpPr>
        <xdr:cNvPr id="270" name="Rectangle 269"/>
        <xdr:cNvSpPr/>
      </xdr:nvSpPr>
      <xdr:spPr>
        <a:xfrm>
          <a:off x="4000500" y="3327400"/>
          <a:ext cx="177800" cy="203200"/>
        </a:xfrm>
        <a:prstGeom prst="rect">
          <a:avLst/>
        </a:prstGeom>
        <a:solidFill>
          <a:srgbClr val="33CC33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7</xdr:col>
      <xdr:colOff>396240</xdr:colOff>
      <xdr:row>17</xdr:row>
      <xdr:rowOff>45720</xdr:rowOff>
    </xdr:from>
    <xdr:to>
      <xdr:col>8</xdr:col>
      <xdr:colOff>441960</xdr:colOff>
      <xdr:row>21</xdr:row>
      <xdr:rowOff>38100</xdr:rowOff>
    </xdr:to>
    <xdr:pic>
      <xdr:nvPicPr>
        <xdr:cNvPr id="812259" name="Picture 270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28956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21</xdr:row>
      <xdr:rowOff>35560</xdr:rowOff>
    </xdr:from>
    <xdr:to>
      <xdr:col>1</xdr:col>
      <xdr:colOff>254000</xdr:colOff>
      <xdr:row>25</xdr:row>
      <xdr:rowOff>38100</xdr:rowOff>
    </xdr:to>
    <xdr:sp macro="" textlink="">
      <xdr:nvSpPr>
        <xdr:cNvPr id="272" name="Rectangle 271"/>
        <xdr:cNvSpPr/>
      </xdr:nvSpPr>
      <xdr:spPr>
        <a:xfrm>
          <a:off x="190500" y="35560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21</xdr:row>
      <xdr:rowOff>35560</xdr:rowOff>
    </xdr:from>
    <xdr:to>
      <xdr:col>14</xdr:col>
      <xdr:colOff>152400</xdr:colOff>
      <xdr:row>25</xdr:row>
      <xdr:rowOff>38100</xdr:rowOff>
    </xdr:to>
    <xdr:sp macro="" textlink="">
      <xdr:nvSpPr>
        <xdr:cNvPr id="273" name="Rectangle 272"/>
        <xdr:cNvSpPr/>
      </xdr:nvSpPr>
      <xdr:spPr>
        <a:xfrm>
          <a:off x="8013700" y="35560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21</xdr:row>
      <xdr:rowOff>48260</xdr:rowOff>
    </xdr:from>
    <xdr:to>
      <xdr:col>1</xdr:col>
      <xdr:colOff>254000</xdr:colOff>
      <xdr:row>22</xdr:row>
      <xdr:rowOff>33020</xdr:rowOff>
    </xdr:to>
    <xdr:sp macro="" textlink="">
      <xdr:nvSpPr>
        <xdr:cNvPr id="274" name="Rectangle 273"/>
        <xdr:cNvSpPr/>
      </xdr:nvSpPr>
      <xdr:spPr>
        <a:xfrm>
          <a:off x="203200" y="3568700"/>
          <a:ext cx="6604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FFFF00"/>
              </a:solidFill>
              <a:latin typeface=""/>
            </a:rPr>
            <a:t>Suédois</a:t>
          </a:r>
        </a:p>
      </xdr:txBody>
    </xdr:sp>
    <xdr:clientData/>
  </xdr:twoCellAnchor>
  <xdr:twoCellAnchor editAs="absolute">
    <xdr:from>
      <xdr:col>1</xdr:col>
      <xdr:colOff>76200</xdr:colOff>
      <xdr:row>21</xdr:row>
      <xdr:rowOff>48260</xdr:rowOff>
    </xdr:from>
    <xdr:to>
      <xdr:col>1</xdr:col>
      <xdr:colOff>254000</xdr:colOff>
      <xdr:row>22</xdr:row>
      <xdr:rowOff>33020</xdr:rowOff>
    </xdr:to>
    <xdr:sp macro="" textlink="">
      <xdr:nvSpPr>
        <xdr:cNvPr id="275" name="Rectangle 274"/>
        <xdr:cNvSpPr/>
      </xdr:nvSpPr>
      <xdr:spPr>
        <a:xfrm>
          <a:off x="685800" y="3568700"/>
          <a:ext cx="1778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FFFF00"/>
            </a:solidFill>
            <a:latin typeface=""/>
          </a:endParaRPr>
        </a:p>
      </xdr:txBody>
    </xdr:sp>
    <xdr:clientData/>
  </xdr:twoCellAnchor>
  <xdr:twoCellAnchor editAs="oneCell">
    <xdr:from>
      <xdr:col>0</xdr:col>
      <xdr:colOff>327660</xdr:colOff>
      <xdr:row>22</xdr:row>
      <xdr:rowOff>60960</xdr:rowOff>
    </xdr:from>
    <xdr:to>
      <xdr:col>1</xdr:col>
      <xdr:colOff>99060</xdr:colOff>
      <xdr:row>24</xdr:row>
      <xdr:rowOff>152400</xdr:rowOff>
    </xdr:to>
    <xdr:pic>
      <xdr:nvPicPr>
        <xdr:cNvPr id="812264" name="Picture 275"/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37490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23</xdr:row>
      <xdr:rowOff>144780</xdr:rowOff>
    </xdr:from>
    <xdr:to>
      <xdr:col>0</xdr:col>
      <xdr:colOff>406400</xdr:colOff>
      <xdr:row>25</xdr:row>
      <xdr:rowOff>12700</xdr:rowOff>
    </xdr:to>
    <xdr:sp macro="" textlink="">
      <xdr:nvSpPr>
        <xdr:cNvPr id="277" name="Rectangle 276"/>
        <xdr:cNvSpPr/>
      </xdr:nvSpPr>
      <xdr:spPr>
        <a:xfrm>
          <a:off x="228600" y="4000500"/>
          <a:ext cx="1778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482600</xdr:colOff>
      <xdr:row>24</xdr:row>
      <xdr:rowOff>2540</xdr:rowOff>
    </xdr:from>
    <xdr:to>
      <xdr:col>1</xdr:col>
      <xdr:colOff>25400</xdr:colOff>
      <xdr:row>25</xdr:row>
      <xdr:rowOff>12700</xdr:rowOff>
    </xdr:to>
    <xdr:sp macro="" textlink="">
      <xdr:nvSpPr>
        <xdr:cNvPr id="278" name="Rectangle 277"/>
        <xdr:cNvSpPr/>
      </xdr:nvSpPr>
      <xdr:spPr>
        <a:xfrm>
          <a:off x="482600" y="4025900"/>
          <a:ext cx="152400" cy="1778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25400</xdr:colOff>
      <xdr:row>23</xdr:row>
      <xdr:rowOff>144780</xdr:rowOff>
    </xdr:from>
    <xdr:to>
      <xdr:col>1</xdr:col>
      <xdr:colOff>203200</xdr:colOff>
      <xdr:row>25</xdr:row>
      <xdr:rowOff>12700</xdr:rowOff>
    </xdr:to>
    <xdr:sp macro="" textlink="">
      <xdr:nvSpPr>
        <xdr:cNvPr id="279" name="Rectangle 278"/>
        <xdr:cNvSpPr/>
      </xdr:nvSpPr>
      <xdr:spPr>
        <a:xfrm>
          <a:off x="635000" y="4000500"/>
          <a:ext cx="1778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13</xdr:col>
      <xdr:colOff>99060</xdr:colOff>
      <xdr:row>21</xdr:row>
      <xdr:rowOff>45720</xdr:rowOff>
    </xdr:from>
    <xdr:to>
      <xdr:col>14</xdr:col>
      <xdr:colOff>152400</xdr:colOff>
      <xdr:row>25</xdr:row>
      <xdr:rowOff>38100</xdr:rowOff>
    </xdr:to>
    <xdr:pic>
      <xdr:nvPicPr>
        <xdr:cNvPr id="812268" name="Picture 279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35661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21</xdr:row>
      <xdr:rowOff>35560</xdr:rowOff>
    </xdr:from>
    <xdr:to>
      <xdr:col>2</xdr:col>
      <xdr:colOff>317500</xdr:colOff>
      <xdr:row>25</xdr:row>
      <xdr:rowOff>38100</xdr:rowOff>
    </xdr:to>
    <xdr:sp macro="" textlink="">
      <xdr:nvSpPr>
        <xdr:cNvPr id="281" name="Rectangle 280"/>
        <xdr:cNvSpPr/>
      </xdr:nvSpPr>
      <xdr:spPr>
        <a:xfrm>
          <a:off x="863600" y="35560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21</xdr:row>
      <xdr:rowOff>35560</xdr:rowOff>
    </xdr:from>
    <xdr:to>
      <xdr:col>13</xdr:col>
      <xdr:colOff>88900</xdr:colOff>
      <xdr:row>25</xdr:row>
      <xdr:rowOff>38100</xdr:rowOff>
    </xdr:to>
    <xdr:sp macro="" textlink="">
      <xdr:nvSpPr>
        <xdr:cNvPr id="282" name="Rectangle 281"/>
        <xdr:cNvSpPr/>
      </xdr:nvSpPr>
      <xdr:spPr>
        <a:xfrm>
          <a:off x="7340600" y="3556000"/>
          <a:ext cx="673100" cy="673100"/>
        </a:xfrm>
        <a:prstGeom prst="rect">
          <a:avLst/>
        </a:prstGeom>
        <a:solidFill>
          <a:srgbClr val="33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266700</xdr:colOff>
      <xdr:row>21</xdr:row>
      <xdr:rowOff>48260</xdr:rowOff>
    </xdr:from>
    <xdr:to>
      <xdr:col>2</xdr:col>
      <xdr:colOff>317500</xdr:colOff>
      <xdr:row>22</xdr:row>
      <xdr:rowOff>33020</xdr:rowOff>
    </xdr:to>
    <xdr:sp macro="" textlink="">
      <xdr:nvSpPr>
        <xdr:cNvPr id="283" name="Rectangle 282"/>
        <xdr:cNvSpPr/>
      </xdr:nvSpPr>
      <xdr:spPr>
        <a:xfrm>
          <a:off x="876300" y="3568700"/>
          <a:ext cx="6604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FFFF00"/>
              </a:solidFill>
              <a:latin typeface=""/>
            </a:rPr>
            <a:t>Artillerie Res.</a:t>
          </a:r>
        </a:p>
      </xdr:txBody>
    </xdr:sp>
    <xdr:clientData/>
  </xdr:twoCellAnchor>
  <xdr:twoCellAnchor editAs="absolute">
    <xdr:from>
      <xdr:col>2</xdr:col>
      <xdr:colOff>139700</xdr:colOff>
      <xdr:row>21</xdr:row>
      <xdr:rowOff>48260</xdr:rowOff>
    </xdr:from>
    <xdr:to>
      <xdr:col>2</xdr:col>
      <xdr:colOff>317500</xdr:colOff>
      <xdr:row>22</xdr:row>
      <xdr:rowOff>33020</xdr:rowOff>
    </xdr:to>
    <xdr:sp macro="" textlink="">
      <xdr:nvSpPr>
        <xdr:cNvPr id="284" name="Rectangle 283"/>
        <xdr:cNvSpPr/>
      </xdr:nvSpPr>
      <xdr:spPr>
        <a:xfrm>
          <a:off x="1358900" y="3568700"/>
          <a:ext cx="177800" cy="152400"/>
        </a:xfrm>
        <a:prstGeom prst="rect">
          <a:avLst/>
        </a:prstGeom>
        <a:solidFill>
          <a:srgbClr val="00008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FFFF00"/>
            </a:solidFill>
            <a:latin typeface=""/>
          </a:endParaRPr>
        </a:p>
      </xdr:txBody>
    </xdr:sp>
    <xdr:clientData/>
  </xdr:twoCellAnchor>
  <xdr:twoCellAnchor editAs="oneCell">
    <xdr:from>
      <xdr:col>1</xdr:col>
      <xdr:colOff>365760</xdr:colOff>
      <xdr:row>21</xdr:row>
      <xdr:rowOff>152400</xdr:rowOff>
    </xdr:from>
    <xdr:to>
      <xdr:col>2</xdr:col>
      <xdr:colOff>137160</xdr:colOff>
      <xdr:row>24</xdr:row>
      <xdr:rowOff>76200</xdr:rowOff>
    </xdr:to>
    <xdr:pic>
      <xdr:nvPicPr>
        <xdr:cNvPr id="812273" name="Picture 284"/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" y="36728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292100</xdr:colOff>
      <xdr:row>23</xdr:row>
      <xdr:rowOff>144780</xdr:rowOff>
    </xdr:from>
    <xdr:to>
      <xdr:col>1</xdr:col>
      <xdr:colOff>469900</xdr:colOff>
      <xdr:row>25</xdr:row>
      <xdr:rowOff>12700</xdr:rowOff>
    </xdr:to>
    <xdr:sp macro="" textlink="">
      <xdr:nvSpPr>
        <xdr:cNvPr id="286" name="Rectangle 285"/>
        <xdr:cNvSpPr/>
      </xdr:nvSpPr>
      <xdr:spPr>
        <a:xfrm>
          <a:off x="901700" y="4000500"/>
          <a:ext cx="1778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520700</xdr:colOff>
      <xdr:row>24</xdr:row>
      <xdr:rowOff>2540</xdr:rowOff>
    </xdr:from>
    <xdr:to>
      <xdr:col>2</xdr:col>
      <xdr:colOff>63500</xdr:colOff>
      <xdr:row>25</xdr:row>
      <xdr:rowOff>12700</xdr:rowOff>
    </xdr:to>
    <xdr:sp macro="" textlink="">
      <xdr:nvSpPr>
        <xdr:cNvPr id="287" name="Rectangle 286"/>
        <xdr:cNvSpPr/>
      </xdr:nvSpPr>
      <xdr:spPr>
        <a:xfrm>
          <a:off x="1130300" y="4025900"/>
          <a:ext cx="152400" cy="1778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2</xdr:col>
      <xdr:colOff>88900</xdr:colOff>
      <xdr:row>23</xdr:row>
      <xdr:rowOff>144780</xdr:rowOff>
    </xdr:from>
    <xdr:to>
      <xdr:col>2</xdr:col>
      <xdr:colOff>266700</xdr:colOff>
      <xdr:row>25</xdr:row>
      <xdr:rowOff>12700</xdr:rowOff>
    </xdr:to>
    <xdr:sp macro="" textlink="">
      <xdr:nvSpPr>
        <xdr:cNvPr id="288" name="Rectangle 287"/>
        <xdr:cNvSpPr/>
      </xdr:nvSpPr>
      <xdr:spPr>
        <a:xfrm>
          <a:off x="1308100" y="4000500"/>
          <a:ext cx="177800" cy="203200"/>
        </a:xfrm>
        <a:prstGeom prst="rect">
          <a:avLst/>
        </a:prstGeom>
        <a:solidFill>
          <a:srgbClr val="3366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12</xdr:col>
      <xdr:colOff>38100</xdr:colOff>
      <xdr:row>21</xdr:row>
      <xdr:rowOff>45720</xdr:rowOff>
    </xdr:from>
    <xdr:to>
      <xdr:col>13</xdr:col>
      <xdr:colOff>91440</xdr:colOff>
      <xdr:row>25</xdr:row>
      <xdr:rowOff>38100</xdr:rowOff>
    </xdr:to>
    <xdr:pic>
      <xdr:nvPicPr>
        <xdr:cNvPr id="812277" name="Picture 288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35661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21</xdr:row>
      <xdr:rowOff>35560</xdr:rowOff>
    </xdr:from>
    <xdr:to>
      <xdr:col>3</xdr:col>
      <xdr:colOff>381000</xdr:colOff>
      <xdr:row>25</xdr:row>
      <xdr:rowOff>38100</xdr:rowOff>
    </xdr:to>
    <xdr:sp macro="" textlink="">
      <xdr:nvSpPr>
        <xdr:cNvPr id="290" name="Rectangle 289"/>
        <xdr:cNvSpPr/>
      </xdr:nvSpPr>
      <xdr:spPr>
        <a:xfrm>
          <a:off x="15367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21</xdr:row>
      <xdr:rowOff>35560</xdr:rowOff>
    </xdr:from>
    <xdr:to>
      <xdr:col>12</xdr:col>
      <xdr:colOff>25400</xdr:colOff>
      <xdr:row>25</xdr:row>
      <xdr:rowOff>38100</xdr:rowOff>
    </xdr:to>
    <xdr:sp macro="" textlink="">
      <xdr:nvSpPr>
        <xdr:cNvPr id="291" name="Rectangle 290"/>
        <xdr:cNvSpPr/>
      </xdr:nvSpPr>
      <xdr:spPr>
        <a:xfrm>
          <a:off x="66675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330200</xdr:colOff>
      <xdr:row>21</xdr:row>
      <xdr:rowOff>48260</xdr:rowOff>
    </xdr:from>
    <xdr:to>
      <xdr:col>3</xdr:col>
      <xdr:colOff>381000</xdr:colOff>
      <xdr:row>22</xdr:row>
      <xdr:rowOff>33020</xdr:rowOff>
    </xdr:to>
    <xdr:sp macro="" textlink="">
      <xdr:nvSpPr>
        <xdr:cNvPr id="292" name="Rectangle 291"/>
        <xdr:cNvSpPr/>
      </xdr:nvSpPr>
      <xdr:spPr>
        <a:xfrm>
          <a:off x="1549400" y="3568700"/>
          <a:ext cx="6604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A</a:t>
          </a:r>
        </a:p>
      </xdr:txBody>
    </xdr:sp>
    <xdr:clientData/>
  </xdr:twoCellAnchor>
  <xdr:twoCellAnchor editAs="absolute">
    <xdr:from>
      <xdr:col>3</xdr:col>
      <xdr:colOff>203200</xdr:colOff>
      <xdr:row>21</xdr:row>
      <xdr:rowOff>48260</xdr:rowOff>
    </xdr:from>
    <xdr:to>
      <xdr:col>3</xdr:col>
      <xdr:colOff>381000</xdr:colOff>
      <xdr:row>22</xdr:row>
      <xdr:rowOff>33020</xdr:rowOff>
    </xdr:to>
    <xdr:sp macro="" textlink="">
      <xdr:nvSpPr>
        <xdr:cNvPr id="293" name="Rectangle 292"/>
        <xdr:cNvSpPr/>
      </xdr:nvSpPr>
      <xdr:spPr>
        <a:xfrm>
          <a:off x="2032000" y="3568700"/>
          <a:ext cx="1778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2</xdr:col>
      <xdr:colOff>457200</xdr:colOff>
      <xdr:row>22</xdr:row>
      <xdr:rowOff>60960</xdr:rowOff>
    </xdr:from>
    <xdr:to>
      <xdr:col>3</xdr:col>
      <xdr:colOff>228600</xdr:colOff>
      <xdr:row>24</xdr:row>
      <xdr:rowOff>152400</xdr:rowOff>
    </xdr:to>
    <xdr:pic>
      <xdr:nvPicPr>
        <xdr:cNvPr id="812282" name="Picture 293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37490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355600</xdr:colOff>
      <xdr:row>23</xdr:row>
      <xdr:rowOff>144780</xdr:rowOff>
    </xdr:from>
    <xdr:to>
      <xdr:col>2</xdr:col>
      <xdr:colOff>533400</xdr:colOff>
      <xdr:row>25</xdr:row>
      <xdr:rowOff>12700</xdr:rowOff>
    </xdr:to>
    <xdr:sp macro="" textlink="">
      <xdr:nvSpPr>
        <xdr:cNvPr id="295" name="Rectangle 294"/>
        <xdr:cNvSpPr/>
      </xdr:nvSpPr>
      <xdr:spPr>
        <a:xfrm>
          <a:off x="15748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0</xdr:colOff>
      <xdr:row>24</xdr:row>
      <xdr:rowOff>2540</xdr:rowOff>
    </xdr:from>
    <xdr:to>
      <xdr:col>3</xdr:col>
      <xdr:colOff>152400</xdr:colOff>
      <xdr:row>25</xdr:row>
      <xdr:rowOff>12700</xdr:rowOff>
    </xdr:to>
    <xdr:sp macro="" textlink="">
      <xdr:nvSpPr>
        <xdr:cNvPr id="296" name="Rectangle 295"/>
        <xdr:cNvSpPr/>
      </xdr:nvSpPr>
      <xdr:spPr>
        <a:xfrm>
          <a:off x="1828800" y="4025900"/>
          <a:ext cx="152400" cy="1778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3</xdr:col>
      <xdr:colOff>152400</xdr:colOff>
      <xdr:row>23</xdr:row>
      <xdr:rowOff>144780</xdr:rowOff>
    </xdr:from>
    <xdr:to>
      <xdr:col>3</xdr:col>
      <xdr:colOff>330200</xdr:colOff>
      <xdr:row>25</xdr:row>
      <xdr:rowOff>12700</xdr:rowOff>
    </xdr:to>
    <xdr:sp macro="" textlink="">
      <xdr:nvSpPr>
        <xdr:cNvPr id="297" name="Rectangle 296"/>
        <xdr:cNvSpPr/>
      </xdr:nvSpPr>
      <xdr:spPr>
        <a:xfrm>
          <a:off x="19812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10</xdr:col>
      <xdr:colOff>586740</xdr:colOff>
      <xdr:row>21</xdr:row>
      <xdr:rowOff>45720</xdr:rowOff>
    </xdr:from>
    <xdr:to>
      <xdr:col>12</xdr:col>
      <xdr:colOff>22860</xdr:colOff>
      <xdr:row>25</xdr:row>
      <xdr:rowOff>38100</xdr:rowOff>
    </xdr:to>
    <xdr:pic>
      <xdr:nvPicPr>
        <xdr:cNvPr id="812286" name="Picture 297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35661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21</xdr:row>
      <xdr:rowOff>35560</xdr:rowOff>
    </xdr:from>
    <xdr:to>
      <xdr:col>4</xdr:col>
      <xdr:colOff>444500</xdr:colOff>
      <xdr:row>25</xdr:row>
      <xdr:rowOff>38100</xdr:rowOff>
    </xdr:to>
    <xdr:sp macro="" textlink="">
      <xdr:nvSpPr>
        <xdr:cNvPr id="299" name="Rectangle 298"/>
        <xdr:cNvSpPr/>
      </xdr:nvSpPr>
      <xdr:spPr>
        <a:xfrm>
          <a:off x="22098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21</xdr:row>
      <xdr:rowOff>35560</xdr:rowOff>
    </xdr:from>
    <xdr:to>
      <xdr:col>10</xdr:col>
      <xdr:colOff>571500</xdr:colOff>
      <xdr:row>25</xdr:row>
      <xdr:rowOff>38100</xdr:rowOff>
    </xdr:to>
    <xdr:sp macro="" textlink="">
      <xdr:nvSpPr>
        <xdr:cNvPr id="300" name="Rectangle 299"/>
        <xdr:cNvSpPr/>
      </xdr:nvSpPr>
      <xdr:spPr>
        <a:xfrm>
          <a:off x="59944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393700</xdr:colOff>
      <xdr:row>21</xdr:row>
      <xdr:rowOff>48260</xdr:rowOff>
    </xdr:from>
    <xdr:to>
      <xdr:col>4</xdr:col>
      <xdr:colOff>444500</xdr:colOff>
      <xdr:row>22</xdr:row>
      <xdr:rowOff>33020</xdr:rowOff>
    </xdr:to>
    <xdr:sp macro="" textlink="">
      <xdr:nvSpPr>
        <xdr:cNvPr id="301" name="Rectangle 300"/>
        <xdr:cNvSpPr/>
      </xdr:nvSpPr>
      <xdr:spPr>
        <a:xfrm>
          <a:off x="2222500" y="3568700"/>
          <a:ext cx="6604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B</a:t>
          </a:r>
        </a:p>
      </xdr:txBody>
    </xdr:sp>
    <xdr:clientData/>
  </xdr:twoCellAnchor>
  <xdr:twoCellAnchor editAs="absolute">
    <xdr:from>
      <xdr:col>4</xdr:col>
      <xdr:colOff>266700</xdr:colOff>
      <xdr:row>21</xdr:row>
      <xdr:rowOff>48260</xdr:rowOff>
    </xdr:from>
    <xdr:to>
      <xdr:col>4</xdr:col>
      <xdr:colOff>444500</xdr:colOff>
      <xdr:row>22</xdr:row>
      <xdr:rowOff>33020</xdr:rowOff>
    </xdr:to>
    <xdr:sp macro="" textlink="">
      <xdr:nvSpPr>
        <xdr:cNvPr id="302" name="Rectangle 301"/>
        <xdr:cNvSpPr/>
      </xdr:nvSpPr>
      <xdr:spPr>
        <a:xfrm>
          <a:off x="2705100" y="3568700"/>
          <a:ext cx="1778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3</xdr:col>
      <xdr:colOff>518160</xdr:colOff>
      <xdr:row>22</xdr:row>
      <xdr:rowOff>60960</xdr:rowOff>
    </xdr:from>
    <xdr:to>
      <xdr:col>4</xdr:col>
      <xdr:colOff>289560</xdr:colOff>
      <xdr:row>24</xdr:row>
      <xdr:rowOff>152400</xdr:rowOff>
    </xdr:to>
    <xdr:pic>
      <xdr:nvPicPr>
        <xdr:cNvPr id="812291" name="Picture 302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6960" y="37490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419100</xdr:colOff>
      <xdr:row>23</xdr:row>
      <xdr:rowOff>144780</xdr:rowOff>
    </xdr:from>
    <xdr:to>
      <xdr:col>3</xdr:col>
      <xdr:colOff>596900</xdr:colOff>
      <xdr:row>25</xdr:row>
      <xdr:rowOff>12700</xdr:rowOff>
    </xdr:to>
    <xdr:sp macro="" textlink="">
      <xdr:nvSpPr>
        <xdr:cNvPr id="304" name="Rectangle 303"/>
        <xdr:cNvSpPr/>
      </xdr:nvSpPr>
      <xdr:spPr>
        <a:xfrm>
          <a:off x="22479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63500</xdr:colOff>
      <xdr:row>24</xdr:row>
      <xdr:rowOff>2540</xdr:rowOff>
    </xdr:from>
    <xdr:to>
      <xdr:col>4</xdr:col>
      <xdr:colOff>215900</xdr:colOff>
      <xdr:row>25</xdr:row>
      <xdr:rowOff>12700</xdr:rowOff>
    </xdr:to>
    <xdr:sp macro="" textlink="">
      <xdr:nvSpPr>
        <xdr:cNvPr id="305" name="Rectangle 304"/>
        <xdr:cNvSpPr/>
      </xdr:nvSpPr>
      <xdr:spPr>
        <a:xfrm>
          <a:off x="2501900" y="4025900"/>
          <a:ext cx="152400" cy="1778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4</xdr:col>
      <xdr:colOff>215900</xdr:colOff>
      <xdr:row>23</xdr:row>
      <xdr:rowOff>144780</xdr:rowOff>
    </xdr:from>
    <xdr:to>
      <xdr:col>4</xdr:col>
      <xdr:colOff>393700</xdr:colOff>
      <xdr:row>25</xdr:row>
      <xdr:rowOff>12700</xdr:rowOff>
    </xdr:to>
    <xdr:sp macro="" textlink="">
      <xdr:nvSpPr>
        <xdr:cNvPr id="306" name="Rectangle 305"/>
        <xdr:cNvSpPr/>
      </xdr:nvSpPr>
      <xdr:spPr>
        <a:xfrm>
          <a:off x="26543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9</xdr:col>
      <xdr:colOff>518160</xdr:colOff>
      <xdr:row>21</xdr:row>
      <xdr:rowOff>45720</xdr:rowOff>
    </xdr:from>
    <xdr:to>
      <xdr:col>10</xdr:col>
      <xdr:colOff>571500</xdr:colOff>
      <xdr:row>25</xdr:row>
      <xdr:rowOff>38100</xdr:rowOff>
    </xdr:to>
    <xdr:pic>
      <xdr:nvPicPr>
        <xdr:cNvPr id="812295" name="Picture 306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35661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21</xdr:row>
      <xdr:rowOff>35560</xdr:rowOff>
    </xdr:from>
    <xdr:to>
      <xdr:col>5</xdr:col>
      <xdr:colOff>508000</xdr:colOff>
      <xdr:row>25</xdr:row>
      <xdr:rowOff>38100</xdr:rowOff>
    </xdr:to>
    <xdr:sp macro="" textlink="">
      <xdr:nvSpPr>
        <xdr:cNvPr id="308" name="Rectangle 307"/>
        <xdr:cNvSpPr/>
      </xdr:nvSpPr>
      <xdr:spPr>
        <a:xfrm>
          <a:off x="28829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21</xdr:row>
      <xdr:rowOff>35560</xdr:rowOff>
    </xdr:from>
    <xdr:to>
      <xdr:col>9</xdr:col>
      <xdr:colOff>508000</xdr:colOff>
      <xdr:row>25</xdr:row>
      <xdr:rowOff>38100</xdr:rowOff>
    </xdr:to>
    <xdr:sp macro="" textlink="">
      <xdr:nvSpPr>
        <xdr:cNvPr id="309" name="Rectangle 308"/>
        <xdr:cNvSpPr/>
      </xdr:nvSpPr>
      <xdr:spPr>
        <a:xfrm>
          <a:off x="53213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457200</xdr:colOff>
      <xdr:row>21</xdr:row>
      <xdr:rowOff>48260</xdr:rowOff>
    </xdr:from>
    <xdr:to>
      <xdr:col>5</xdr:col>
      <xdr:colOff>508000</xdr:colOff>
      <xdr:row>22</xdr:row>
      <xdr:rowOff>33020</xdr:rowOff>
    </xdr:to>
    <xdr:sp macro="" textlink="">
      <xdr:nvSpPr>
        <xdr:cNvPr id="310" name="Rectangle 309"/>
        <xdr:cNvSpPr/>
      </xdr:nvSpPr>
      <xdr:spPr>
        <a:xfrm>
          <a:off x="2895600" y="3568700"/>
          <a:ext cx="6604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X</a:t>
          </a:r>
        </a:p>
      </xdr:txBody>
    </xdr:sp>
    <xdr:clientData/>
  </xdr:twoCellAnchor>
  <xdr:twoCellAnchor editAs="absolute">
    <xdr:from>
      <xdr:col>5</xdr:col>
      <xdr:colOff>330200</xdr:colOff>
      <xdr:row>21</xdr:row>
      <xdr:rowOff>48260</xdr:rowOff>
    </xdr:from>
    <xdr:to>
      <xdr:col>5</xdr:col>
      <xdr:colOff>508000</xdr:colOff>
      <xdr:row>22</xdr:row>
      <xdr:rowOff>33020</xdr:rowOff>
    </xdr:to>
    <xdr:sp macro="" textlink="">
      <xdr:nvSpPr>
        <xdr:cNvPr id="311" name="Rectangle 310"/>
        <xdr:cNvSpPr/>
      </xdr:nvSpPr>
      <xdr:spPr>
        <a:xfrm>
          <a:off x="3378200" y="3568700"/>
          <a:ext cx="1778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Sax</a:t>
          </a:r>
        </a:p>
      </xdr:txBody>
    </xdr:sp>
    <xdr:clientData/>
  </xdr:twoCellAnchor>
  <xdr:twoCellAnchor editAs="oneCell">
    <xdr:from>
      <xdr:col>4</xdr:col>
      <xdr:colOff>586740</xdr:colOff>
      <xdr:row>22</xdr:row>
      <xdr:rowOff>60960</xdr:rowOff>
    </xdr:from>
    <xdr:to>
      <xdr:col>5</xdr:col>
      <xdr:colOff>358140</xdr:colOff>
      <xdr:row>24</xdr:row>
      <xdr:rowOff>152400</xdr:rowOff>
    </xdr:to>
    <xdr:pic>
      <xdr:nvPicPr>
        <xdr:cNvPr id="812300" name="Picture 311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5140" y="37490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482600</xdr:colOff>
      <xdr:row>23</xdr:row>
      <xdr:rowOff>144780</xdr:rowOff>
    </xdr:from>
    <xdr:to>
      <xdr:col>5</xdr:col>
      <xdr:colOff>50800</xdr:colOff>
      <xdr:row>25</xdr:row>
      <xdr:rowOff>12700</xdr:rowOff>
    </xdr:to>
    <xdr:sp macro="" textlink="">
      <xdr:nvSpPr>
        <xdr:cNvPr id="313" name="Rectangle 312"/>
        <xdr:cNvSpPr/>
      </xdr:nvSpPr>
      <xdr:spPr>
        <a:xfrm>
          <a:off x="29210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127000</xdr:colOff>
      <xdr:row>24</xdr:row>
      <xdr:rowOff>2540</xdr:rowOff>
    </xdr:from>
    <xdr:to>
      <xdr:col>5</xdr:col>
      <xdr:colOff>279400</xdr:colOff>
      <xdr:row>25</xdr:row>
      <xdr:rowOff>12700</xdr:rowOff>
    </xdr:to>
    <xdr:sp macro="" textlink="">
      <xdr:nvSpPr>
        <xdr:cNvPr id="314" name="Rectangle 313"/>
        <xdr:cNvSpPr/>
      </xdr:nvSpPr>
      <xdr:spPr>
        <a:xfrm>
          <a:off x="3175000" y="4025900"/>
          <a:ext cx="152400" cy="1778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279400</xdr:colOff>
      <xdr:row>23</xdr:row>
      <xdr:rowOff>144780</xdr:rowOff>
    </xdr:from>
    <xdr:to>
      <xdr:col>5</xdr:col>
      <xdr:colOff>457200</xdr:colOff>
      <xdr:row>25</xdr:row>
      <xdr:rowOff>12700</xdr:rowOff>
    </xdr:to>
    <xdr:sp macro="" textlink="">
      <xdr:nvSpPr>
        <xdr:cNvPr id="315" name="Rectangle 314"/>
        <xdr:cNvSpPr/>
      </xdr:nvSpPr>
      <xdr:spPr>
        <a:xfrm>
          <a:off x="33274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8</xdr:col>
      <xdr:colOff>457200</xdr:colOff>
      <xdr:row>21</xdr:row>
      <xdr:rowOff>45720</xdr:rowOff>
    </xdr:from>
    <xdr:to>
      <xdr:col>9</xdr:col>
      <xdr:colOff>510540</xdr:colOff>
      <xdr:row>25</xdr:row>
      <xdr:rowOff>38100</xdr:rowOff>
    </xdr:to>
    <xdr:pic>
      <xdr:nvPicPr>
        <xdr:cNvPr id="812304" name="Picture 31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5661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21</xdr:row>
      <xdr:rowOff>35560</xdr:rowOff>
    </xdr:from>
    <xdr:to>
      <xdr:col>6</xdr:col>
      <xdr:colOff>571500</xdr:colOff>
      <xdr:row>25</xdr:row>
      <xdr:rowOff>38100</xdr:rowOff>
    </xdr:to>
    <xdr:sp macro="" textlink="">
      <xdr:nvSpPr>
        <xdr:cNvPr id="317" name="Rectangle 316"/>
        <xdr:cNvSpPr/>
      </xdr:nvSpPr>
      <xdr:spPr>
        <a:xfrm>
          <a:off x="35560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21</xdr:row>
      <xdr:rowOff>35560</xdr:rowOff>
    </xdr:from>
    <xdr:to>
      <xdr:col>8</xdr:col>
      <xdr:colOff>444500</xdr:colOff>
      <xdr:row>25</xdr:row>
      <xdr:rowOff>38100</xdr:rowOff>
    </xdr:to>
    <xdr:sp macro="" textlink="">
      <xdr:nvSpPr>
        <xdr:cNvPr id="318" name="Rectangle 317"/>
        <xdr:cNvSpPr/>
      </xdr:nvSpPr>
      <xdr:spPr>
        <a:xfrm>
          <a:off x="4648200" y="35560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520700</xdr:colOff>
      <xdr:row>21</xdr:row>
      <xdr:rowOff>48260</xdr:rowOff>
    </xdr:from>
    <xdr:to>
      <xdr:col>6</xdr:col>
      <xdr:colOff>571500</xdr:colOff>
      <xdr:row>22</xdr:row>
      <xdr:rowOff>33020</xdr:rowOff>
    </xdr:to>
    <xdr:sp macro="" textlink="">
      <xdr:nvSpPr>
        <xdr:cNvPr id="319" name="Rectangle 318"/>
        <xdr:cNvSpPr/>
      </xdr:nvSpPr>
      <xdr:spPr>
        <a:xfrm>
          <a:off x="3568700" y="3568700"/>
          <a:ext cx="6604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1</a:t>
          </a:r>
        </a:p>
      </xdr:txBody>
    </xdr:sp>
    <xdr:clientData/>
  </xdr:twoCellAnchor>
  <xdr:twoCellAnchor editAs="absolute">
    <xdr:from>
      <xdr:col>6</xdr:col>
      <xdr:colOff>393700</xdr:colOff>
      <xdr:row>21</xdr:row>
      <xdr:rowOff>48260</xdr:rowOff>
    </xdr:from>
    <xdr:to>
      <xdr:col>6</xdr:col>
      <xdr:colOff>571500</xdr:colOff>
      <xdr:row>22</xdr:row>
      <xdr:rowOff>33020</xdr:rowOff>
    </xdr:to>
    <xdr:sp macro="" textlink="">
      <xdr:nvSpPr>
        <xdr:cNvPr id="320" name="Rectangle 319"/>
        <xdr:cNvSpPr/>
      </xdr:nvSpPr>
      <xdr:spPr>
        <a:xfrm>
          <a:off x="4051300" y="3568700"/>
          <a:ext cx="1778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6</xdr:col>
      <xdr:colOff>38100</xdr:colOff>
      <xdr:row>22</xdr:row>
      <xdr:rowOff>30480</xdr:rowOff>
    </xdr:from>
    <xdr:to>
      <xdr:col>6</xdr:col>
      <xdr:colOff>419100</xdr:colOff>
      <xdr:row>24</xdr:row>
      <xdr:rowOff>129540</xdr:rowOff>
    </xdr:to>
    <xdr:pic>
      <xdr:nvPicPr>
        <xdr:cNvPr id="812309" name="Picture 320"/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3718560"/>
          <a:ext cx="3810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520700</xdr:colOff>
      <xdr:row>22</xdr:row>
      <xdr:rowOff>160020</xdr:rowOff>
    </xdr:from>
    <xdr:to>
      <xdr:col>6</xdr:col>
      <xdr:colOff>88900</xdr:colOff>
      <xdr:row>24</xdr:row>
      <xdr:rowOff>27940</xdr:rowOff>
    </xdr:to>
    <xdr:sp macro="" textlink="">
      <xdr:nvSpPr>
        <xdr:cNvPr id="322" name="Rectangle 321"/>
        <xdr:cNvSpPr/>
      </xdr:nvSpPr>
      <xdr:spPr>
        <a:xfrm>
          <a:off x="3568700" y="38481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5</xdr:col>
      <xdr:colOff>546100</xdr:colOff>
      <xdr:row>24</xdr:row>
      <xdr:rowOff>2540</xdr:rowOff>
    </xdr:from>
    <xdr:to>
      <xdr:col>6</xdr:col>
      <xdr:colOff>88900</xdr:colOff>
      <xdr:row>25</xdr:row>
      <xdr:rowOff>12700</xdr:rowOff>
    </xdr:to>
    <xdr:sp macro="" textlink="">
      <xdr:nvSpPr>
        <xdr:cNvPr id="323" name="Rectangle 322"/>
        <xdr:cNvSpPr/>
      </xdr:nvSpPr>
      <xdr:spPr>
        <a:xfrm>
          <a:off x="3594100" y="4025900"/>
          <a:ext cx="152400" cy="1778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6</xdr:col>
      <xdr:colOff>393700</xdr:colOff>
      <xdr:row>23</xdr:row>
      <xdr:rowOff>144780</xdr:rowOff>
    </xdr:from>
    <xdr:to>
      <xdr:col>6</xdr:col>
      <xdr:colOff>571500</xdr:colOff>
      <xdr:row>25</xdr:row>
      <xdr:rowOff>12700</xdr:rowOff>
    </xdr:to>
    <xdr:sp macro="" textlink="">
      <xdr:nvSpPr>
        <xdr:cNvPr id="324" name="Rectangle 323"/>
        <xdr:cNvSpPr/>
      </xdr:nvSpPr>
      <xdr:spPr>
        <a:xfrm>
          <a:off x="4051300" y="40005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7</xdr:col>
      <xdr:colOff>396240</xdr:colOff>
      <xdr:row>21</xdr:row>
      <xdr:rowOff>45720</xdr:rowOff>
    </xdr:from>
    <xdr:to>
      <xdr:col>8</xdr:col>
      <xdr:colOff>441960</xdr:colOff>
      <xdr:row>25</xdr:row>
      <xdr:rowOff>38100</xdr:rowOff>
    </xdr:to>
    <xdr:pic>
      <xdr:nvPicPr>
        <xdr:cNvPr id="812313" name="Picture 32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35661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25</xdr:row>
      <xdr:rowOff>38100</xdr:rowOff>
    </xdr:from>
    <xdr:to>
      <xdr:col>1</xdr:col>
      <xdr:colOff>254000</xdr:colOff>
      <xdr:row>29</xdr:row>
      <xdr:rowOff>40640</xdr:rowOff>
    </xdr:to>
    <xdr:sp macro="" textlink="">
      <xdr:nvSpPr>
        <xdr:cNvPr id="326" name="Rectangle 325"/>
        <xdr:cNvSpPr/>
      </xdr:nvSpPr>
      <xdr:spPr>
        <a:xfrm>
          <a:off x="190500" y="42291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25</xdr:row>
      <xdr:rowOff>38100</xdr:rowOff>
    </xdr:from>
    <xdr:to>
      <xdr:col>14</xdr:col>
      <xdr:colOff>152400</xdr:colOff>
      <xdr:row>29</xdr:row>
      <xdr:rowOff>40640</xdr:rowOff>
    </xdr:to>
    <xdr:sp macro="" textlink="">
      <xdr:nvSpPr>
        <xdr:cNvPr id="327" name="Rectangle 326"/>
        <xdr:cNvSpPr/>
      </xdr:nvSpPr>
      <xdr:spPr>
        <a:xfrm>
          <a:off x="8013700" y="42291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203200</xdr:colOff>
      <xdr:row>25</xdr:row>
      <xdr:rowOff>50800</xdr:rowOff>
    </xdr:from>
    <xdr:to>
      <xdr:col>1</xdr:col>
      <xdr:colOff>254000</xdr:colOff>
      <xdr:row>26</xdr:row>
      <xdr:rowOff>35560</xdr:rowOff>
    </xdr:to>
    <xdr:sp macro="" textlink="">
      <xdr:nvSpPr>
        <xdr:cNvPr id="328" name="Rectangle 327"/>
        <xdr:cNvSpPr/>
      </xdr:nvSpPr>
      <xdr:spPr>
        <a:xfrm>
          <a:off x="203200" y="4241800"/>
          <a:ext cx="6604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l"/>
          <a:r>
            <a:rPr lang="en-GB" sz="600" b="0">
              <a:solidFill>
                <a:srgbClr val="000000"/>
              </a:solidFill>
              <a:latin typeface=""/>
            </a:rPr>
            <a:t>Dét. 2</a:t>
          </a:r>
        </a:p>
      </xdr:txBody>
    </xdr:sp>
    <xdr:clientData/>
  </xdr:twoCellAnchor>
  <xdr:twoCellAnchor editAs="absolute">
    <xdr:from>
      <xdr:col>1</xdr:col>
      <xdr:colOff>76200</xdr:colOff>
      <xdr:row>25</xdr:row>
      <xdr:rowOff>50800</xdr:rowOff>
    </xdr:from>
    <xdr:to>
      <xdr:col>1</xdr:col>
      <xdr:colOff>254000</xdr:colOff>
      <xdr:row>26</xdr:row>
      <xdr:rowOff>35560</xdr:rowOff>
    </xdr:to>
    <xdr:sp macro="" textlink="">
      <xdr:nvSpPr>
        <xdr:cNvPr id="329" name="Rectangle 328"/>
        <xdr:cNvSpPr/>
      </xdr:nvSpPr>
      <xdr:spPr>
        <a:xfrm>
          <a:off x="685800" y="4241800"/>
          <a:ext cx="177800" cy="152400"/>
        </a:xfrm>
        <a:prstGeom prst="rect">
          <a:avLst/>
        </a:prstGeom>
        <a:solidFill>
          <a:srgbClr val="CCFF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0</xdr:col>
      <xdr:colOff>327660</xdr:colOff>
      <xdr:row>26</xdr:row>
      <xdr:rowOff>38100</xdr:rowOff>
    </xdr:from>
    <xdr:to>
      <xdr:col>1</xdr:col>
      <xdr:colOff>99060</xdr:colOff>
      <xdr:row>28</xdr:row>
      <xdr:rowOff>129540</xdr:rowOff>
    </xdr:to>
    <xdr:pic>
      <xdr:nvPicPr>
        <xdr:cNvPr id="812318" name="Picture 329"/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4396740"/>
          <a:ext cx="3810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26</xdr:row>
      <xdr:rowOff>162560</xdr:rowOff>
    </xdr:from>
    <xdr:to>
      <xdr:col>0</xdr:col>
      <xdr:colOff>381000</xdr:colOff>
      <xdr:row>28</xdr:row>
      <xdr:rowOff>30480</xdr:rowOff>
    </xdr:to>
    <xdr:sp macro="" textlink="">
      <xdr:nvSpPr>
        <xdr:cNvPr id="331" name="Rectangle 330"/>
        <xdr:cNvSpPr/>
      </xdr:nvSpPr>
      <xdr:spPr>
        <a:xfrm>
          <a:off x="203200" y="45212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228600</xdr:colOff>
      <xdr:row>28</xdr:row>
      <xdr:rowOff>5080</xdr:rowOff>
    </xdr:from>
    <xdr:to>
      <xdr:col>0</xdr:col>
      <xdr:colOff>381000</xdr:colOff>
      <xdr:row>29</xdr:row>
      <xdr:rowOff>15240</xdr:rowOff>
    </xdr:to>
    <xdr:sp macro="" textlink="">
      <xdr:nvSpPr>
        <xdr:cNvPr id="332" name="Rectangle 331"/>
        <xdr:cNvSpPr/>
      </xdr:nvSpPr>
      <xdr:spPr>
        <a:xfrm>
          <a:off x="228600" y="4699000"/>
          <a:ext cx="152400" cy="1778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000" b="1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76200</xdr:colOff>
      <xdr:row>27</xdr:row>
      <xdr:rowOff>147320</xdr:rowOff>
    </xdr:from>
    <xdr:to>
      <xdr:col>1</xdr:col>
      <xdr:colOff>254000</xdr:colOff>
      <xdr:row>29</xdr:row>
      <xdr:rowOff>15240</xdr:rowOff>
    </xdr:to>
    <xdr:sp macro="" textlink="">
      <xdr:nvSpPr>
        <xdr:cNvPr id="333" name="Rectangle 332"/>
        <xdr:cNvSpPr/>
      </xdr:nvSpPr>
      <xdr:spPr>
        <a:xfrm>
          <a:off x="685800" y="4673600"/>
          <a:ext cx="177800" cy="2032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1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oneCell">
    <xdr:from>
      <xdr:col>13</xdr:col>
      <xdr:colOff>99060</xdr:colOff>
      <xdr:row>25</xdr:row>
      <xdr:rowOff>53340</xdr:rowOff>
    </xdr:from>
    <xdr:to>
      <xdr:col>14</xdr:col>
      <xdr:colOff>152400</xdr:colOff>
      <xdr:row>29</xdr:row>
      <xdr:rowOff>38100</xdr:rowOff>
    </xdr:to>
    <xdr:pic>
      <xdr:nvPicPr>
        <xdr:cNvPr id="812322" name="Picture 333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25</xdr:row>
      <xdr:rowOff>38100</xdr:rowOff>
    </xdr:from>
    <xdr:to>
      <xdr:col>2</xdr:col>
      <xdr:colOff>317500</xdr:colOff>
      <xdr:row>29</xdr:row>
      <xdr:rowOff>40640</xdr:rowOff>
    </xdr:to>
    <xdr:sp macro="" textlink="">
      <xdr:nvSpPr>
        <xdr:cNvPr id="335" name="Rectangle 334"/>
        <xdr:cNvSpPr/>
      </xdr:nvSpPr>
      <xdr:spPr>
        <a:xfrm>
          <a:off x="8636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25</xdr:row>
      <xdr:rowOff>38100</xdr:rowOff>
    </xdr:from>
    <xdr:to>
      <xdr:col>13</xdr:col>
      <xdr:colOff>88900</xdr:colOff>
      <xdr:row>29</xdr:row>
      <xdr:rowOff>40640</xdr:rowOff>
    </xdr:to>
    <xdr:sp macro="" textlink="">
      <xdr:nvSpPr>
        <xdr:cNvPr id="336" name="Rectangle 335"/>
        <xdr:cNvSpPr/>
      </xdr:nvSpPr>
      <xdr:spPr>
        <a:xfrm>
          <a:off x="73406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1</xdr:col>
      <xdr:colOff>266700</xdr:colOff>
      <xdr:row>25</xdr:row>
      <xdr:rowOff>53340</xdr:rowOff>
    </xdr:from>
    <xdr:to>
      <xdr:col>2</xdr:col>
      <xdr:colOff>320040</xdr:colOff>
      <xdr:row>29</xdr:row>
      <xdr:rowOff>38100</xdr:rowOff>
    </xdr:to>
    <xdr:pic>
      <xdr:nvPicPr>
        <xdr:cNvPr id="812325" name="Picture 336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38100</xdr:colOff>
      <xdr:row>25</xdr:row>
      <xdr:rowOff>53340</xdr:rowOff>
    </xdr:from>
    <xdr:to>
      <xdr:col>13</xdr:col>
      <xdr:colOff>91440</xdr:colOff>
      <xdr:row>29</xdr:row>
      <xdr:rowOff>38100</xdr:rowOff>
    </xdr:to>
    <xdr:pic>
      <xdr:nvPicPr>
        <xdr:cNvPr id="812326" name="Picture 337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320040</xdr:colOff>
      <xdr:row>25</xdr:row>
      <xdr:rowOff>99060</xdr:rowOff>
    </xdr:from>
    <xdr:to>
      <xdr:col>1</xdr:col>
      <xdr:colOff>518160</xdr:colOff>
      <xdr:row>26</xdr:row>
      <xdr:rowOff>137160</xdr:rowOff>
    </xdr:to>
    <xdr:pic>
      <xdr:nvPicPr>
        <xdr:cNvPr id="812327" name="Picture 338"/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4290060"/>
          <a:ext cx="1981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91440</xdr:colOff>
      <xdr:row>25</xdr:row>
      <xdr:rowOff>99060</xdr:rowOff>
    </xdr:from>
    <xdr:to>
      <xdr:col>12</xdr:col>
      <xdr:colOff>289560</xdr:colOff>
      <xdr:row>26</xdr:row>
      <xdr:rowOff>137160</xdr:rowOff>
    </xdr:to>
    <xdr:pic>
      <xdr:nvPicPr>
        <xdr:cNvPr id="812328" name="Picture 339"/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6640" y="4290060"/>
          <a:ext cx="1981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88900</xdr:colOff>
      <xdr:row>27</xdr:row>
      <xdr:rowOff>45720</xdr:rowOff>
    </xdr:from>
    <xdr:to>
      <xdr:col>2</xdr:col>
      <xdr:colOff>292100</xdr:colOff>
      <xdr:row>29</xdr:row>
      <xdr:rowOff>15240</xdr:rowOff>
    </xdr:to>
    <xdr:sp macro="" textlink="">
      <xdr:nvSpPr>
        <xdr:cNvPr id="341" name="Rectangle 340"/>
        <xdr:cNvSpPr/>
      </xdr:nvSpPr>
      <xdr:spPr>
        <a:xfrm>
          <a:off x="13081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2</a:t>
          </a:r>
        </a:p>
      </xdr:txBody>
    </xdr:sp>
    <xdr:clientData/>
  </xdr:twoCellAnchor>
  <xdr:twoCellAnchor editAs="absolute">
    <xdr:from>
      <xdr:col>12</xdr:col>
      <xdr:colOff>469900</xdr:colOff>
      <xdr:row>27</xdr:row>
      <xdr:rowOff>45720</xdr:rowOff>
    </xdr:from>
    <xdr:to>
      <xdr:col>13</xdr:col>
      <xdr:colOff>63500</xdr:colOff>
      <xdr:row>29</xdr:row>
      <xdr:rowOff>15240</xdr:rowOff>
    </xdr:to>
    <xdr:sp macro="" textlink="">
      <xdr:nvSpPr>
        <xdr:cNvPr id="342" name="Rectangle 341"/>
        <xdr:cNvSpPr/>
      </xdr:nvSpPr>
      <xdr:spPr>
        <a:xfrm>
          <a:off x="77851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1</a:t>
          </a:r>
        </a:p>
      </xdr:txBody>
    </xdr:sp>
    <xdr:clientData/>
  </xdr:twoCellAnchor>
  <xdr:twoCellAnchor>
    <xdr:from>
      <xdr:col>2</xdr:col>
      <xdr:colOff>317500</xdr:colOff>
      <xdr:row>25</xdr:row>
      <xdr:rowOff>38100</xdr:rowOff>
    </xdr:from>
    <xdr:to>
      <xdr:col>3</xdr:col>
      <xdr:colOff>381000</xdr:colOff>
      <xdr:row>29</xdr:row>
      <xdr:rowOff>40640</xdr:rowOff>
    </xdr:to>
    <xdr:sp macro="" textlink="">
      <xdr:nvSpPr>
        <xdr:cNvPr id="343" name="Rectangle 342"/>
        <xdr:cNvSpPr/>
      </xdr:nvSpPr>
      <xdr:spPr>
        <a:xfrm>
          <a:off x="15367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25</xdr:row>
      <xdr:rowOff>38100</xdr:rowOff>
    </xdr:from>
    <xdr:to>
      <xdr:col>12</xdr:col>
      <xdr:colOff>25400</xdr:colOff>
      <xdr:row>29</xdr:row>
      <xdr:rowOff>40640</xdr:rowOff>
    </xdr:to>
    <xdr:sp macro="" textlink="">
      <xdr:nvSpPr>
        <xdr:cNvPr id="344" name="Rectangle 343"/>
        <xdr:cNvSpPr/>
      </xdr:nvSpPr>
      <xdr:spPr>
        <a:xfrm>
          <a:off x="66675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327660</xdr:colOff>
      <xdr:row>25</xdr:row>
      <xdr:rowOff>53340</xdr:rowOff>
    </xdr:from>
    <xdr:to>
      <xdr:col>3</xdr:col>
      <xdr:colOff>381000</xdr:colOff>
      <xdr:row>29</xdr:row>
      <xdr:rowOff>38100</xdr:rowOff>
    </xdr:to>
    <xdr:pic>
      <xdr:nvPicPr>
        <xdr:cNvPr id="812333" name="Picture 344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86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586740</xdr:colOff>
      <xdr:row>25</xdr:row>
      <xdr:rowOff>53340</xdr:rowOff>
    </xdr:from>
    <xdr:to>
      <xdr:col>12</xdr:col>
      <xdr:colOff>22860</xdr:colOff>
      <xdr:row>29</xdr:row>
      <xdr:rowOff>38100</xdr:rowOff>
    </xdr:to>
    <xdr:pic>
      <xdr:nvPicPr>
        <xdr:cNvPr id="812334" name="Picture 345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42443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25</xdr:row>
      <xdr:rowOff>99060</xdr:rowOff>
    </xdr:from>
    <xdr:to>
      <xdr:col>2</xdr:col>
      <xdr:colOff>586740</xdr:colOff>
      <xdr:row>26</xdr:row>
      <xdr:rowOff>137160</xdr:rowOff>
    </xdr:to>
    <xdr:pic>
      <xdr:nvPicPr>
        <xdr:cNvPr id="812335" name="Picture 346"/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42900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22860</xdr:colOff>
      <xdr:row>25</xdr:row>
      <xdr:rowOff>99060</xdr:rowOff>
    </xdr:from>
    <xdr:to>
      <xdr:col>11</xdr:col>
      <xdr:colOff>228600</xdr:colOff>
      <xdr:row>26</xdr:row>
      <xdr:rowOff>137160</xdr:rowOff>
    </xdr:to>
    <xdr:pic>
      <xdr:nvPicPr>
        <xdr:cNvPr id="812336" name="Picture 347"/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42900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152400</xdr:colOff>
      <xdr:row>27</xdr:row>
      <xdr:rowOff>45720</xdr:rowOff>
    </xdr:from>
    <xdr:to>
      <xdr:col>3</xdr:col>
      <xdr:colOff>355600</xdr:colOff>
      <xdr:row>29</xdr:row>
      <xdr:rowOff>15240</xdr:rowOff>
    </xdr:to>
    <xdr:sp macro="" textlink="">
      <xdr:nvSpPr>
        <xdr:cNvPr id="349" name="Rectangle 348"/>
        <xdr:cNvSpPr/>
      </xdr:nvSpPr>
      <xdr:spPr>
        <a:xfrm>
          <a:off x="19812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4</a:t>
          </a:r>
        </a:p>
      </xdr:txBody>
    </xdr:sp>
    <xdr:clientData/>
  </xdr:twoCellAnchor>
  <xdr:twoCellAnchor editAs="absolute">
    <xdr:from>
      <xdr:col>11</xdr:col>
      <xdr:colOff>406400</xdr:colOff>
      <xdr:row>27</xdr:row>
      <xdr:rowOff>45720</xdr:rowOff>
    </xdr:from>
    <xdr:to>
      <xdr:col>12</xdr:col>
      <xdr:colOff>0</xdr:colOff>
      <xdr:row>29</xdr:row>
      <xdr:rowOff>15240</xdr:rowOff>
    </xdr:to>
    <xdr:sp macro="" textlink="">
      <xdr:nvSpPr>
        <xdr:cNvPr id="350" name="Rectangle 349"/>
        <xdr:cNvSpPr/>
      </xdr:nvSpPr>
      <xdr:spPr>
        <a:xfrm>
          <a:off x="71120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3</a:t>
          </a:r>
        </a:p>
      </xdr:txBody>
    </xdr:sp>
    <xdr:clientData/>
  </xdr:twoCellAnchor>
  <xdr:twoCellAnchor>
    <xdr:from>
      <xdr:col>3</xdr:col>
      <xdr:colOff>381000</xdr:colOff>
      <xdr:row>25</xdr:row>
      <xdr:rowOff>38100</xdr:rowOff>
    </xdr:from>
    <xdr:to>
      <xdr:col>4</xdr:col>
      <xdr:colOff>444500</xdr:colOff>
      <xdr:row>29</xdr:row>
      <xdr:rowOff>40640</xdr:rowOff>
    </xdr:to>
    <xdr:sp macro="" textlink="">
      <xdr:nvSpPr>
        <xdr:cNvPr id="351" name="Rectangle 350"/>
        <xdr:cNvSpPr/>
      </xdr:nvSpPr>
      <xdr:spPr>
        <a:xfrm>
          <a:off x="22098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25</xdr:row>
      <xdr:rowOff>38100</xdr:rowOff>
    </xdr:from>
    <xdr:to>
      <xdr:col>10</xdr:col>
      <xdr:colOff>571500</xdr:colOff>
      <xdr:row>29</xdr:row>
      <xdr:rowOff>40640</xdr:rowOff>
    </xdr:to>
    <xdr:sp macro="" textlink="">
      <xdr:nvSpPr>
        <xdr:cNvPr id="352" name="Rectangle 351"/>
        <xdr:cNvSpPr/>
      </xdr:nvSpPr>
      <xdr:spPr>
        <a:xfrm>
          <a:off x="59944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3</xdr:col>
      <xdr:colOff>396240</xdr:colOff>
      <xdr:row>25</xdr:row>
      <xdr:rowOff>53340</xdr:rowOff>
    </xdr:from>
    <xdr:to>
      <xdr:col>4</xdr:col>
      <xdr:colOff>441960</xdr:colOff>
      <xdr:row>29</xdr:row>
      <xdr:rowOff>38100</xdr:rowOff>
    </xdr:to>
    <xdr:pic>
      <xdr:nvPicPr>
        <xdr:cNvPr id="812341" name="Picture 352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5040" y="42443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518160</xdr:colOff>
      <xdr:row>25</xdr:row>
      <xdr:rowOff>53340</xdr:rowOff>
    </xdr:from>
    <xdr:to>
      <xdr:col>10</xdr:col>
      <xdr:colOff>571500</xdr:colOff>
      <xdr:row>29</xdr:row>
      <xdr:rowOff>38100</xdr:rowOff>
    </xdr:to>
    <xdr:pic>
      <xdr:nvPicPr>
        <xdr:cNvPr id="812342" name="Picture 353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441960</xdr:colOff>
      <xdr:row>25</xdr:row>
      <xdr:rowOff>99060</xdr:rowOff>
    </xdr:from>
    <xdr:to>
      <xdr:col>4</xdr:col>
      <xdr:colOff>38100</xdr:colOff>
      <xdr:row>26</xdr:row>
      <xdr:rowOff>137160</xdr:rowOff>
    </xdr:to>
    <xdr:pic>
      <xdr:nvPicPr>
        <xdr:cNvPr id="812343" name="Picture 35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42900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571500</xdr:colOff>
      <xdr:row>25</xdr:row>
      <xdr:rowOff>99060</xdr:rowOff>
    </xdr:from>
    <xdr:to>
      <xdr:col>10</xdr:col>
      <xdr:colOff>167640</xdr:colOff>
      <xdr:row>26</xdr:row>
      <xdr:rowOff>137160</xdr:rowOff>
    </xdr:to>
    <xdr:pic>
      <xdr:nvPicPr>
        <xdr:cNvPr id="812344" name="Picture 35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4290060"/>
          <a:ext cx="20574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215900</xdr:colOff>
      <xdr:row>27</xdr:row>
      <xdr:rowOff>45720</xdr:rowOff>
    </xdr:from>
    <xdr:to>
      <xdr:col>4</xdr:col>
      <xdr:colOff>419100</xdr:colOff>
      <xdr:row>29</xdr:row>
      <xdr:rowOff>15240</xdr:rowOff>
    </xdr:to>
    <xdr:sp macro="" textlink="">
      <xdr:nvSpPr>
        <xdr:cNvPr id="357" name="Rectangle 356"/>
        <xdr:cNvSpPr/>
      </xdr:nvSpPr>
      <xdr:spPr>
        <a:xfrm>
          <a:off x="26543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2</a:t>
          </a:r>
        </a:p>
      </xdr:txBody>
    </xdr:sp>
    <xdr:clientData/>
  </xdr:twoCellAnchor>
  <xdr:twoCellAnchor editAs="absolute">
    <xdr:from>
      <xdr:col>10</xdr:col>
      <xdr:colOff>342900</xdr:colOff>
      <xdr:row>27</xdr:row>
      <xdr:rowOff>45720</xdr:rowOff>
    </xdr:from>
    <xdr:to>
      <xdr:col>10</xdr:col>
      <xdr:colOff>546100</xdr:colOff>
      <xdr:row>29</xdr:row>
      <xdr:rowOff>15240</xdr:rowOff>
    </xdr:to>
    <xdr:sp macro="" textlink="">
      <xdr:nvSpPr>
        <xdr:cNvPr id="358" name="Rectangle 357"/>
        <xdr:cNvSpPr/>
      </xdr:nvSpPr>
      <xdr:spPr>
        <a:xfrm>
          <a:off x="64389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1</a:t>
          </a:r>
        </a:p>
      </xdr:txBody>
    </xdr:sp>
    <xdr:clientData/>
  </xdr:twoCellAnchor>
  <xdr:twoCellAnchor>
    <xdr:from>
      <xdr:col>4</xdr:col>
      <xdr:colOff>444500</xdr:colOff>
      <xdr:row>25</xdr:row>
      <xdr:rowOff>38100</xdr:rowOff>
    </xdr:from>
    <xdr:to>
      <xdr:col>5</xdr:col>
      <xdr:colOff>508000</xdr:colOff>
      <xdr:row>29</xdr:row>
      <xdr:rowOff>40640</xdr:rowOff>
    </xdr:to>
    <xdr:sp macro="" textlink="">
      <xdr:nvSpPr>
        <xdr:cNvPr id="359" name="Rectangle 358"/>
        <xdr:cNvSpPr/>
      </xdr:nvSpPr>
      <xdr:spPr>
        <a:xfrm>
          <a:off x="28829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25</xdr:row>
      <xdr:rowOff>38100</xdr:rowOff>
    </xdr:from>
    <xdr:to>
      <xdr:col>9</xdr:col>
      <xdr:colOff>508000</xdr:colOff>
      <xdr:row>29</xdr:row>
      <xdr:rowOff>40640</xdr:rowOff>
    </xdr:to>
    <xdr:sp macro="" textlink="">
      <xdr:nvSpPr>
        <xdr:cNvPr id="360" name="Rectangle 359"/>
        <xdr:cNvSpPr/>
      </xdr:nvSpPr>
      <xdr:spPr>
        <a:xfrm>
          <a:off x="53213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4</xdr:col>
      <xdr:colOff>457200</xdr:colOff>
      <xdr:row>25</xdr:row>
      <xdr:rowOff>53340</xdr:rowOff>
    </xdr:from>
    <xdr:to>
      <xdr:col>5</xdr:col>
      <xdr:colOff>510540</xdr:colOff>
      <xdr:row>29</xdr:row>
      <xdr:rowOff>38100</xdr:rowOff>
    </xdr:to>
    <xdr:pic>
      <xdr:nvPicPr>
        <xdr:cNvPr id="812349" name="Picture 360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457200</xdr:colOff>
      <xdr:row>25</xdr:row>
      <xdr:rowOff>53340</xdr:rowOff>
    </xdr:from>
    <xdr:to>
      <xdr:col>9</xdr:col>
      <xdr:colOff>510540</xdr:colOff>
      <xdr:row>29</xdr:row>
      <xdr:rowOff>38100</xdr:rowOff>
    </xdr:to>
    <xdr:pic>
      <xdr:nvPicPr>
        <xdr:cNvPr id="812350" name="Picture 361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4244340"/>
          <a:ext cx="66294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510540</xdr:colOff>
      <xdr:row>25</xdr:row>
      <xdr:rowOff>99060</xdr:rowOff>
    </xdr:from>
    <xdr:to>
      <xdr:col>5</xdr:col>
      <xdr:colOff>99060</xdr:colOff>
      <xdr:row>26</xdr:row>
      <xdr:rowOff>137160</xdr:rowOff>
    </xdr:to>
    <xdr:pic>
      <xdr:nvPicPr>
        <xdr:cNvPr id="812351" name="Picture 362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8940" y="4290060"/>
          <a:ext cx="1981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510540</xdr:colOff>
      <xdr:row>25</xdr:row>
      <xdr:rowOff>99060</xdr:rowOff>
    </xdr:from>
    <xdr:to>
      <xdr:col>9</xdr:col>
      <xdr:colOff>99060</xdr:colOff>
      <xdr:row>26</xdr:row>
      <xdr:rowOff>137160</xdr:rowOff>
    </xdr:to>
    <xdr:pic>
      <xdr:nvPicPr>
        <xdr:cNvPr id="812352" name="Picture 363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7340" y="4290060"/>
          <a:ext cx="1981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279400</xdr:colOff>
      <xdr:row>27</xdr:row>
      <xdr:rowOff>45720</xdr:rowOff>
    </xdr:from>
    <xdr:to>
      <xdr:col>5</xdr:col>
      <xdr:colOff>482600</xdr:colOff>
      <xdr:row>29</xdr:row>
      <xdr:rowOff>15240</xdr:rowOff>
    </xdr:to>
    <xdr:sp macro="" textlink="">
      <xdr:nvSpPr>
        <xdr:cNvPr id="365" name="Rectangle 364"/>
        <xdr:cNvSpPr/>
      </xdr:nvSpPr>
      <xdr:spPr>
        <a:xfrm>
          <a:off x="33274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4</a:t>
          </a:r>
        </a:p>
      </xdr:txBody>
    </xdr:sp>
    <xdr:clientData/>
  </xdr:twoCellAnchor>
  <xdr:twoCellAnchor editAs="absolute">
    <xdr:from>
      <xdr:col>9</xdr:col>
      <xdr:colOff>279400</xdr:colOff>
      <xdr:row>27</xdr:row>
      <xdr:rowOff>45720</xdr:rowOff>
    </xdr:from>
    <xdr:to>
      <xdr:col>9</xdr:col>
      <xdr:colOff>482600</xdr:colOff>
      <xdr:row>29</xdr:row>
      <xdr:rowOff>15240</xdr:rowOff>
    </xdr:to>
    <xdr:sp macro="" textlink="">
      <xdr:nvSpPr>
        <xdr:cNvPr id="366" name="Rectangle 365"/>
        <xdr:cNvSpPr/>
      </xdr:nvSpPr>
      <xdr:spPr>
        <a:xfrm>
          <a:off x="5765800" y="4572000"/>
          <a:ext cx="203200" cy="3048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2000" b="1">
              <a:solidFill>
                <a:srgbClr val="000000"/>
              </a:solidFill>
              <a:effectLst>
                <a:outerShdw blurRad="63500" dist="37357" dir="2700000" rotWithShape="0">
                  <a:scrgbClr r="0" g="0" b="0"/>
                </a:outerShdw>
              </a:effectLst>
              <a:latin typeface=""/>
            </a:rPr>
            <a:t>3</a:t>
          </a:r>
        </a:p>
      </xdr:txBody>
    </xdr:sp>
    <xdr:clientData/>
  </xdr:twoCellAnchor>
  <xdr:twoCellAnchor>
    <xdr:from>
      <xdr:col>5</xdr:col>
      <xdr:colOff>508000</xdr:colOff>
      <xdr:row>25</xdr:row>
      <xdr:rowOff>38100</xdr:rowOff>
    </xdr:from>
    <xdr:to>
      <xdr:col>6</xdr:col>
      <xdr:colOff>571500</xdr:colOff>
      <xdr:row>29</xdr:row>
      <xdr:rowOff>40640</xdr:rowOff>
    </xdr:to>
    <xdr:sp macro="" textlink="">
      <xdr:nvSpPr>
        <xdr:cNvPr id="367" name="Rectangle 366"/>
        <xdr:cNvSpPr/>
      </xdr:nvSpPr>
      <xdr:spPr>
        <a:xfrm>
          <a:off x="35560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25</xdr:row>
      <xdr:rowOff>38100</xdr:rowOff>
    </xdr:from>
    <xdr:to>
      <xdr:col>8</xdr:col>
      <xdr:colOff>444500</xdr:colOff>
      <xdr:row>29</xdr:row>
      <xdr:rowOff>40640</xdr:rowOff>
    </xdr:to>
    <xdr:sp macro="" textlink="">
      <xdr:nvSpPr>
        <xdr:cNvPr id="368" name="Rectangle 367"/>
        <xdr:cNvSpPr/>
      </xdr:nvSpPr>
      <xdr:spPr>
        <a:xfrm>
          <a:off x="4648200" y="42291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546100</xdr:colOff>
      <xdr:row>25</xdr:row>
      <xdr:rowOff>127000</xdr:rowOff>
    </xdr:from>
    <xdr:to>
      <xdr:col>6</xdr:col>
      <xdr:colOff>546100</xdr:colOff>
      <xdr:row>26</xdr:row>
      <xdr:rowOff>60960</xdr:rowOff>
    </xdr:to>
    <xdr:sp macro="" textlink="">
      <xdr:nvSpPr>
        <xdr:cNvPr id="369" name="Rectangle 368"/>
        <xdr:cNvSpPr/>
      </xdr:nvSpPr>
      <xdr:spPr>
        <a:xfrm>
          <a:off x="3594100" y="4318000"/>
          <a:ext cx="609600" cy="101600"/>
        </a:xfrm>
        <a:prstGeom prst="rect">
          <a:avLst/>
        </a:prstGeom>
        <a:solidFill>
          <a:srgbClr val="33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33CCCC"/>
            </a:solidFill>
            <a:latin typeface=""/>
          </a:endParaRPr>
        </a:p>
      </xdr:txBody>
    </xdr:sp>
    <xdr:clientData/>
  </xdr:twoCellAnchor>
  <xdr:twoCellAnchor editAs="oneCell">
    <xdr:from>
      <xdr:col>5</xdr:col>
      <xdr:colOff>571500</xdr:colOff>
      <xdr:row>25</xdr:row>
      <xdr:rowOff>152400</xdr:rowOff>
    </xdr:from>
    <xdr:to>
      <xdr:col>6</xdr:col>
      <xdr:colOff>365760</xdr:colOff>
      <xdr:row>28</xdr:row>
      <xdr:rowOff>160020</xdr:rowOff>
    </xdr:to>
    <xdr:pic>
      <xdr:nvPicPr>
        <xdr:cNvPr id="812358" name="Picture 369"/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4343400"/>
          <a:ext cx="40386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292100</xdr:colOff>
      <xdr:row>25</xdr:row>
      <xdr:rowOff>76200</xdr:rowOff>
    </xdr:from>
    <xdr:to>
      <xdr:col>6</xdr:col>
      <xdr:colOff>520700</xdr:colOff>
      <xdr:row>26</xdr:row>
      <xdr:rowOff>162560</xdr:rowOff>
    </xdr:to>
    <xdr:sp macro="" textlink="">
      <xdr:nvSpPr>
        <xdr:cNvPr id="371" name="Rectangle 370"/>
        <xdr:cNvSpPr/>
      </xdr:nvSpPr>
      <xdr:spPr>
        <a:xfrm>
          <a:off x="3949700" y="4267200"/>
          <a:ext cx="228600" cy="2540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0000FF"/>
              </a:solidFill>
              <a:latin typeface=""/>
            </a:rPr>
            <a:t>L</a:t>
          </a:r>
        </a:p>
      </xdr:txBody>
    </xdr:sp>
    <xdr:clientData/>
  </xdr:twoCellAnchor>
  <xdr:twoCellAnchor editAs="oneCell">
    <xdr:from>
      <xdr:col>7</xdr:col>
      <xdr:colOff>396240</xdr:colOff>
      <xdr:row>25</xdr:row>
      <xdr:rowOff>53340</xdr:rowOff>
    </xdr:from>
    <xdr:to>
      <xdr:col>8</xdr:col>
      <xdr:colOff>441960</xdr:colOff>
      <xdr:row>29</xdr:row>
      <xdr:rowOff>38100</xdr:rowOff>
    </xdr:to>
    <xdr:pic>
      <xdr:nvPicPr>
        <xdr:cNvPr id="812360" name="Picture 37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4244340"/>
          <a:ext cx="655320" cy="655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29</xdr:row>
      <xdr:rowOff>40640</xdr:rowOff>
    </xdr:from>
    <xdr:to>
      <xdr:col>1</xdr:col>
      <xdr:colOff>254000</xdr:colOff>
      <xdr:row>33</xdr:row>
      <xdr:rowOff>43180</xdr:rowOff>
    </xdr:to>
    <xdr:sp macro="" textlink="">
      <xdr:nvSpPr>
        <xdr:cNvPr id="373" name="Rectangle 372"/>
        <xdr:cNvSpPr/>
      </xdr:nvSpPr>
      <xdr:spPr>
        <a:xfrm>
          <a:off x="1905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29</xdr:row>
      <xdr:rowOff>40640</xdr:rowOff>
    </xdr:from>
    <xdr:to>
      <xdr:col>14</xdr:col>
      <xdr:colOff>152400</xdr:colOff>
      <xdr:row>33</xdr:row>
      <xdr:rowOff>43180</xdr:rowOff>
    </xdr:to>
    <xdr:sp macro="" textlink="">
      <xdr:nvSpPr>
        <xdr:cNvPr id="374" name="Rectangle 373"/>
        <xdr:cNvSpPr/>
      </xdr:nvSpPr>
      <xdr:spPr>
        <a:xfrm>
          <a:off x="80137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228600</xdr:colOff>
      <xdr:row>29</xdr:row>
      <xdr:rowOff>129540</xdr:rowOff>
    </xdr:from>
    <xdr:to>
      <xdr:col>1</xdr:col>
      <xdr:colOff>228600</xdr:colOff>
      <xdr:row>30</xdr:row>
      <xdr:rowOff>63500</xdr:rowOff>
    </xdr:to>
    <xdr:sp macro="" textlink="">
      <xdr:nvSpPr>
        <xdr:cNvPr id="375" name="Rectangle 374"/>
        <xdr:cNvSpPr/>
      </xdr:nvSpPr>
      <xdr:spPr>
        <a:xfrm>
          <a:off x="228600" y="4991100"/>
          <a:ext cx="609600" cy="101600"/>
        </a:xfrm>
        <a:prstGeom prst="rect">
          <a:avLst/>
        </a:prstGeom>
        <a:solidFill>
          <a:srgbClr val="33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33CCCC"/>
            </a:solidFill>
            <a:latin typeface=""/>
          </a:endParaRPr>
        </a:p>
      </xdr:txBody>
    </xdr:sp>
    <xdr:clientData/>
  </xdr:twoCellAnchor>
  <xdr:twoCellAnchor editAs="oneCell">
    <xdr:from>
      <xdr:col>0</xdr:col>
      <xdr:colOff>251460</xdr:colOff>
      <xdr:row>29</xdr:row>
      <xdr:rowOff>152400</xdr:rowOff>
    </xdr:from>
    <xdr:to>
      <xdr:col>1</xdr:col>
      <xdr:colOff>53340</xdr:colOff>
      <xdr:row>32</xdr:row>
      <xdr:rowOff>160020</xdr:rowOff>
    </xdr:to>
    <xdr:pic>
      <xdr:nvPicPr>
        <xdr:cNvPr id="812364" name="Picture 375"/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" y="5013960"/>
          <a:ext cx="41148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584200</xdr:colOff>
      <xdr:row>29</xdr:row>
      <xdr:rowOff>78740</xdr:rowOff>
    </xdr:from>
    <xdr:to>
      <xdr:col>1</xdr:col>
      <xdr:colOff>203200</xdr:colOff>
      <xdr:row>30</xdr:row>
      <xdr:rowOff>165100</xdr:rowOff>
    </xdr:to>
    <xdr:sp macro="" textlink="">
      <xdr:nvSpPr>
        <xdr:cNvPr id="377" name="Rectangle 376"/>
        <xdr:cNvSpPr/>
      </xdr:nvSpPr>
      <xdr:spPr>
        <a:xfrm>
          <a:off x="584200" y="4940300"/>
          <a:ext cx="228600" cy="2540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0000FF"/>
              </a:solidFill>
              <a:latin typeface=""/>
            </a:rPr>
            <a:t>L</a:t>
          </a:r>
        </a:p>
      </xdr:txBody>
    </xdr:sp>
    <xdr:clientData/>
  </xdr:twoCellAnchor>
  <xdr:twoCellAnchor editAs="oneCell">
    <xdr:from>
      <xdr:col>13</xdr:col>
      <xdr:colOff>99060</xdr:colOff>
      <xdr:row>29</xdr:row>
      <xdr:rowOff>53340</xdr:rowOff>
    </xdr:from>
    <xdr:to>
      <xdr:col>14</xdr:col>
      <xdr:colOff>152400</xdr:colOff>
      <xdr:row>33</xdr:row>
      <xdr:rowOff>45720</xdr:rowOff>
    </xdr:to>
    <xdr:pic>
      <xdr:nvPicPr>
        <xdr:cNvPr id="812366" name="Picture 37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49149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29</xdr:row>
      <xdr:rowOff>40640</xdr:rowOff>
    </xdr:from>
    <xdr:to>
      <xdr:col>2</xdr:col>
      <xdr:colOff>317500</xdr:colOff>
      <xdr:row>33</xdr:row>
      <xdr:rowOff>43180</xdr:rowOff>
    </xdr:to>
    <xdr:sp macro="" textlink="">
      <xdr:nvSpPr>
        <xdr:cNvPr id="379" name="Rectangle 378"/>
        <xdr:cNvSpPr/>
      </xdr:nvSpPr>
      <xdr:spPr>
        <a:xfrm>
          <a:off x="8636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29</xdr:row>
      <xdr:rowOff>40640</xdr:rowOff>
    </xdr:from>
    <xdr:to>
      <xdr:col>13</xdr:col>
      <xdr:colOff>88900</xdr:colOff>
      <xdr:row>33</xdr:row>
      <xdr:rowOff>43180</xdr:rowOff>
    </xdr:to>
    <xdr:sp macro="" textlink="">
      <xdr:nvSpPr>
        <xdr:cNvPr id="380" name="Rectangle 379"/>
        <xdr:cNvSpPr/>
      </xdr:nvSpPr>
      <xdr:spPr>
        <a:xfrm>
          <a:off x="73406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292100</xdr:colOff>
      <xdr:row>29</xdr:row>
      <xdr:rowOff>129540</xdr:rowOff>
    </xdr:from>
    <xdr:to>
      <xdr:col>2</xdr:col>
      <xdr:colOff>292100</xdr:colOff>
      <xdr:row>30</xdr:row>
      <xdr:rowOff>63500</xdr:rowOff>
    </xdr:to>
    <xdr:sp macro="" textlink="">
      <xdr:nvSpPr>
        <xdr:cNvPr id="381" name="Rectangle 380"/>
        <xdr:cNvSpPr/>
      </xdr:nvSpPr>
      <xdr:spPr>
        <a:xfrm>
          <a:off x="901700" y="4991100"/>
          <a:ext cx="609600" cy="1016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1</xdr:col>
      <xdr:colOff>320040</xdr:colOff>
      <xdr:row>29</xdr:row>
      <xdr:rowOff>152400</xdr:rowOff>
    </xdr:from>
    <xdr:to>
      <xdr:col>2</xdr:col>
      <xdr:colOff>114300</xdr:colOff>
      <xdr:row>32</xdr:row>
      <xdr:rowOff>160020</xdr:rowOff>
    </xdr:to>
    <xdr:pic>
      <xdr:nvPicPr>
        <xdr:cNvPr id="812370" name="Picture 381"/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5013960"/>
          <a:ext cx="40386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38100</xdr:colOff>
      <xdr:row>29</xdr:row>
      <xdr:rowOff>78740</xdr:rowOff>
    </xdr:from>
    <xdr:to>
      <xdr:col>2</xdr:col>
      <xdr:colOff>266700</xdr:colOff>
      <xdr:row>30</xdr:row>
      <xdr:rowOff>165100</xdr:rowOff>
    </xdr:to>
    <xdr:sp macro="" textlink="">
      <xdr:nvSpPr>
        <xdr:cNvPr id="383" name="Rectangle 382"/>
        <xdr:cNvSpPr/>
      </xdr:nvSpPr>
      <xdr:spPr>
        <a:xfrm>
          <a:off x="1257300" y="4940300"/>
          <a:ext cx="228600" cy="2540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333333"/>
              </a:solidFill>
              <a:latin typeface=""/>
            </a:rPr>
            <a:t>L</a:t>
          </a:r>
        </a:p>
      </xdr:txBody>
    </xdr:sp>
    <xdr:clientData/>
  </xdr:twoCellAnchor>
  <xdr:twoCellAnchor editAs="oneCell">
    <xdr:from>
      <xdr:col>12</xdr:col>
      <xdr:colOff>38100</xdr:colOff>
      <xdr:row>29</xdr:row>
      <xdr:rowOff>53340</xdr:rowOff>
    </xdr:from>
    <xdr:to>
      <xdr:col>13</xdr:col>
      <xdr:colOff>91440</xdr:colOff>
      <xdr:row>33</xdr:row>
      <xdr:rowOff>45720</xdr:rowOff>
    </xdr:to>
    <xdr:pic>
      <xdr:nvPicPr>
        <xdr:cNvPr id="812372" name="Picture 383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49149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29</xdr:row>
      <xdr:rowOff>40640</xdr:rowOff>
    </xdr:from>
    <xdr:to>
      <xdr:col>3</xdr:col>
      <xdr:colOff>381000</xdr:colOff>
      <xdr:row>33</xdr:row>
      <xdr:rowOff>43180</xdr:rowOff>
    </xdr:to>
    <xdr:sp macro="" textlink="">
      <xdr:nvSpPr>
        <xdr:cNvPr id="385" name="Rectangle 384"/>
        <xdr:cNvSpPr/>
      </xdr:nvSpPr>
      <xdr:spPr>
        <a:xfrm>
          <a:off x="15367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29</xdr:row>
      <xdr:rowOff>40640</xdr:rowOff>
    </xdr:from>
    <xdr:to>
      <xdr:col>12</xdr:col>
      <xdr:colOff>25400</xdr:colOff>
      <xdr:row>33</xdr:row>
      <xdr:rowOff>43180</xdr:rowOff>
    </xdr:to>
    <xdr:sp macro="" textlink="">
      <xdr:nvSpPr>
        <xdr:cNvPr id="386" name="Rectangle 385"/>
        <xdr:cNvSpPr/>
      </xdr:nvSpPr>
      <xdr:spPr>
        <a:xfrm>
          <a:off x="66675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355600</xdr:colOff>
      <xdr:row>29</xdr:row>
      <xdr:rowOff>129540</xdr:rowOff>
    </xdr:from>
    <xdr:to>
      <xdr:col>3</xdr:col>
      <xdr:colOff>355600</xdr:colOff>
      <xdr:row>30</xdr:row>
      <xdr:rowOff>63500</xdr:rowOff>
    </xdr:to>
    <xdr:sp macro="" textlink="">
      <xdr:nvSpPr>
        <xdr:cNvPr id="387" name="Rectangle 386"/>
        <xdr:cNvSpPr/>
      </xdr:nvSpPr>
      <xdr:spPr>
        <a:xfrm>
          <a:off x="1574800" y="4991100"/>
          <a:ext cx="609600" cy="101600"/>
        </a:xfrm>
        <a:prstGeom prst="rect">
          <a:avLst/>
        </a:prstGeom>
        <a:solidFill>
          <a:srgbClr val="CCCCCC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endParaRPr lang="en-GB" sz="600" b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oneCell">
    <xdr:from>
      <xdr:col>2</xdr:col>
      <xdr:colOff>381000</xdr:colOff>
      <xdr:row>29</xdr:row>
      <xdr:rowOff>152400</xdr:rowOff>
    </xdr:from>
    <xdr:to>
      <xdr:col>3</xdr:col>
      <xdr:colOff>175260</xdr:colOff>
      <xdr:row>32</xdr:row>
      <xdr:rowOff>160020</xdr:rowOff>
    </xdr:to>
    <xdr:pic>
      <xdr:nvPicPr>
        <xdr:cNvPr id="812376" name="Picture 387"/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013960"/>
          <a:ext cx="40386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101600</xdr:colOff>
      <xdr:row>29</xdr:row>
      <xdr:rowOff>78740</xdr:rowOff>
    </xdr:from>
    <xdr:to>
      <xdr:col>3</xdr:col>
      <xdr:colOff>330200</xdr:colOff>
      <xdr:row>30</xdr:row>
      <xdr:rowOff>165100</xdr:rowOff>
    </xdr:to>
    <xdr:sp macro="" textlink="">
      <xdr:nvSpPr>
        <xdr:cNvPr id="389" name="Rectangle 388"/>
        <xdr:cNvSpPr/>
      </xdr:nvSpPr>
      <xdr:spPr>
        <a:xfrm>
          <a:off x="1930400" y="4940300"/>
          <a:ext cx="228600" cy="2540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333333"/>
              </a:solidFill>
              <a:latin typeface=""/>
            </a:rPr>
            <a:t>L</a:t>
          </a:r>
        </a:p>
      </xdr:txBody>
    </xdr:sp>
    <xdr:clientData/>
  </xdr:twoCellAnchor>
  <xdr:twoCellAnchor editAs="oneCell">
    <xdr:from>
      <xdr:col>10</xdr:col>
      <xdr:colOff>586740</xdr:colOff>
      <xdr:row>29</xdr:row>
      <xdr:rowOff>53340</xdr:rowOff>
    </xdr:from>
    <xdr:to>
      <xdr:col>12</xdr:col>
      <xdr:colOff>22860</xdr:colOff>
      <xdr:row>33</xdr:row>
      <xdr:rowOff>45720</xdr:rowOff>
    </xdr:to>
    <xdr:pic>
      <xdr:nvPicPr>
        <xdr:cNvPr id="812378" name="Picture 389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49149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29</xdr:row>
      <xdr:rowOff>40640</xdr:rowOff>
    </xdr:from>
    <xdr:to>
      <xdr:col>4</xdr:col>
      <xdr:colOff>444500</xdr:colOff>
      <xdr:row>33</xdr:row>
      <xdr:rowOff>43180</xdr:rowOff>
    </xdr:to>
    <xdr:sp macro="" textlink="">
      <xdr:nvSpPr>
        <xdr:cNvPr id="391" name="Rectangle 390"/>
        <xdr:cNvSpPr/>
      </xdr:nvSpPr>
      <xdr:spPr>
        <a:xfrm>
          <a:off x="22098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29</xdr:row>
      <xdr:rowOff>40640</xdr:rowOff>
    </xdr:from>
    <xdr:to>
      <xdr:col>10</xdr:col>
      <xdr:colOff>571500</xdr:colOff>
      <xdr:row>33</xdr:row>
      <xdr:rowOff>43180</xdr:rowOff>
    </xdr:to>
    <xdr:sp macro="" textlink="">
      <xdr:nvSpPr>
        <xdr:cNvPr id="392" name="Rectangle 391"/>
        <xdr:cNvSpPr/>
      </xdr:nvSpPr>
      <xdr:spPr>
        <a:xfrm>
          <a:off x="59944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3</xdr:col>
      <xdr:colOff>419100</xdr:colOff>
      <xdr:row>29</xdr:row>
      <xdr:rowOff>152400</xdr:rowOff>
    </xdr:from>
    <xdr:to>
      <xdr:col>4</xdr:col>
      <xdr:colOff>365760</xdr:colOff>
      <xdr:row>32</xdr:row>
      <xdr:rowOff>160020</xdr:rowOff>
    </xdr:to>
    <xdr:pic>
      <xdr:nvPicPr>
        <xdr:cNvPr id="812381" name="Picture 392"/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7900" y="5013960"/>
          <a:ext cx="55626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241300</xdr:colOff>
      <xdr:row>31</xdr:row>
      <xdr:rowOff>73660</xdr:rowOff>
    </xdr:from>
    <xdr:to>
      <xdr:col>4</xdr:col>
      <xdr:colOff>419100</xdr:colOff>
      <xdr:row>32</xdr:row>
      <xdr:rowOff>160020</xdr:rowOff>
    </xdr:to>
    <xdr:sp macro="" textlink="">
      <xdr:nvSpPr>
        <xdr:cNvPr id="394" name="Rectangle 393"/>
        <xdr:cNvSpPr/>
      </xdr:nvSpPr>
      <xdr:spPr>
        <a:xfrm>
          <a:off x="2679700" y="5270500"/>
          <a:ext cx="177800" cy="2540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0000FF"/>
              </a:solidFill>
              <a:latin typeface=""/>
            </a:rPr>
            <a:t>1</a:t>
          </a:r>
        </a:p>
      </xdr:txBody>
    </xdr:sp>
    <xdr:clientData/>
  </xdr:twoCellAnchor>
  <xdr:twoCellAnchor editAs="oneCell">
    <xdr:from>
      <xdr:col>9</xdr:col>
      <xdr:colOff>518160</xdr:colOff>
      <xdr:row>29</xdr:row>
      <xdr:rowOff>53340</xdr:rowOff>
    </xdr:from>
    <xdr:to>
      <xdr:col>10</xdr:col>
      <xdr:colOff>571500</xdr:colOff>
      <xdr:row>33</xdr:row>
      <xdr:rowOff>45720</xdr:rowOff>
    </xdr:to>
    <xdr:pic>
      <xdr:nvPicPr>
        <xdr:cNvPr id="812383" name="Picture 39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49149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29</xdr:row>
      <xdr:rowOff>40640</xdr:rowOff>
    </xdr:from>
    <xdr:to>
      <xdr:col>5</xdr:col>
      <xdr:colOff>508000</xdr:colOff>
      <xdr:row>33</xdr:row>
      <xdr:rowOff>43180</xdr:rowOff>
    </xdr:to>
    <xdr:sp macro="" textlink="">
      <xdr:nvSpPr>
        <xdr:cNvPr id="396" name="Rectangle 395"/>
        <xdr:cNvSpPr/>
      </xdr:nvSpPr>
      <xdr:spPr>
        <a:xfrm>
          <a:off x="28829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29</xdr:row>
      <xdr:rowOff>40640</xdr:rowOff>
    </xdr:from>
    <xdr:to>
      <xdr:col>9</xdr:col>
      <xdr:colOff>508000</xdr:colOff>
      <xdr:row>33</xdr:row>
      <xdr:rowOff>43180</xdr:rowOff>
    </xdr:to>
    <xdr:sp macro="" textlink="">
      <xdr:nvSpPr>
        <xdr:cNvPr id="397" name="Rectangle 396"/>
        <xdr:cNvSpPr/>
      </xdr:nvSpPr>
      <xdr:spPr>
        <a:xfrm>
          <a:off x="5321300" y="49022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4</xdr:col>
      <xdr:colOff>480060</xdr:colOff>
      <xdr:row>29</xdr:row>
      <xdr:rowOff>152400</xdr:rowOff>
    </xdr:from>
    <xdr:to>
      <xdr:col>5</xdr:col>
      <xdr:colOff>434340</xdr:colOff>
      <xdr:row>32</xdr:row>
      <xdr:rowOff>160020</xdr:rowOff>
    </xdr:to>
    <xdr:pic>
      <xdr:nvPicPr>
        <xdr:cNvPr id="812386" name="Picture 397"/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8460" y="5013960"/>
          <a:ext cx="56388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304800</xdr:colOff>
      <xdr:row>31</xdr:row>
      <xdr:rowOff>73660</xdr:rowOff>
    </xdr:from>
    <xdr:to>
      <xdr:col>5</xdr:col>
      <xdr:colOff>482600</xdr:colOff>
      <xdr:row>32</xdr:row>
      <xdr:rowOff>160020</xdr:rowOff>
    </xdr:to>
    <xdr:sp macro="" textlink="">
      <xdr:nvSpPr>
        <xdr:cNvPr id="399" name="Rectangle 398"/>
        <xdr:cNvSpPr/>
      </xdr:nvSpPr>
      <xdr:spPr>
        <a:xfrm>
          <a:off x="3352800" y="5270500"/>
          <a:ext cx="177800" cy="254000"/>
        </a:xfrm>
        <a:prstGeom prst="rect">
          <a:avLst/>
        </a:prstGeom>
        <a:solidFill>
          <a:srgbClr val="99CC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0000FF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8</xdr:col>
      <xdr:colOff>457200</xdr:colOff>
      <xdr:row>29</xdr:row>
      <xdr:rowOff>53340</xdr:rowOff>
    </xdr:from>
    <xdr:to>
      <xdr:col>9</xdr:col>
      <xdr:colOff>510540</xdr:colOff>
      <xdr:row>33</xdr:row>
      <xdr:rowOff>45720</xdr:rowOff>
    </xdr:to>
    <xdr:pic>
      <xdr:nvPicPr>
        <xdr:cNvPr id="812388" name="Picture 39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491490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508000</xdr:colOff>
      <xdr:row>29</xdr:row>
      <xdr:rowOff>40640</xdr:rowOff>
    </xdr:from>
    <xdr:to>
      <xdr:col>6</xdr:col>
      <xdr:colOff>571500</xdr:colOff>
      <xdr:row>33</xdr:row>
      <xdr:rowOff>43180</xdr:rowOff>
    </xdr:to>
    <xdr:sp macro="" textlink="">
      <xdr:nvSpPr>
        <xdr:cNvPr id="401" name="Rectangle 400"/>
        <xdr:cNvSpPr/>
      </xdr:nvSpPr>
      <xdr:spPr>
        <a:xfrm>
          <a:off x="35560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29</xdr:row>
      <xdr:rowOff>40640</xdr:rowOff>
    </xdr:from>
    <xdr:to>
      <xdr:col>8</xdr:col>
      <xdr:colOff>444500</xdr:colOff>
      <xdr:row>33</xdr:row>
      <xdr:rowOff>43180</xdr:rowOff>
    </xdr:to>
    <xdr:sp macro="" textlink="">
      <xdr:nvSpPr>
        <xdr:cNvPr id="402" name="Rectangle 401"/>
        <xdr:cNvSpPr/>
      </xdr:nvSpPr>
      <xdr:spPr>
        <a:xfrm>
          <a:off x="4648200" y="49022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5</xdr:col>
      <xdr:colOff>548640</xdr:colOff>
      <xdr:row>29</xdr:row>
      <xdr:rowOff>152400</xdr:rowOff>
    </xdr:from>
    <xdr:to>
      <xdr:col>6</xdr:col>
      <xdr:colOff>495300</xdr:colOff>
      <xdr:row>32</xdr:row>
      <xdr:rowOff>160020</xdr:rowOff>
    </xdr:to>
    <xdr:pic>
      <xdr:nvPicPr>
        <xdr:cNvPr id="812391" name="Picture 402"/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5013960"/>
          <a:ext cx="55626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368300</xdr:colOff>
      <xdr:row>31</xdr:row>
      <xdr:rowOff>73660</xdr:rowOff>
    </xdr:from>
    <xdr:to>
      <xdr:col>6</xdr:col>
      <xdr:colOff>546100</xdr:colOff>
      <xdr:row>32</xdr:row>
      <xdr:rowOff>160020</xdr:rowOff>
    </xdr:to>
    <xdr:sp macro="" textlink="">
      <xdr:nvSpPr>
        <xdr:cNvPr id="404" name="Rectangle 403"/>
        <xdr:cNvSpPr/>
      </xdr:nvSpPr>
      <xdr:spPr>
        <a:xfrm>
          <a:off x="4025900" y="5270500"/>
          <a:ext cx="177800" cy="2540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333333"/>
              </a:solidFill>
              <a:latin typeface=""/>
            </a:rPr>
            <a:t>1</a:t>
          </a:r>
        </a:p>
      </xdr:txBody>
    </xdr:sp>
    <xdr:clientData/>
  </xdr:twoCellAnchor>
  <xdr:twoCellAnchor editAs="oneCell">
    <xdr:from>
      <xdr:col>7</xdr:col>
      <xdr:colOff>396240</xdr:colOff>
      <xdr:row>29</xdr:row>
      <xdr:rowOff>53340</xdr:rowOff>
    </xdr:from>
    <xdr:to>
      <xdr:col>8</xdr:col>
      <xdr:colOff>441960</xdr:colOff>
      <xdr:row>33</xdr:row>
      <xdr:rowOff>45720</xdr:rowOff>
    </xdr:to>
    <xdr:pic>
      <xdr:nvPicPr>
        <xdr:cNvPr id="812393" name="Picture 40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3440" y="491490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33</xdr:row>
      <xdr:rowOff>43180</xdr:rowOff>
    </xdr:from>
    <xdr:to>
      <xdr:col>1</xdr:col>
      <xdr:colOff>254000</xdr:colOff>
      <xdr:row>37</xdr:row>
      <xdr:rowOff>45720</xdr:rowOff>
    </xdr:to>
    <xdr:sp macro="" textlink="">
      <xdr:nvSpPr>
        <xdr:cNvPr id="406" name="Rectangle 405"/>
        <xdr:cNvSpPr/>
      </xdr:nvSpPr>
      <xdr:spPr>
        <a:xfrm>
          <a:off x="190500" y="55753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33</xdr:row>
      <xdr:rowOff>43180</xdr:rowOff>
    </xdr:from>
    <xdr:to>
      <xdr:col>14</xdr:col>
      <xdr:colOff>152400</xdr:colOff>
      <xdr:row>37</xdr:row>
      <xdr:rowOff>45720</xdr:rowOff>
    </xdr:to>
    <xdr:sp macro="" textlink="">
      <xdr:nvSpPr>
        <xdr:cNvPr id="407" name="Rectangle 406"/>
        <xdr:cNvSpPr/>
      </xdr:nvSpPr>
      <xdr:spPr>
        <a:xfrm>
          <a:off x="8013700" y="5575300"/>
          <a:ext cx="673100" cy="6731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0</xdr:col>
      <xdr:colOff>228600</xdr:colOff>
      <xdr:row>33</xdr:row>
      <xdr:rowOff>160020</xdr:rowOff>
    </xdr:from>
    <xdr:to>
      <xdr:col>1</xdr:col>
      <xdr:colOff>175260</xdr:colOff>
      <xdr:row>36</xdr:row>
      <xdr:rowOff>160020</xdr:rowOff>
    </xdr:to>
    <xdr:pic>
      <xdr:nvPicPr>
        <xdr:cNvPr id="812396" name="Picture 407"/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5692140"/>
          <a:ext cx="55626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50800</xdr:colOff>
      <xdr:row>35</xdr:row>
      <xdr:rowOff>76200</xdr:rowOff>
    </xdr:from>
    <xdr:to>
      <xdr:col>1</xdr:col>
      <xdr:colOff>228600</xdr:colOff>
      <xdr:row>36</xdr:row>
      <xdr:rowOff>162560</xdr:rowOff>
    </xdr:to>
    <xdr:sp macro="" textlink="">
      <xdr:nvSpPr>
        <xdr:cNvPr id="409" name="Rectangle 408"/>
        <xdr:cNvSpPr/>
      </xdr:nvSpPr>
      <xdr:spPr>
        <a:xfrm>
          <a:off x="660400" y="5943600"/>
          <a:ext cx="177800" cy="254000"/>
        </a:xfrm>
        <a:prstGeom prst="rect">
          <a:avLst/>
        </a:prstGeom>
        <a:solidFill>
          <a:srgbClr val="FFFFFF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800" b="1">
              <a:solidFill>
                <a:srgbClr val="333333"/>
              </a:solidFill>
              <a:latin typeface=""/>
            </a:rPr>
            <a:t>2</a:t>
          </a:r>
        </a:p>
      </xdr:txBody>
    </xdr:sp>
    <xdr:clientData/>
  </xdr:twoCellAnchor>
  <xdr:twoCellAnchor editAs="oneCell">
    <xdr:from>
      <xdr:col>13</xdr:col>
      <xdr:colOff>99060</xdr:colOff>
      <xdr:row>33</xdr:row>
      <xdr:rowOff>53340</xdr:rowOff>
    </xdr:from>
    <xdr:to>
      <xdr:col>14</xdr:col>
      <xdr:colOff>152400</xdr:colOff>
      <xdr:row>37</xdr:row>
      <xdr:rowOff>45720</xdr:rowOff>
    </xdr:to>
    <xdr:pic>
      <xdr:nvPicPr>
        <xdr:cNvPr id="812398" name="Picture 409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254000</xdr:colOff>
      <xdr:row>33</xdr:row>
      <xdr:rowOff>43180</xdr:rowOff>
    </xdr:from>
    <xdr:to>
      <xdr:col>2</xdr:col>
      <xdr:colOff>317500</xdr:colOff>
      <xdr:row>37</xdr:row>
      <xdr:rowOff>45720</xdr:rowOff>
    </xdr:to>
    <xdr:sp macro="" textlink="">
      <xdr:nvSpPr>
        <xdr:cNvPr id="411" name="Rectangle 410"/>
        <xdr:cNvSpPr/>
      </xdr:nvSpPr>
      <xdr:spPr>
        <a:xfrm>
          <a:off x="8636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33</xdr:row>
      <xdr:rowOff>43180</xdr:rowOff>
    </xdr:from>
    <xdr:to>
      <xdr:col>13</xdr:col>
      <xdr:colOff>88900</xdr:colOff>
      <xdr:row>37</xdr:row>
      <xdr:rowOff>45720</xdr:rowOff>
    </xdr:to>
    <xdr:sp macro="" textlink="">
      <xdr:nvSpPr>
        <xdr:cNvPr id="412" name="Rectangle 411"/>
        <xdr:cNvSpPr/>
      </xdr:nvSpPr>
      <xdr:spPr>
        <a:xfrm>
          <a:off x="73406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1</xdr:col>
      <xdr:colOff>266700</xdr:colOff>
      <xdr:row>33</xdr:row>
      <xdr:rowOff>53340</xdr:rowOff>
    </xdr:from>
    <xdr:to>
      <xdr:col>2</xdr:col>
      <xdr:colOff>320040</xdr:colOff>
      <xdr:row>37</xdr:row>
      <xdr:rowOff>45720</xdr:rowOff>
    </xdr:to>
    <xdr:pic>
      <xdr:nvPicPr>
        <xdr:cNvPr id="812401" name="Picture 412"/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38100</xdr:colOff>
      <xdr:row>33</xdr:row>
      <xdr:rowOff>53340</xdr:rowOff>
    </xdr:from>
    <xdr:to>
      <xdr:col>13</xdr:col>
      <xdr:colOff>91440</xdr:colOff>
      <xdr:row>37</xdr:row>
      <xdr:rowOff>45720</xdr:rowOff>
    </xdr:to>
    <xdr:pic>
      <xdr:nvPicPr>
        <xdr:cNvPr id="812402" name="Picture 413"/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317500</xdr:colOff>
      <xdr:row>35</xdr:row>
      <xdr:rowOff>127000</xdr:rowOff>
    </xdr:from>
    <xdr:to>
      <xdr:col>2</xdr:col>
      <xdr:colOff>266700</xdr:colOff>
      <xdr:row>36</xdr:row>
      <xdr:rowOff>162560</xdr:rowOff>
    </xdr:to>
    <xdr:sp macro="" textlink="">
      <xdr:nvSpPr>
        <xdr:cNvPr id="415" name="Rectangle 414"/>
        <xdr:cNvSpPr/>
      </xdr:nvSpPr>
      <xdr:spPr>
        <a:xfrm>
          <a:off x="9271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Semaine 1</a:t>
          </a:r>
        </a:p>
      </xdr:txBody>
    </xdr:sp>
    <xdr:clientData/>
  </xdr:twoCellAnchor>
  <xdr:twoCellAnchor editAs="absolute">
    <xdr:from>
      <xdr:col>12</xdr:col>
      <xdr:colOff>88900</xdr:colOff>
      <xdr:row>35</xdr:row>
      <xdr:rowOff>127000</xdr:rowOff>
    </xdr:from>
    <xdr:to>
      <xdr:col>13</xdr:col>
      <xdr:colOff>38100</xdr:colOff>
      <xdr:row>36</xdr:row>
      <xdr:rowOff>162560</xdr:rowOff>
    </xdr:to>
    <xdr:sp macro="" textlink="">
      <xdr:nvSpPr>
        <xdr:cNvPr id="416" name="Rectangle 415"/>
        <xdr:cNvSpPr/>
      </xdr:nvSpPr>
      <xdr:spPr>
        <a:xfrm>
          <a:off x="74041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Semaine 3</a:t>
          </a:r>
        </a:p>
      </xdr:txBody>
    </xdr:sp>
    <xdr:clientData/>
  </xdr:twoCellAnchor>
  <xdr:twoCellAnchor>
    <xdr:from>
      <xdr:col>2</xdr:col>
      <xdr:colOff>317500</xdr:colOff>
      <xdr:row>33</xdr:row>
      <xdr:rowOff>43180</xdr:rowOff>
    </xdr:from>
    <xdr:to>
      <xdr:col>3</xdr:col>
      <xdr:colOff>381000</xdr:colOff>
      <xdr:row>37</xdr:row>
      <xdr:rowOff>45720</xdr:rowOff>
    </xdr:to>
    <xdr:sp macro="" textlink="">
      <xdr:nvSpPr>
        <xdr:cNvPr id="417" name="Rectangle 416"/>
        <xdr:cNvSpPr/>
      </xdr:nvSpPr>
      <xdr:spPr>
        <a:xfrm>
          <a:off x="15367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33</xdr:row>
      <xdr:rowOff>43180</xdr:rowOff>
    </xdr:from>
    <xdr:to>
      <xdr:col>12</xdr:col>
      <xdr:colOff>25400</xdr:colOff>
      <xdr:row>37</xdr:row>
      <xdr:rowOff>45720</xdr:rowOff>
    </xdr:to>
    <xdr:sp macro="" textlink="">
      <xdr:nvSpPr>
        <xdr:cNvPr id="418" name="Rectangle 417"/>
        <xdr:cNvSpPr/>
      </xdr:nvSpPr>
      <xdr:spPr>
        <a:xfrm>
          <a:off x="66675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327660</xdr:colOff>
      <xdr:row>33</xdr:row>
      <xdr:rowOff>53340</xdr:rowOff>
    </xdr:from>
    <xdr:to>
      <xdr:col>3</xdr:col>
      <xdr:colOff>381000</xdr:colOff>
      <xdr:row>37</xdr:row>
      <xdr:rowOff>45720</xdr:rowOff>
    </xdr:to>
    <xdr:pic>
      <xdr:nvPicPr>
        <xdr:cNvPr id="812407" name="Picture 418"/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86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586740</xdr:colOff>
      <xdr:row>33</xdr:row>
      <xdr:rowOff>53340</xdr:rowOff>
    </xdr:from>
    <xdr:to>
      <xdr:col>12</xdr:col>
      <xdr:colOff>22860</xdr:colOff>
      <xdr:row>37</xdr:row>
      <xdr:rowOff>45720</xdr:rowOff>
    </xdr:to>
    <xdr:pic>
      <xdr:nvPicPr>
        <xdr:cNvPr id="812408" name="Picture 419"/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2740" y="55854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381000</xdr:colOff>
      <xdr:row>35</xdr:row>
      <xdr:rowOff>127000</xdr:rowOff>
    </xdr:from>
    <xdr:to>
      <xdr:col>3</xdr:col>
      <xdr:colOff>330200</xdr:colOff>
      <xdr:row>36</xdr:row>
      <xdr:rowOff>162560</xdr:rowOff>
    </xdr:to>
    <xdr:sp macro="" textlink="">
      <xdr:nvSpPr>
        <xdr:cNvPr id="421" name="Rectangle 420"/>
        <xdr:cNvSpPr/>
      </xdr:nvSpPr>
      <xdr:spPr>
        <a:xfrm>
          <a:off x="16002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Semaine 2</a:t>
          </a:r>
        </a:p>
      </xdr:txBody>
    </xdr:sp>
    <xdr:clientData/>
  </xdr:twoCellAnchor>
  <xdr:twoCellAnchor editAs="absolute">
    <xdr:from>
      <xdr:col>11</xdr:col>
      <xdr:colOff>25400</xdr:colOff>
      <xdr:row>35</xdr:row>
      <xdr:rowOff>127000</xdr:rowOff>
    </xdr:from>
    <xdr:to>
      <xdr:col>11</xdr:col>
      <xdr:colOff>584200</xdr:colOff>
      <xdr:row>36</xdr:row>
      <xdr:rowOff>162560</xdr:rowOff>
    </xdr:to>
    <xdr:sp macro="" textlink="">
      <xdr:nvSpPr>
        <xdr:cNvPr id="422" name="Rectangle 421"/>
        <xdr:cNvSpPr/>
      </xdr:nvSpPr>
      <xdr:spPr>
        <a:xfrm>
          <a:off x="67310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Semaine 4</a:t>
          </a:r>
        </a:p>
      </xdr:txBody>
    </xdr:sp>
    <xdr:clientData/>
  </xdr:twoCellAnchor>
  <xdr:twoCellAnchor>
    <xdr:from>
      <xdr:col>3</xdr:col>
      <xdr:colOff>381000</xdr:colOff>
      <xdr:row>33</xdr:row>
      <xdr:rowOff>43180</xdr:rowOff>
    </xdr:from>
    <xdr:to>
      <xdr:col>4</xdr:col>
      <xdr:colOff>444500</xdr:colOff>
      <xdr:row>37</xdr:row>
      <xdr:rowOff>45720</xdr:rowOff>
    </xdr:to>
    <xdr:sp macro="" textlink="">
      <xdr:nvSpPr>
        <xdr:cNvPr id="423" name="Rectangle 422"/>
        <xdr:cNvSpPr/>
      </xdr:nvSpPr>
      <xdr:spPr>
        <a:xfrm>
          <a:off x="22098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33</xdr:row>
      <xdr:rowOff>43180</xdr:rowOff>
    </xdr:from>
    <xdr:to>
      <xdr:col>10</xdr:col>
      <xdr:colOff>571500</xdr:colOff>
      <xdr:row>37</xdr:row>
      <xdr:rowOff>45720</xdr:rowOff>
    </xdr:to>
    <xdr:sp macro="" textlink="">
      <xdr:nvSpPr>
        <xdr:cNvPr id="424" name="Rectangle 423"/>
        <xdr:cNvSpPr/>
      </xdr:nvSpPr>
      <xdr:spPr>
        <a:xfrm>
          <a:off x="59944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3</xdr:col>
      <xdr:colOff>396240</xdr:colOff>
      <xdr:row>33</xdr:row>
      <xdr:rowOff>53340</xdr:rowOff>
    </xdr:from>
    <xdr:to>
      <xdr:col>4</xdr:col>
      <xdr:colOff>441960</xdr:colOff>
      <xdr:row>37</xdr:row>
      <xdr:rowOff>45720</xdr:rowOff>
    </xdr:to>
    <xdr:pic>
      <xdr:nvPicPr>
        <xdr:cNvPr id="812413" name="Picture 424"/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5040" y="5585460"/>
          <a:ext cx="65532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518160</xdr:colOff>
      <xdr:row>33</xdr:row>
      <xdr:rowOff>53340</xdr:rowOff>
    </xdr:from>
    <xdr:to>
      <xdr:col>10</xdr:col>
      <xdr:colOff>571500</xdr:colOff>
      <xdr:row>37</xdr:row>
      <xdr:rowOff>45720</xdr:rowOff>
    </xdr:to>
    <xdr:pic>
      <xdr:nvPicPr>
        <xdr:cNvPr id="812414" name="Picture 425"/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456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444500</xdr:colOff>
      <xdr:row>35</xdr:row>
      <xdr:rowOff>127000</xdr:rowOff>
    </xdr:from>
    <xdr:to>
      <xdr:col>4</xdr:col>
      <xdr:colOff>393700</xdr:colOff>
      <xdr:row>36</xdr:row>
      <xdr:rowOff>162560</xdr:rowOff>
    </xdr:to>
    <xdr:sp macro="" textlink="">
      <xdr:nvSpPr>
        <xdr:cNvPr id="427" name="Rectangle 426"/>
        <xdr:cNvSpPr/>
      </xdr:nvSpPr>
      <xdr:spPr>
        <a:xfrm>
          <a:off x="22733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Mud</a:t>
          </a:r>
        </a:p>
      </xdr:txBody>
    </xdr:sp>
    <xdr:clientData/>
  </xdr:twoCellAnchor>
  <xdr:twoCellAnchor editAs="absolute">
    <xdr:from>
      <xdr:col>9</xdr:col>
      <xdr:colOff>571500</xdr:colOff>
      <xdr:row>35</xdr:row>
      <xdr:rowOff>127000</xdr:rowOff>
    </xdr:from>
    <xdr:to>
      <xdr:col>10</xdr:col>
      <xdr:colOff>520700</xdr:colOff>
      <xdr:row>36</xdr:row>
      <xdr:rowOff>162560</xdr:rowOff>
    </xdr:to>
    <xdr:sp macro="" textlink="">
      <xdr:nvSpPr>
        <xdr:cNvPr id="428" name="Rectangle 427"/>
        <xdr:cNvSpPr/>
      </xdr:nvSpPr>
      <xdr:spPr>
        <a:xfrm>
          <a:off x="60579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Clear</a:t>
          </a:r>
        </a:p>
      </xdr:txBody>
    </xdr:sp>
    <xdr:clientData/>
  </xdr:twoCellAnchor>
  <xdr:twoCellAnchor>
    <xdr:from>
      <xdr:col>4</xdr:col>
      <xdr:colOff>444500</xdr:colOff>
      <xdr:row>33</xdr:row>
      <xdr:rowOff>43180</xdr:rowOff>
    </xdr:from>
    <xdr:to>
      <xdr:col>5</xdr:col>
      <xdr:colOff>508000</xdr:colOff>
      <xdr:row>37</xdr:row>
      <xdr:rowOff>45720</xdr:rowOff>
    </xdr:to>
    <xdr:sp macro="" textlink="">
      <xdr:nvSpPr>
        <xdr:cNvPr id="429" name="Rectangle 428"/>
        <xdr:cNvSpPr/>
      </xdr:nvSpPr>
      <xdr:spPr>
        <a:xfrm>
          <a:off x="28829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33</xdr:row>
      <xdr:rowOff>43180</xdr:rowOff>
    </xdr:from>
    <xdr:to>
      <xdr:col>9</xdr:col>
      <xdr:colOff>508000</xdr:colOff>
      <xdr:row>37</xdr:row>
      <xdr:rowOff>45720</xdr:rowOff>
    </xdr:to>
    <xdr:sp macro="" textlink="">
      <xdr:nvSpPr>
        <xdr:cNvPr id="430" name="Rectangle 429"/>
        <xdr:cNvSpPr/>
      </xdr:nvSpPr>
      <xdr:spPr>
        <a:xfrm>
          <a:off x="5321300" y="5575300"/>
          <a:ext cx="673100" cy="673100"/>
        </a:xfrm>
        <a:prstGeom prst="rect">
          <a:avLst/>
        </a:prstGeom>
        <a:solidFill>
          <a:srgbClr val="99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4</xdr:col>
      <xdr:colOff>457200</xdr:colOff>
      <xdr:row>33</xdr:row>
      <xdr:rowOff>53340</xdr:rowOff>
    </xdr:from>
    <xdr:to>
      <xdr:col>5</xdr:col>
      <xdr:colOff>510540</xdr:colOff>
      <xdr:row>37</xdr:row>
      <xdr:rowOff>45720</xdr:rowOff>
    </xdr:to>
    <xdr:pic>
      <xdr:nvPicPr>
        <xdr:cNvPr id="812419" name="Picture 430"/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457200</xdr:colOff>
      <xdr:row>33</xdr:row>
      <xdr:rowOff>53340</xdr:rowOff>
    </xdr:from>
    <xdr:to>
      <xdr:col>9</xdr:col>
      <xdr:colOff>510540</xdr:colOff>
      <xdr:row>37</xdr:row>
      <xdr:rowOff>45720</xdr:rowOff>
    </xdr:to>
    <xdr:pic>
      <xdr:nvPicPr>
        <xdr:cNvPr id="812420" name="Picture 431"/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5585460"/>
          <a:ext cx="66294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508000</xdr:colOff>
      <xdr:row>35</xdr:row>
      <xdr:rowOff>127000</xdr:rowOff>
    </xdr:from>
    <xdr:to>
      <xdr:col>5</xdr:col>
      <xdr:colOff>457200</xdr:colOff>
      <xdr:row>36</xdr:row>
      <xdr:rowOff>162560</xdr:rowOff>
    </xdr:to>
    <xdr:sp macro="" textlink="">
      <xdr:nvSpPr>
        <xdr:cNvPr id="433" name="Rectangle 432"/>
        <xdr:cNvSpPr/>
      </xdr:nvSpPr>
      <xdr:spPr>
        <a:xfrm>
          <a:off x="29464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Rain</a:t>
          </a:r>
        </a:p>
      </xdr:txBody>
    </xdr:sp>
    <xdr:clientData/>
  </xdr:twoCellAnchor>
  <xdr:twoCellAnchor editAs="absolute">
    <xdr:from>
      <xdr:col>8</xdr:col>
      <xdr:colOff>508000</xdr:colOff>
      <xdr:row>35</xdr:row>
      <xdr:rowOff>127000</xdr:rowOff>
    </xdr:from>
    <xdr:to>
      <xdr:col>9</xdr:col>
      <xdr:colOff>457200</xdr:colOff>
      <xdr:row>36</xdr:row>
      <xdr:rowOff>162560</xdr:rowOff>
    </xdr:to>
    <xdr:sp macro="" textlink="">
      <xdr:nvSpPr>
        <xdr:cNvPr id="434" name="Rectangle 433"/>
        <xdr:cNvSpPr/>
      </xdr:nvSpPr>
      <xdr:spPr>
        <a:xfrm>
          <a:off x="5384800" y="5994400"/>
          <a:ext cx="558800" cy="203200"/>
        </a:xfrm>
        <a:prstGeom prst="rect">
          <a:avLst/>
        </a:prstGeom>
        <a:solidFill>
          <a:srgbClr val="99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Snow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22860</xdr:rowOff>
    </xdr:from>
    <xdr:to>
      <xdr:col>1</xdr:col>
      <xdr:colOff>254000</xdr:colOff>
      <xdr:row>5</xdr:row>
      <xdr:rowOff>25400</xdr:rowOff>
    </xdr:to>
    <xdr:sp macro="" textlink="">
      <xdr:nvSpPr>
        <xdr:cNvPr id="2" name="Rectangle 1"/>
        <xdr:cNvSpPr/>
      </xdr:nvSpPr>
      <xdr:spPr>
        <a:xfrm>
          <a:off x="1905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1</xdr:row>
      <xdr:rowOff>22860</xdr:rowOff>
    </xdr:from>
    <xdr:to>
      <xdr:col>14</xdr:col>
      <xdr:colOff>152400</xdr:colOff>
      <xdr:row>5</xdr:row>
      <xdr:rowOff>25400</xdr:rowOff>
    </xdr:to>
    <xdr:sp macro="" textlink="">
      <xdr:nvSpPr>
        <xdr:cNvPr id="3" name="Rectangle 2"/>
        <xdr:cNvSpPr/>
      </xdr:nvSpPr>
      <xdr:spPr>
        <a:xfrm>
          <a:off x="80137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228600</xdr:colOff>
      <xdr:row>1</xdr:row>
      <xdr:rowOff>35560</xdr:rowOff>
    </xdr:from>
    <xdr:to>
      <xdr:col>0</xdr:col>
      <xdr:colOff>431800</xdr:colOff>
      <xdr:row>2</xdr:row>
      <xdr:rowOff>71120</xdr:rowOff>
    </xdr:to>
    <xdr:sp macro="" textlink="">
      <xdr:nvSpPr>
        <xdr:cNvPr id="4" name="Rectangle 3"/>
        <xdr:cNvSpPr/>
      </xdr:nvSpPr>
      <xdr:spPr>
        <a:xfrm>
          <a:off x="2286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0</xdr:col>
      <xdr:colOff>228600</xdr:colOff>
      <xdr:row>3</xdr:row>
      <xdr:rowOff>132080</xdr:rowOff>
    </xdr:from>
    <xdr:to>
      <xdr:col>0</xdr:col>
      <xdr:colOff>431800</xdr:colOff>
      <xdr:row>5</xdr:row>
      <xdr:rowOff>0</xdr:rowOff>
    </xdr:to>
    <xdr:sp macro="" textlink="">
      <xdr:nvSpPr>
        <xdr:cNvPr id="5" name="Rectangle 4"/>
        <xdr:cNvSpPr/>
      </xdr:nvSpPr>
      <xdr:spPr>
        <a:xfrm>
          <a:off x="2286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1</xdr:col>
      <xdr:colOff>50800</xdr:colOff>
      <xdr:row>1</xdr:row>
      <xdr:rowOff>35560</xdr:rowOff>
    </xdr:from>
    <xdr:to>
      <xdr:col>1</xdr:col>
      <xdr:colOff>254000</xdr:colOff>
      <xdr:row>2</xdr:row>
      <xdr:rowOff>71120</xdr:rowOff>
    </xdr:to>
    <xdr:sp macro="" textlink="">
      <xdr:nvSpPr>
        <xdr:cNvPr id="6" name="Rectangle 5"/>
        <xdr:cNvSpPr/>
      </xdr:nvSpPr>
      <xdr:spPr>
        <a:xfrm>
          <a:off x="6604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1</xdr:col>
      <xdr:colOff>50800</xdr:colOff>
      <xdr:row>3</xdr:row>
      <xdr:rowOff>132080</xdr:rowOff>
    </xdr:from>
    <xdr:to>
      <xdr:col>1</xdr:col>
      <xdr:colOff>254000</xdr:colOff>
      <xdr:row>5</xdr:row>
      <xdr:rowOff>0</xdr:rowOff>
    </xdr:to>
    <xdr:sp macro="" textlink="">
      <xdr:nvSpPr>
        <xdr:cNvPr id="7" name="Rectangle 6"/>
        <xdr:cNvSpPr/>
      </xdr:nvSpPr>
      <xdr:spPr>
        <a:xfrm>
          <a:off x="6604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203200</xdr:colOff>
      <xdr:row>1</xdr:row>
      <xdr:rowOff>60960</xdr:rowOff>
    </xdr:from>
    <xdr:to>
      <xdr:col>1</xdr:col>
      <xdr:colOff>254000</xdr:colOff>
      <xdr:row>2</xdr:row>
      <xdr:rowOff>20320</xdr:rowOff>
    </xdr:to>
    <xdr:sp macro="" textlink="">
      <xdr:nvSpPr>
        <xdr:cNvPr id="8" name="Rectangle 7"/>
        <xdr:cNvSpPr/>
      </xdr:nvSpPr>
      <xdr:spPr>
        <a:xfrm>
          <a:off x="2032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0</xdr:col>
      <xdr:colOff>251460</xdr:colOff>
      <xdr:row>2</xdr:row>
      <xdr:rowOff>68580</xdr:rowOff>
    </xdr:from>
    <xdr:to>
      <xdr:col>1</xdr:col>
      <xdr:colOff>205740</xdr:colOff>
      <xdr:row>3</xdr:row>
      <xdr:rowOff>106680</xdr:rowOff>
    </xdr:to>
    <xdr:pic>
      <xdr:nvPicPr>
        <xdr:cNvPr id="809816" name="Picture 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" y="40386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3</xdr:row>
      <xdr:rowOff>132080</xdr:rowOff>
    </xdr:from>
    <xdr:to>
      <xdr:col>1</xdr:col>
      <xdr:colOff>254000</xdr:colOff>
      <xdr:row>4</xdr:row>
      <xdr:rowOff>66040</xdr:rowOff>
    </xdr:to>
    <xdr:sp macro="" textlink="">
      <xdr:nvSpPr>
        <xdr:cNvPr id="10" name="Rectangle 9"/>
        <xdr:cNvSpPr/>
      </xdr:nvSpPr>
      <xdr:spPr>
        <a:xfrm>
          <a:off x="2032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40640</xdr:rowOff>
    </xdr:from>
    <xdr:to>
      <xdr:col>1</xdr:col>
      <xdr:colOff>254000</xdr:colOff>
      <xdr:row>4</xdr:row>
      <xdr:rowOff>116840</xdr:rowOff>
    </xdr:to>
    <xdr:sp macro="" textlink="">
      <xdr:nvSpPr>
        <xdr:cNvPr id="11" name="Rectangle 10"/>
        <xdr:cNvSpPr/>
      </xdr:nvSpPr>
      <xdr:spPr>
        <a:xfrm>
          <a:off x="2032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101</a:t>
          </a:r>
        </a:p>
      </xdr:txBody>
    </xdr:sp>
    <xdr:clientData/>
  </xdr:twoCellAnchor>
  <xdr:twoCellAnchor>
    <xdr:from>
      <xdr:col>1</xdr:col>
      <xdr:colOff>254000</xdr:colOff>
      <xdr:row>1</xdr:row>
      <xdr:rowOff>22860</xdr:rowOff>
    </xdr:from>
    <xdr:to>
      <xdr:col>2</xdr:col>
      <xdr:colOff>317500</xdr:colOff>
      <xdr:row>5</xdr:row>
      <xdr:rowOff>25400</xdr:rowOff>
    </xdr:to>
    <xdr:sp macro="" textlink="">
      <xdr:nvSpPr>
        <xdr:cNvPr id="12" name="Rectangle 11"/>
        <xdr:cNvSpPr/>
      </xdr:nvSpPr>
      <xdr:spPr>
        <a:xfrm>
          <a:off x="8636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1</xdr:row>
      <xdr:rowOff>22860</xdr:rowOff>
    </xdr:from>
    <xdr:to>
      <xdr:col>13</xdr:col>
      <xdr:colOff>88900</xdr:colOff>
      <xdr:row>5</xdr:row>
      <xdr:rowOff>25400</xdr:rowOff>
    </xdr:to>
    <xdr:sp macro="" textlink="">
      <xdr:nvSpPr>
        <xdr:cNvPr id="13" name="Rectangle 12"/>
        <xdr:cNvSpPr/>
      </xdr:nvSpPr>
      <xdr:spPr>
        <a:xfrm>
          <a:off x="73406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292100</xdr:colOff>
      <xdr:row>1</xdr:row>
      <xdr:rowOff>35560</xdr:rowOff>
    </xdr:from>
    <xdr:to>
      <xdr:col>1</xdr:col>
      <xdr:colOff>495300</xdr:colOff>
      <xdr:row>2</xdr:row>
      <xdr:rowOff>71120</xdr:rowOff>
    </xdr:to>
    <xdr:sp macro="" textlink="">
      <xdr:nvSpPr>
        <xdr:cNvPr id="14" name="Rectangle 13"/>
        <xdr:cNvSpPr/>
      </xdr:nvSpPr>
      <xdr:spPr>
        <a:xfrm>
          <a:off x="9017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1</xdr:col>
      <xdr:colOff>292100</xdr:colOff>
      <xdr:row>3</xdr:row>
      <xdr:rowOff>132080</xdr:rowOff>
    </xdr:from>
    <xdr:to>
      <xdr:col>1</xdr:col>
      <xdr:colOff>495300</xdr:colOff>
      <xdr:row>5</xdr:row>
      <xdr:rowOff>0</xdr:rowOff>
    </xdr:to>
    <xdr:sp macro="" textlink="">
      <xdr:nvSpPr>
        <xdr:cNvPr id="15" name="Rectangle 14"/>
        <xdr:cNvSpPr/>
      </xdr:nvSpPr>
      <xdr:spPr>
        <a:xfrm>
          <a:off x="9017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2</xdr:col>
      <xdr:colOff>114300</xdr:colOff>
      <xdr:row>1</xdr:row>
      <xdr:rowOff>35560</xdr:rowOff>
    </xdr:from>
    <xdr:to>
      <xdr:col>2</xdr:col>
      <xdr:colOff>317500</xdr:colOff>
      <xdr:row>2</xdr:row>
      <xdr:rowOff>71120</xdr:rowOff>
    </xdr:to>
    <xdr:sp macro="" textlink="">
      <xdr:nvSpPr>
        <xdr:cNvPr id="16" name="Rectangle 15"/>
        <xdr:cNvSpPr/>
      </xdr:nvSpPr>
      <xdr:spPr>
        <a:xfrm>
          <a:off x="13335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2</xdr:col>
      <xdr:colOff>114300</xdr:colOff>
      <xdr:row>3</xdr:row>
      <xdr:rowOff>132080</xdr:rowOff>
    </xdr:from>
    <xdr:to>
      <xdr:col>2</xdr:col>
      <xdr:colOff>317500</xdr:colOff>
      <xdr:row>5</xdr:row>
      <xdr:rowOff>0</xdr:rowOff>
    </xdr:to>
    <xdr:sp macro="" textlink="">
      <xdr:nvSpPr>
        <xdr:cNvPr id="17" name="Rectangle 16"/>
        <xdr:cNvSpPr/>
      </xdr:nvSpPr>
      <xdr:spPr>
        <a:xfrm>
          <a:off x="13335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266700</xdr:colOff>
      <xdr:row>1</xdr:row>
      <xdr:rowOff>60960</xdr:rowOff>
    </xdr:from>
    <xdr:to>
      <xdr:col>2</xdr:col>
      <xdr:colOff>317500</xdr:colOff>
      <xdr:row>2</xdr:row>
      <xdr:rowOff>20320</xdr:rowOff>
    </xdr:to>
    <xdr:sp macro="" textlink="">
      <xdr:nvSpPr>
        <xdr:cNvPr id="18" name="Rectangle 17"/>
        <xdr:cNvSpPr/>
      </xdr:nvSpPr>
      <xdr:spPr>
        <a:xfrm>
          <a:off x="8763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1</xdr:col>
      <xdr:colOff>320040</xdr:colOff>
      <xdr:row>2</xdr:row>
      <xdr:rowOff>68580</xdr:rowOff>
    </xdr:from>
    <xdr:to>
      <xdr:col>2</xdr:col>
      <xdr:colOff>266700</xdr:colOff>
      <xdr:row>3</xdr:row>
      <xdr:rowOff>106680</xdr:rowOff>
    </xdr:to>
    <xdr:pic>
      <xdr:nvPicPr>
        <xdr:cNvPr id="809826" name="Picture 1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4038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3</xdr:row>
      <xdr:rowOff>132080</xdr:rowOff>
    </xdr:from>
    <xdr:to>
      <xdr:col>2</xdr:col>
      <xdr:colOff>317500</xdr:colOff>
      <xdr:row>4</xdr:row>
      <xdr:rowOff>66040</xdr:rowOff>
    </xdr:to>
    <xdr:sp macro="" textlink="">
      <xdr:nvSpPr>
        <xdr:cNvPr id="20" name="Rectangle 19"/>
        <xdr:cNvSpPr/>
      </xdr:nvSpPr>
      <xdr:spPr>
        <a:xfrm>
          <a:off x="8763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1</xdr:col>
      <xdr:colOff>266700</xdr:colOff>
      <xdr:row>4</xdr:row>
      <xdr:rowOff>40640</xdr:rowOff>
    </xdr:from>
    <xdr:to>
      <xdr:col>2</xdr:col>
      <xdr:colOff>317500</xdr:colOff>
      <xdr:row>4</xdr:row>
      <xdr:rowOff>116840</xdr:rowOff>
    </xdr:to>
    <xdr:sp macro="" textlink="">
      <xdr:nvSpPr>
        <xdr:cNvPr id="21" name="Rectangle 20"/>
        <xdr:cNvSpPr/>
      </xdr:nvSpPr>
      <xdr:spPr>
        <a:xfrm>
          <a:off x="8763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102</a:t>
          </a:r>
        </a:p>
      </xdr:txBody>
    </xdr:sp>
    <xdr:clientData/>
  </xdr:twoCellAnchor>
  <xdr:twoCellAnchor>
    <xdr:from>
      <xdr:col>2</xdr:col>
      <xdr:colOff>317500</xdr:colOff>
      <xdr:row>1</xdr:row>
      <xdr:rowOff>22860</xdr:rowOff>
    </xdr:from>
    <xdr:to>
      <xdr:col>3</xdr:col>
      <xdr:colOff>381000</xdr:colOff>
      <xdr:row>5</xdr:row>
      <xdr:rowOff>25400</xdr:rowOff>
    </xdr:to>
    <xdr:sp macro="" textlink="">
      <xdr:nvSpPr>
        <xdr:cNvPr id="22" name="Rectangle 21"/>
        <xdr:cNvSpPr/>
      </xdr:nvSpPr>
      <xdr:spPr>
        <a:xfrm>
          <a:off x="15367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1</xdr:row>
      <xdr:rowOff>22860</xdr:rowOff>
    </xdr:from>
    <xdr:to>
      <xdr:col>12</xdr:col>
      <xdr:colOff>25400</xdr:colOff>
      <xdr:row>5</xdr:row>
      <xdr:rowOff>25400</xdr:rowOff>
    </xdr:to>
    <xdr:sp macro="" textlink="">
      <xdr:nvSpPr>
        <xdr:cNvPr id="23" name="Rectangle 22"/>
        <xdr:cNvSpPr/>
      </xdr:nvSpPr>
      <xdr:spPr>
        <a:xfrm>
          <a:off x="66675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355600</xdr:colOff>
      <xdr:row>1</xdr:row>
      <xdr:rowOff>35560</xdr:rowOff>
    </xdr:from>
    <xdr:to>
      <xdr:col>2</xdr:col>
      <xdr:colOff>558800</xdr:colOff>
      <xdr:row>2</xdr:row>
      <xdr:rowOff>71120</xdr:rowOff>
    </xdr:to>
    <xdr:sp macro="" textlink="">
      <xdr:nvSpPr>
        <xdr:cNvPr id="24" name="Rectangle 23"/>
        <xdr:cNvSpPr/>
      </xdr:nvSpPr>
      <xdr:spPr>
        <a:xfrm>
          <a:off x="15748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2</xdr:col>
      <xdr:colOff>355600</xdr:colOff>
      <xdr:row>3</xdr:row>
      <xdr:rowOff>132080</xdr:rowOff>
    </xdr:from>
    <xdr:to>
      <xdr:col>2</xdr:col>
      <xdr:colOff>558800</xdr:colOff>
      <xdr:row>5</xdr:row>
      <xdr:rowOff>0</xdr:rowOff>
    </xdr:to>
    <xdr:sp macro="" textlink="">
      <xdr:nvSpPr>
        <xdr:cNvPr id="25" name="Rectangle 24"/>
        <xdr:cNvSpPr/>
      </xdr:nvSpPr>
      <xdr:spPr>
        <a:xfrm>
          <a:off x="15748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3</xdr:col>
      <xdr:colOff>177800</xdr:colOff>
      <xdr:row>1</xdr:row>
      <xdr:rowOff>35560</xdr:rowOff>
    </xdr:from>
    <xdr:to>
      <xdr:col>3</xdr:col>
      <xdr:colOff>381000</xdr:colOff>
      <xdr:row>2</xdr:row>
      <xdr:rowOff>71120</xdr:rowOff>
    </xdr:to>
    <xdr:sp macro="" textlink="">
      <xdr:nvSpPr>
        <xdr:cNvPr id="26" name="Rectangle 25"/>
        <xdr:cNvSpPr/>
      </xdr:nvSpPr>
      <xdr:spPr>
        <a:xfrm>
          <a:off x="20066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3</xdr:col>
      <xdr:colOff>177800</xdr:colOff>
      <xdr:row>3</xdr:row>
      <xdr:rowOff>132080</xdr:rowOff>
    </xdr:from>
    <xdr:to>
      <xdr:col>3</xdr:col>
      <xdr:colOff>381000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20066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2</xdr:col>
      <xdr:colOff>330200</xdr:colOff>
      <xdr:row>1</xdr:row>
      <xdr:rowOff>60960</xdr:rowOff>
    </xdr:from>
    <xdr:to>
      <xdr:col>3</xdr:col>
      <xdr:colOff>381000</xdr:colOff>
      <xdr:row>2</xdr:row>
      <xdr:rowOff>20320</xdr:rowOff>
    </xdr:to>
    <xdr:sp macro="" textlink="">
      <xdr:nvSpPr>
        <xdr:cNvPr id="28" name="Rectangle 27"/>
        <xdr:cNvSpPr/>
      </xdr:nvSpPr>
      <xdr:spPr>
        <a:xfrm>
          <a:off x="15494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2</xdr:col>
      <xdr:colOff>381000</xdr:colOff>
      <xdr:row>2</xdr:row>
      <xdr:rowOff>68580</xdr:rowOff>
    </xdr:from>
    <xdr:to>
      <xdr:col>3</xdr:col>
      <xdr:colOff>327660</xdr:colOff>
      <xdr:row>3</xdr:row>
      <xdr:rowOff>106680</xdr:rowOff>
    </xdr:to>
    <xdr:pic>
      <xdr:nvPicPr>
        <xdr:cNvPr id="809836" name="Picture 2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4038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3</xdr:row>
      <xdr:rowOff>132080</xdr:rowOff>
    </xdr:from>
    <xdr:to>
      <xdr:col>3</xdr:col>
      <xdr:colOff>381000</xdr:colOff>
      <xdr:row>4</xdr:row>
      <xdr:rowOff>66040</xdr:rowOff>
    </xdr:to>
    <xdr:sp macro="" textlink="">
      <xdr:nvSpPr>
        <xdr:cNvPr id="30" name="Rectangle 29"/>
        <xdr:cNvSpPr/>
      </xdr:nvSpPr>
      <xdr:spPr>
        <a:xfrm>
          <a:off x="15494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2</xdr:col>
      <xdr:colOff>330200</xdr:colOff>
      <xdr:row>4</xdr:row>
      <xdr:rowOff>40640</xdr:rowOff>
    </xdr:from>
    <xdr:to>
      <xdr:col>3</xdr:col>
      <xdr:colOff>381000</xdr:colOff>
      <xdr:row>4</xdr:row>
      <xdr:rowOff>116840</xdr:rowOff>
    </xdr:to>
    <xdr:sp macro="" textlink="">
      <xdr:nvSpPr>
        <xdr:cNvPr id="31" name="Rectangle 30"/>
        <xdr:cNvSpPr/>
      </xdr:nvSpPr>
      <xdr:spPr>
        <a:xfrm>
          <a:off x="15494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103</a:t>
          </a:r>
        </a:p>
      </xdr:txBody>
    </xdr:sp>
    <xdr:clientData/>
  </xdr:twoCellAnchor>
  <xdr:twoCellAnchor>
    <xdr:from>
      <xdr:col>3</xdr:col>
      <xdr:colOff>381000</xdr:colOff>
      <xdr:row>1</xdr:row>
      <xdr:rowOff>22860</xdr:rowOff>
    </xdr:from>
    <xdr:to>
      <xdr:col>4</xdr:col>
      <xdr:colOff>444500</xdr:colOff>
      <xdr:row>5</xdr:row>
      <xdr:rowOff>25400</xdr:rowOff>
    </xdr:to>
    <xdr:sp macro="" textlink="">
      <xdr:nvSpPr>
        <xdr:cNvPr id="32" name="Rectangle 31"/>
        <xdr:cNvSpPr/>
      </xdr:nvSpPr>
      <xdr:spPr>
        <a:xfrm>
          <a:off x="22098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1</xdr:row>
      <xdr:rowOff>22860</xdr:rowOff>
    </xdr:from>
    <xdr:to>
      <xdr:col>10</xdr:col>
      <xdr:colOff>571500</xdr:colOff>
      <xdr:row>5</xdr:row>
      <xdr:rowOff>25400</xdr:rowOff>
    </xdr:to>
    <xdr:sp macro="" textlink="">
      <xdr:nvSpPr>
        <xdr:cNvPr id="33" name="Rectangle 32"/>
        <xdr:cNvSpPr/>
      </xdr:nvSpPr>
      <xdr:spPr>
        <a:xfrm>
          <a:off x="59944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419100</xdr:colOff>
      <xdr:row>1</xdr:row>
      <xdr:rowOff>35560</xdr:rowOff>
    </xdr:from>
    <xdr:to>
      <xdr:col>4</xdr:col>
      <xdr:colOff>12700</xdr:colOff>
      <xdr:row>2</xdr:row>
      <xdr:rowOff>71120</xdr:rowOff>
    </xdr:to>
    <xdr:sp macro="" textlink="">
      <xdr:nvSpPr>
        <xdr:cNvPr id="34" name="Rectangle 33"/>
        <xdr:cNvSpPr/>
      </xdr:nvSpPr>
      <xdr:spPr>
        <a:xfrm>
          <a:off x="22479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3</xdr:col>
      <xdr:colOff>419100</xdr:colOff>
      <xdr:row>3</xdr:row>
      <xdr:rowOff>132080</xdr:rowOff>
    </xdr:from>
    <xdr:to>
      <xdr:col>4</xdr:col>
      <xdr:colOff>12700</xdr:colOff>
      <xdr:row>5</xdr:row>
      <xdr:rowOff>0</xdr:rowOff>
    </xdr:to>
    <xdr:sp macro="" textlink="">
      <xdr:nvSpPr>
        <xdr:cNvPr id="35" name="Rectangle 34"/>
        <xdr:cNvSpPr/>
      </xdr:nvSpPr>
      <xdr:spPr>
        <a:xfrm>
          <a:off x="22479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4</xdr:col>
      <xdr:colOff>241300</xdr:colOff>
      <xdr:row>1</xdr:row>
      <xdr:rowOff>35560</xdr:rowOff>
    </xdr:from>
    <xdr:to>
      <xdr:col>4</xdr:col>
      <xdr:colOff>444500</xdr:colOff>
      <xdr:row>2</xdr:row>
      <xdr:rowOff>71120</xdr:rowOff>
    </xdr:to>
    <xdr:sp macro="" textlink="">
      <xdr:nvSpPr>
        <xdr:cNvPr id="36" name="Rectangle 35"/>
        <xdr:cNvSpPr/>
      </xdr:nvSpPr>
      <xdr:spPr>
        <a:xfrm>
          <a:off x="26797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4</xdr:col>
      <xdr:colOff>241300</xdr:colOff>
      <xdr:row>3</xdr:row>
      <xdr:rowOff>132080</xdr:rowOff>
    </xdr:from>
    <xdr:to>
      <xdr:col>4</xdr:col>
      <xdr:colOff>444500</xdr:colOff>
      <xdr:row>5</xdr:row>
      <xdr:rowOff>0</xdr:rowOff>
    </xdr:to>
    <xdr:sp macro="" textlink="">
      <xdr:nvSpPr>
        <xdr:cNvPr id="37" name="Rectangle 36"/>
        <xdr:cNvSpPr/>
      </xdr:nvSpPr>
      <xdr:spPr>
        <a:xfrm>
          <a:off x="26797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3</xdr:col>
      <xdr:colOff>393700</xdr:colOff>
      <xdr:row>1</xdr:row>
      <xdr:rowOff>60960</xdr:rowOff>
    </xdr:from>
    <xdr:to>
      <xdr:col>4</xdr:col>
      <xdr:colOff>444500</xdr:colOff>
      <xdr:row>2</xdr:row>
      <xdr:rowOff>20320</xdr:rowOff>
    </xdr:to>
    <xdr:sp macro="" textlink="">
      <xdr:nvSpPr>
        <xdr:cNvPr id="38" name="Rectangle 37"/>
        <xdr:cNvSpPr/>
      </xdr:nvSpPr>
      <xdr:spPr>
        <a:xfrm>
          <a:off x="22225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3</xdr:col>
      <xdr:colOff>441960</xdr:colOff>
      <xdr:row>2</xdr:row>
      <xdr:rowOff>68580</xdr:rowOff>
    </xdr:from>
    <xdr:to>
      <xdr:col>4</xdr:col>
      <xdr:colOff>396240</xdr:colOff>
      <xdr:row>3</xdr:row>
      <xdr:rowOff>106680</xdr:rowOff>
    </xdr:to>
    <xdr:pic>
      <xdr:nvPicPr>
        <xdr:cNvPr id="809846" name="Picture 3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40386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393700</xdr:colOff>
      <xdr:row>3</xdr:row>
      <xdr:rowOff>132080</xdr:rowOff>
    </xdr:from>
    <xdr:to>
      <xdr:col>4</xdr:col>
      <xdr:colOff>444500</xdr:colOff>
      <xdr:row>4</xdr:row>
      <xdr:rowOff>66040</xdr:rowOff>
    </xdr:to>
    <xdr:sp macro="" textlink="">
      <xdr:nvSpPr>
        <xdr:cNvPr id="40" name="Rectangle 39"/>
        <xdr:cNvSpPr/>
      </xdr:nvSpPr>
      <xdr:spPr>
        <a:xfrm>
          <a:off x="22225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3</xdr:col>
      <xdr:colOff>393700</xdr:colOff>
      <xdr:row>4</xdr:row>
      <xdr:rowOff>40640</xdr:rowOff>
    </xdr:from>
    <xdr:to>
      <xdr:col>4</xdr:col>
      <xdr:colOff>444500</xdr:colOff>
      <xdr:row>4</xdr:row>
      <xdr:rowOff>116840</xdr:rowOff>
    </xdr:to>
    <xdr:sp macro="" textlink="">
      <xdr:nvSpPr>
        <xdr:cNvPr id="41" name="Rectangle 40"/>
        <xdr:cNvSpPr/>
      </xdr:nvSpPr>
      <xdr:spPr>
        <a:xfrm>
          <a:off x="22225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104</a:t>
          </a:r>
        </a:p>
      </xdr:txBody>
    </xdr:sp>
    <xdr:clientData/>
  </xdr:twoCellAnchor>
  <xdr:twoCellAnchor>
    <xdr:from>
      <xdr:col>4</xdr:col>
      <xdr:colOff>444500</xdr:colOff>
      <xdr:row>1</xdr:row>
      <xdr:rowOff>22860</xdr:rowOff>
    </xdr:from>
    <xdr:to>
      <xdr:col>5</xdr:col>
      <xdr:colOff>508000</xdr:colOff>
      <xdr:row>5</xdr:row>
      <xdr:rowOff>25400</xdr:rowOff>
    </xdr:to>
    <xdr:sp macro="" textlink="">
      <xdr:nvSpPr>
        <xdr:cNvPr id="42" name="Rectangle 41"/>
        <xdr:cNvSpPr/>
      </xdr:nvSpPr>
      <xdr:spPr>
        <a:xfrm>
          <a:off x="28829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1</xdr:row>
      <xdr:rowOff>22860</xdr:rowOff>
    </xdr:from>
    <xdr:to>
      <xdr:col>9</xdr:col>
      <xdr:colOff>508000</xdr:colOff>
      <xdr:row>5</xdr:row>
      <xdr:rowOff>25400</xdr:rowOff>
    </xdr:to>
    <xdr:sp macro="" textlink="">
      <xdr:nvSpPr>
        <xdr:cNvPr id="43" name="Rectangle 42"/>
        <xdr:cNvSpPr/>
      </xdr:nvSpPr>
      <xdr:spPr>
        <a:xfrm>
          <a:off x="53213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482600</xdr:colOff>
      <xdr:row>1</xdr:row>
      <xdr:rowOff>35560</xdr:rowOff>
    </xdr:from>
    <xdr:to>
      <xdr:col>5</xdr:col>
      <xdr:colOff>76200</xdr:colOff>
      <xdr:row>2</xdr:row>
      <xdr:rowOff>71120</xdr:rowOff>
    </xdr:to>
    <xdr:sp macro="" textlink="">
      <xdr:nvSpPr>
        <xdr:cNvPr id="44" name="Rectangle 43"/>
        <xdr:cNvSpPr/>
      </xdr:nvSpPr>
      <xdr:spPr>
        <a:xfrm>
          <a:off x="29210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4</xdr:col>
      <xdr:colOff>482600</xdr:colOff>
      <xdr:row>3</xdr:row>
      <xdr:rowOff>132080</xdr:rowOff>
    </xdr:from>
    <xdr:to>
      <xdr:col>5</xdr:col>
      <xdr:colOff>76200</xdr:colOff>
      <xdr:row>5</xdr:row>
      <xdr:rowOff>0</xdr:rowOff>
    </xdr:to>
    <xdr:sp macro="" textlink="">
      <xdr:nvSpPr>
        <xdr:cNvPr id="45" name="Rectangle 44"/>
        <xdr:cNvSpPr/>
      </xdr:nvSpPr>
      <xdr:spPr>
        <a:xfrm>
          <a:off x="29210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5</xdr:col>
      <xdr:colOff>304800</xdr:colOff>
      <xdr:row>1</xdr:row>
      <xdr:rowOff>35560</xdr:rowOff>
    </xdr:from>
    <xdr:to>
      <xdr:col>5</xdr:col>
      <xdr:colOff>508000</xdr:colOff>
      <xdr:row>2</xdr:row>
      <xdr:rowOff>71120</xdr:rowOff>
    </xdr:to>
    <xdr:sp macro="" textlink="">
      <xdr:nvSpPr>
        <xdr:cNvPr id="46" name="Rectangle 45"/>
        <xdr:cNvSpPr/>
      </xdr:nvSpPr>
      <xdr:spPr>
        <a:xfrm>
          <a:off x="33528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5</xdr:col>
      <xdr:colOff>304800</xdr:colOff>
      <xdr:row>3</xdr:row>
      <xdr:rowOff>132080</xdr:rowOff>
    </xdr:from>
    <xdr:to>
      <xdr:col>5</xdr:col>
      <xdr:colOff>508000</xdr:colOff>
      <xdr:row>5</xdr:row>
      <xdr:rowOff>0</xdr:rowOff>
    </xdr:to>
    <xdr:sp macro="" textlink="">
      <xdr:nvSpPr>
        <xdr:cNvPr id="47" name="Rectangle 46"/>
        <xdr:cNvSpPr/>
      </xdr:nvSpPr>
      <xdr:spPr>
        <a:xfrm>
          <a:off x="33528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4</xdr:col>
      <xdr:colOff>457200</xdr:colOff>
      <xdr:row>1</xdr:row>
      <xdr:rowOff>60960</xdr:rowOff>
    </xdr:from>
    <xdr:to>
      <xdr:col>5</xdr:col>
      <xdr:colOff>508000</xdr:colOff>
      <xdr:row>2</xdr:row>
      <xdr:rowOff>20320</xdr:rowOff>
    </xdr:to>
    <xdr:sp macro="" textlink="">
      <xdr:nvSpPr>
        <xdr:cNvPr id="48" name="Rectangle 47"/>
        <xdr:cNvSpPr/>
      </xdr:nvSpPr>
      <xdr:spPr>
        <a:xfrm>
          <a:off x="28956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4</xdr:col>
      <xdr:colOff>510540</xdr:colOff>
      <xdr:row>2</xdr:row>
      <xdr:rowOff>68580</xdr:rowOff>
    </xdr:from>
    <xdr:to>
      <xdr:col>5</xdr:col>
      <xdr:colOff>457200</xdr:colOff>
      <xdr:row>3</xdr:row>
      <xdr:rowOff>106680</xdr:rowOff>
    </xdr:to>
    <xdr:pic>
      <xdr:nvPicPr>
        <xdr:cNvPr id="809856" name="Picture 4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8940" y="4038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457200</xdr:colOff>
      <xdr:row>3</xdr:row>
      <xdr:rowOff>132080</xdr:rowOff>
    </xdr:from>
    <xdr:to>
      <xdr:col>5</xdr:col>
      <xdr:colOff>508000</xdr:colOff>
      <xdr:row>4</xdr:row>
      <xdr:rowOff>66040</xdr:rowOff>
    </xdr:to>
    <xdr:sp macro="" textlink="">
      <xdr:nvSpPr>
        <xdr:cNvPr id="50" name="Rectangle 49"/>
        <xdr:cNvSpPr/>
      </xdr:nvSpPr>
      <xdr:spPr>
        <a:xfrm>
          <a:off x="28956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4</xdr:col>
      <xdr:colOff>457200</xdr:colOff>
      <xdr:row>4</xdr:row>
      <xdr:rowOff>40640</xdr:rowOff>
    </xdr:from>
    <xdr:to>
      <xdr:col>5</xdr:col>
      <xdr:colOff>508000</xdr:colOff>
      <xdr:row>4</xdr:row>
      <xdr:rowOff>116840</xdr:rowOff>
    </xdr:to>
    <xdr:sp macro="" textlink="">
      <xdr:nvSpPr>
        <xdr:cNvPr id="51" name="Rectangle 50"/>
        <xdr:cNvSpPr/>
      </xdr:nvSpPr>
      <xdr:spPr>
        <a:xfrm>
          <a:off x="28956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105</a:t>
          </a:r>
        </a:p>
      </xdr:txBody>
    </xdr:sp>
    <xdr:clientData/>
  </xdr:twoCellAnchor>
  <xdr:twoCellAnchor>
    <xdr:from>
      <xdr:col>5</xdr:col>
      <xdr:colOff>508000</xdr:colOff>
      <xdr:row>1</xdr:row>
      <xdr:rowOff>22860</xdr:rowOff>
    </xdr:from>
    <xdr:to>
      <xdr:col>6</xdr:col>
      <xdr:colOff>571500</xdr:colOff>
      <xdr:row>5</xdr:row>
      <xdr:rowOff>25400</xdr:rowOff>
    </xdr:to>
    <xdr:sp macro="" textlink="">
      <xdr:nvSpPr>
        <xdr:cNvPr id="52" name="Rectangle 51"/>
        <xdr:cNvSpPr/>
      </xdr:nvSpPr>
      <xdr:spPr>
        <a:xfrm>
          <a:off x="35560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1</xdr:row>
      <xdr:rowOff>22860</xdr:rowOff>
    </xdr:from>
    <xdr:to>
      <xdr:col>8</xdr:col>
      <xdr:colOff>444500</xdr:colOff>
      <xdr:row>5</xdr:row>
      <xdr:rowOff>25400</xdr:rowOff>
    </xdr:to>
    <xdr:sp macro="" textlink="">
      <xdr:nvSpPr>
        <xdr:cNvPr id="53" name="Rectangle 52"/>
        <xdr:cNvSpPr/>
      </xdr:nvSpPr>
      <xdr:spPr>
        <a:xfrm>
          <a:off x="4648200" y="1905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546100</xdr:colOff>
      <xdr:row>1</xdr:row>
      <xdr:rowOff>35560</xdr:rowOff>
    </xdr:from>
    <xdr:to>
      <xdr:col>6</xdr:col>
      <xdr:colOff>139700</xdr:colOff>
      <xdr:row>2</xdr:row>
      <xdr:rowOff>71120</xdr:rowOff>
    </xdr:to>
    <xdr:sp macro="" textlink="">
      <xdr:nvSpPr>
        <xdr:cNvPr id="54" name="Rectangle 53"/>
        <xdr:cNvSpPr/>
      </xdr:nvSpPr>
      <xdr:spPr>
        <a:xfrm>
          <a:off x="35941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5</xdr:col>
      <xdr:colOff>546100</xdr:colOff>
      <xdr:row>3</xdr:row>
      <xdr:rowOff>132080</xdr:rowOff>
    </xdr:from>
    <xdr:to>
      <xdr:col>6</xdr:col>
      <xdr:colOff>139700</xdr:colOff>
      <xdr:row>5</xdr:row>
      <xdr:rowOff>0</xdr:rowOff>
    </xdr:to>
    <xdr:sp macro="" textlink="">
      <xdr:nvSpPr>
        <xdr:cNvPr id="55" name="Rectangle 54"/>
        <xdr:cNvSpPr/>
      </xdr:nvSpPr>
      <xdr:spPr>
        <a:xfrm>
          <a:off x="35941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6</xdr:col>
      <xdr:colOff>368300</xdr:colOff>
      <xdr:row>1</xdr:row>
      <xdr:rowOff>35560</xdr:rowOff>
    </xdr:from>
    <xdr:to>
      <xdr:col>6</xdr:col>
      <xdr:colOff>571500</xdr:colOff>
      <xdr:row>2</xdr:row>
      <xdr:rowOff>71120</xdr:rowOff>
    </xdr:to>
    <xdr:sp macro="" textlink="">
      <xdr:nvSpPr>
        <xdr:cNvPr id="56" name="Rectangle 55"/>
        <xdr:cNvSpPr/>
      </xdr:nvSpPr>
      <xdr:spPr>
        <a:xfrm>
          <a:off x="4025900" y="2032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6</xdr:col>
      <xdr:colOff>368300</xdr:colOff>
      <xdr:row>3</xdr:row>
      <xdr:rowOff>132080</xdr:rowOff>
    </xdr:from>
    <xdr:to>
      <xdr:col>6</xdr:col>
      <xdr:colOff>571500</xdr:colOff>
      <xdr:row>5</xdr:row>
      <xdr:rowOff>0</xdr:rowOff>
    </xdr:to>
    <xdr:sp macro="" textlink="">
      <xdr:nvSpPr>
        <xdr:cNvPr id="57" name="Rectangle 56"/>
        <xdr:cNvSpPr/>
      </xdr:nvSpPr>
      <xdr:spPr>
        <a:xfrm>
          <a:off x="4025900" y="6350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5</xdr:col>
      <xdr:colOff>520700</xdr:colOff>
      <xdr:row>1</xdr:row>
      <xdr:rowOff>60960</xdr:rowOff>
    </xdr:from>
    <xdr:to>
      <xdr:col>6</xdr:col>
      <xdr:colOff>571500</xdr:colOff>
      <xdr:row>2</xdr:row>
      <xdr:rowOff>20320</xdr:rowOff>
    </xdr:to>
    <xdr:sp macro="" textlink="">
      <xdr:nvSpPr>
        <xdr:cNvPr id="58" name="Rectangle 57"/>
        <xdr:cNvSpPr/>
      </xdr:nvSpPr>
      <xdr:spPr>
        <a:xfrm>
          <a:off x="3568700" y="2286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5</xdr:col>
      <xdr:colOff>571500</xdr:colOff>
      <xdr:row>2</xdr:row>
      <xdr:rowOff>68580</xdr:rowOff>
    </xdr:from>
    <xdr:to>
      <xdr:col>6</xdr:col>
      <xdr:colOff>518160</xdr:colOff>
      <xdr:row>3</xdr:row>
      <xdr:rowOff>106680</xdr:rowOff>
    </xdr:to>
    <xdr:pic>
      <xdr:nvPicPr>
        <xdr:cNvPr id="809866" name="Picture 5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4038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520700</xdr:colOff>
      <xdr:row>3</xdr:row>
      <xdr:rowOff>132080</xdr:rowOff>
    </xdr:from>
    <xdr:to>
      <xdr:col>6</xdr:col>
      <xdr:colOff>571500</xdr:colOff>
      <xdr:row>4</xdr:row>
      <xdr:rowOff>66040</xdr:rowOff>
    </xdr:to>
    <xdr:sp macro="" textlink="">
      <xdr:nvSpPr>
        <xdr:cNvPr id="60" name="Rectangle 59"/>
        <xdr:cNvSpPr/>
      </xdr:nvSpPr>
      <xdr:spPr>
        <a:xfrm>
          <a:off x="3568700" y="6350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5</xdr:col>
      <xdr:colOff>520700</xdr:colOff>
      <xdr:row>4</xdr:row>
      <xdr:rowOff>40640</xdr:rowOff>
    </xdr:from>
    <xdr:to>
      <xdr:col>6</xdr:col>
      <xdr:colOff>571500</xdr:colOff>
      <xdr:row>4</xdr:row>
      <xdr:rowOff>116840</xdr:rowOff>
    </xdr:to>
    <xdr:sp macro="" textlink="">
      <xdr:nvSpPr>
        <xdr:cNvPr id="61" name="Rectangle 60"/>
        <xdr:cNvSpPr/>
      </xdr:nvSpPr>
      <xdr:spPr>
        <a:xfrm>
          <a:off x="3568700" y="7112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106</a:t>
          </a:r>
        </a:p>
      </xdr:txBody>
    </xdr:sp>
    <xdr:clientData/>
  </xdr:twoCellAnchor>
  <xdr:twoCellAnchor>
    <xdr:from>
      <xdr:col>0</xdr:col>
      <xdr:colOff>190500</xdr:colOff>
      <xdr:row>5</xdr:row>
      <xdr:rowOff>25400</xdr:rowOff>
    </xdr:from>
    <xdr:to>
      <xdr:col>1</xdr:col>
      <xdr:colOff>254000</xdr:colOff>
      <xdr:row>9</xdr:row>
      <xdr:rowOff>27940</xdr:rowOff>
    </xdr:to>
    <xdr:sp macro="" textlink="">
      <xdr:nvSpPr>
        <xdr:cNvPr id="62" name="Rectangle 61"/>
        <xdr:cNvSpPr/>
      </xdr:nvSpPr>
      <xdr:spPr>
        <a:xfrm>
          <a:off x="1905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5</xdr:row>
      <xdr:rowOff>25400</xdr:rowOff>
    </xdr:from>
    <xdr:to>
      <xdr:col>14</xdr:col>
      <xdr:colOff>152400</xdr:colOff>
      <xdr:row>9</xdr:row>
      <xdr:rowOff>27940</xdr:rowOff>
    </xdr:to>
    <xdr:sp macro="" textlink="">
      <xdr:nvSpPr>
        <xdr:cNvPr id="63" name="Rectangle 62"/>
        <xdr:cNvSpPr/>
      </xdr:nvSpPr>
      <xdr:spPr>
        <a:xfrm>
          <a:off x="80137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228600</xdr:colOff>
      <xdr:row>5</xdr:row>
      <xdr:rowOff>38100</xdr:rowOff>
    </xdr:from>
    <xdr:to>
      <xdr:col>0</xdr:col>
      <xdr:colOff>431800</xdr:colOff>
      <xdr:row>6</xdr:row>
      <xdr:rowOff>73660</xdr:rowOff>
    </xdr:to>
    <xdr:sp macro="" textlink="">
      <xdr:nvSpPr>
        <xdr:cNvPr id="64" name="Rectangle 63"/>
        <xdr:cNvSpPr/>
      </xdr:nvSpPr>
      <xdr:spPr>
        <a:xfrm>
          <a:off x="2286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0</xdr:col>
      <xdr:colOff>228600</xdr:colOff>
      <xdr:row>7</xdr:row>
      <xdr:rowOff>134620</xdr:rowOff>
    </xdr:from>
    <xdr:to>
      <xdr:col>0</xdr:col>
      <xdr:colOff>431800</xdr:colOff>
      <xdr:row>9</xdr:row>
      <xdr:rowOff>2540</xdr:rowOff>
    </xdr:to>
    <xdr:sp macro="" textlink="">
      <xdr:nvSpPr>
        <xdr:cNvPr id="65" name="Rectangle 64"/>
        <xdr:cNvSpPr/>
      </xdr:nvSpPr>
      <xdr:spPr>
        <a:xfrm>
          <a:off x="2286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38100</xdr:rowOff>
    </xdr:from>
    <xdr:to>
      <xdr:col>1</xdr:col>
      <xdr:colOff>254000</xdr:colOff>
      <xdr:row>6</xdr:row>
      <xdr:rowOff>73660</xdr:rowOff>
    </xdr:to>
    <xdr:sp macro="" textlink="">
      <xdr:nvSpPr>
        <xdr:cNvPr id="66" name="Rectangle 65"/>
        <xdr:cNvSpPr/>
      </xdr:nvSpPr>
      <xdr:spPr>
        <a:xfrm>
          <a:off x="6604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1</xdr:col>
      <xdr:colOff>50800</xdr:colOff>
      <xdr:row>7</xdr:row>
      <xdr:rowOff>134620</xdr:rowOff>
    </xdr:from>
    <xdr:to>
      <xdr:col>1</xdr:col>
      <xdr:colOff>254000</xdr:colOff>
      <xdr:row>9</xdr:row>
      <xdr:rowOff>2540</xdr:rowOff>
    </xdr:to>
    <xdr:sp macro="" textlink="">
      <xdr:nvSpPr>
        <xdr:cNvPr id="67" name="Rectangle 66"/>
        <xdr:cNvSpPr/>
      </xdr:nvSpPr>
      <xdr:spPr>
        <a:xfrm>
          <a:off x="6604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203200</xdr:colOff>
      <xdr:row>5</xdr:row>
      <xdr:rowOff>63500</xdr:rowOff>
    </xdr:from>
    <xdr:to>
      <xdr:col>1</xdr:col>
      <xdr:colOff>254000</xdr:colOff>
      <xdr:row>6</xdr:row>
      <xdr:rowOff>22860</xdr:rowOff>
    </xdr:to>
    <xdr:sp macro="" textlink="">
      <xdr:nvSpPr>
        <xdr:cNvPr id="68" name="Rectangle 67"/>
        <xdr:cNvSpPr/>
      </xdr:nvSpPr>
      <xdr:spPr>
        <a:xfrm>
          <a:off x="203200" y="9017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0</xdr:col>
      <xdr:colOff>251460</xdr:colOff>
      <xdr:row>6</xdr:row>
      <xdr:rowOff>76200</xdr:rowOff>
    </xdr:from>
    <xdr:to>
      <xdr:col>1</xdr:col>
      <xdr:colOff>205740</xdr:colOff>
      <xdr:row>7</xdr:row>
      <xdr:rowOff>106680</xdr:rowOff>
    </xdr:to>
    <xdr:pic>
      <xdr:nvPicPr>
        <xdr:cNvPr id="809876" name="Picture 6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" y="1082040"/>
          <a:ext cx="56388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7</xdr:row>
      <xdr:rowOff>134620</xdr:rowOff>
    </xdr:from>
    <xdr:to>
      <xdr:col>1</xdr:col>
      <xdr:colOff>254000</xdr:colOff>
      <xdr:row>8</xdr:row>
      <xdr:rowOff>68580</xdr:rowOff>
    </xdr:to>
    <xdr:sp macro="" textlink="">
      <xdr:nvSpPr>
        <xdr:cNvPr id="70" name="Rectangle 69"/>
        <xdr:cNvSpPr/>
      </xdr:nvSpPr>
      <xdr:spPr>
        <a:xfrm>
          <a:off x="203200" y="13081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0</xdr:col>
      <xdr:colOff>203200</xdr:colOff>
      <xdr:row>8</xdr:row>
      <xdr:rowOff>43180</xdr:rowOff>
    </xdr:from>
    <xdr:to>
      <xdr:col>1</xdr:col>
      <xdr:colOff>254000</xdr:colOff>
      <xdr:row>8</xdr:row>
      <xdr:rowOff>119380</xdr:rowOff>
    </xdr:to>
    <xdr:sp macro="" textlink="">
      <xdr:nvSpPr>
        <xdr:cNvPr id="71" name="Rectangle 70"/>
        <xdr:cNvSpPr/>
      </xdr:nvSpPr>
      <xdr:spPr>
        <a:xfrm>
          <a:off x="203200" y="13843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107</a:t>
          </a:r>
        </a:p>
      </xdr:txBody>
    </xdr:sp>
    <xdr:clientData/>
  </xdr:twoCellAnchor>
  <xdr:twoCellAnchor>
    <xdr:from>
      <xdr:col>1</xdr:col>
      <xdr:colOff>254000</xdr:colOff>
      <xdr:row>5</xdr:row>
      <xdr:rowOff>25400</xdr:rowOff>
    </xdr:from>
    <xdr:to>
      <xdr:col>2</xdr:col>
      <xdr:colOff>317500</xdr:colOff>
      <xdr:row>9</xdr:row>
      <xdr:rowOff>27940</xdr:rowOff>
    </xdr:to>
    <xdr:sp macro="" textlink="">
      <xdr:nvSpPr>
        <xdr:cNvPr id="72" name="Rectangle 71"/>
        <xdr:cNvSpPr/>
      </xdr:nvSpPr>
      <xdr:spPr>
        <a:xfrm>
          <a:off x="8636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13</xdr:col>
      <xdr:colOff>88900</xdr:colOff>
      <xdr:row>9</xdr:row>
      <xdr:rowOff>27940</xdr:rowOff>
    </xdr:to>
    <xdr:sp macro="" textlink="">
      <xdr:nvSpPr>
        <xdr:cNvPr id="73" name="Rectangle 72"/>
        <xdr:cNvSpPr/>
      </xdr:nvSpPr>
      <xdr:spPr>
        <a:xfrm>
          <a:off x="73406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292100</xdr:colOff>
      <xdr:row>5</xdr:row>
      <xdr:rowOff>38100</xdr:rowOff>
    </xdr:from>
    <xdr:to>
      <xdr:col>1</xdr:col>
      <xdr:colOff>495300</xdr:colOff>
      <xdr:row>6</xdr:row>
      <xdr:rowOff>73660</xdr:rowOff>
    </xdr:to>
    <xdr:sp macro="" textlink="">
      <xdr:nvSpPr>
        <xdr:cNvPr id="74" name="Rectangle 73"/>
        <xdr:cNvSpPr/>
      </xdr:nvSpPr>
      <xdr:spPr>
        <a:xfrm>
          <a:off x="9017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1</xdr:col>
      <xdr:colOff>292100</xdr:colOff>
      <xdr:row>7</xdr:row>
      <xdr:rowOff>134620</xdr:rowOff>
    </xdr:from>
    <xdr:to>
      <xdr:col>1</xdr:col>
      <xdr:colOff>495300</xdr:colOff>
      <xdr:row>9</xdr:row>
      <xdr:rowOff>2540</xdr:rowOff>
    </xdr:to>
    <xdr:sp macro="" textlink="">
      <xdr:nvSpPr>
        <xdr:cNvPr id="75" name="Rectangle 74"/>
        <xdr:cNvSpPr/>
      </xdr:nvSpPr>
      <xdr:spPr>
        <a:xfrm>
          <a:off x="9017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2</xdr:col>
      <xdr:colOff>114300</xdr:colOff>
      <xdr:row>5</xdr:row>
      <xdr:rowOff>38100</xdr:rowOff>
    </xdr:from>
    <xdr:to>
      <xdr:col>2</xdr:col>
      <xdr:colOff>317500</xdr:colOff>
      <xdr:row>6</xdr:row>
      <xdr:rowOff>73660</xdr:rowOff>
    </xdr:to>
    <xdr:sp macro="" textlink="">
      <xdr:nvSpPr>
        <xdr:cNvPr id="76" name="Rectangle 75"/>
        <xdr:cNvSpPr/>
      </xdr:nvSpPr>
      <xdr:spPr>
        <a:xfrm>
          <a:off x="13335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2</xdr:col>
      <xdr:colOff>114300</xdr:colOff>
      <xdr:row>7</xdr:row>
      <xdr:rowOff>134620</xdr:rowOff>
    </xdr:from>
    <xdr:to>
      <xdr:col>2</xdr:col>
      <xdr:colOff>317500</xdr:colOff>
      <xdr:row>9</xdr:row>
      <xdr:rowOff>2540</xdr:rowOff>
    </xdr:to>
    <xdr:sp macro="" textlink="">
      <xdr:nvSpPr>
        <xdr:cNvPr id="77" name="Rectangle 76"/>
        <xdr:cNvSpPr/>
      </xdr:nvSpPr>
      <xdr:spPr>
        <a:xfrm>
          <a:off x="13335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266700</xdr:colOff>
      <xdr:row>5</xdr:row>
      <xdr:rowOff>63500</xdr:rowOff>
    </xdr:from>
    <xdr:to>
      <xdr:col>2</xdr:col>
      <xdr:colOff>317500</xdr:colOff>
      <xdr:row>6</xdr:row>
      <xdr:rowOff>22860</xdr:rowOff>
    </xdr:to>
    <xdr:sp macro="" textlink="">
      <xdr:nvSpPr>
        <xdr:cNvPr id="78" name="Rectangle 77"/>
        <xdr:cNvSpPr/>
      </xdr:nvSpPr>
      <xdr:spPr>
        <a:xfrm>
          <a:off x="876300" y="9017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1</xdr:col>
      <xdr:colOff>320040</xdr:colOff>
      <xdr:row>6</xdr:row>
      <xdr:rowOff>76200</xdr:rowOff>
    </xdr:from>
    <xdr:to>
      <xdr:col>2</xdr:col>
      <xdr:colOff>266700</xdr:colOff>
      <xdr:row>7</xdr:row>
      <xdr:rowOff>106680</xdr:rowOff>
    </xdr:to>
    <xdr:pic>
      <xdr:nvPicPr>
        <xdr:cNvPr id="809886" name="Picture 7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1082040"/>
          <a:ext cx="55626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7</xdr:row>
      <xdr:rowOff>134620</xdr:rowOff>
    </xdr:from>
    <xdr:to>
      <xdr:col>2</xdr:col>
      <xdr:colOff>317500</xdr:colOff>
      <xdr:row>8</xdr:row>
      <xdr:rowOff>68580</xdr:rowOff>
    </xdr:to>
    <xdr:sp macro="" textlink="">
      <xdr:nvSpPr>
        <xdr:cNvPr id="80" name="Rectangle 79"/>
        <xdr:cNvSpPr/>
      </xdr:nvSpPr>
      <xdr:spPr>
        <a:xfrm>
          <a:off x="876300" y="13081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1</xdr:col>
      <xdr:colOff>266700</xdr:colOff>
      <xdr:row>8</xdr:row>
      <xdr:rowOff>43180</xdr:rowOff>
    </xdr:from>
    <xdr:to>
      <xdr:col>2</xdr:col>
      <xdr:colOff>317500</xdr:colOff>
      <xdr:row>8</xdr:row>
      <xdr:rowOff>119380</xdr:rowOff>
    </xdr:to>
    <xdr:sp macro="" textlink="">
      <xdr:nvSpPr>
        <xdr:cNvPr id="81" name="Rectangle 80"/>
        <xdr:cNvSpPr/>
      </xdr:nvSpPr>
      <xdr:spPr>
        <a:xfrm>
          <a:off x="876300" y="13843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108</a:t>
          </a:r>
        </a:p>
      </xdr:txBody>
    </xdr:sp>
    <xdr:clientData/>
  </xdr:twoCellAnchor>
  <xdr:twoCellAnchor>
    <xdr:from>
      <xdr:col>2</xdr:col>
      <xdr:colOff>317500</xdr:colOff>
      <xdr:row>5</xdr:row>
      <xdr:rowOff>25400</xdr:rowOff>
    </xdr:from>
    <xdr:to>
      <xdr:col>3</xdr:col>
      <xdr:colOff>381000</xdr:colOff>
      <xdr:row>9</xdr:row>
      <xdr:rowOff>27940</xdr:rowOff>
    </xdr:to>
    <xdr:sp macro="" textlink="">
      <xdr:nvSpPr>
        <xdr:cNvPr id="82" name="Rectangle 81"/>
        <xdr:cNvSpPr/>
      </xdr:nvSpPr>
      <xdr:spPr>
        <a:xfrm>
          <a:off x="15367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5</xdr:row>
      <xdr:rowOff>25400</xdr:rowOff>
    </xdr:from>
    <xdr:to>
      <xdr:col>12</xdr:col>
      <xdr:colOff>25400</xdr:colOff>
      <xdr:row>9</xdr:row>
      <xdr:rowOff>27940</xdr:rowOff>
    </xdr:to>
    <xdr:sp macro="" textlink="">
      <xdr:nvSpPr>
        <xdr:cNvPr id="83" name="Rectangle 82"/>
        <xdr:cNvSpPr/>
      </xdr:nvSpPr>
      <xdr:spPr>
        <a:xfrm>
          <a:off x="66675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355600</xdr:colOff>
      <xdr:row>5</xdr:row>
      <xdr:rowOff>38100</xdr:rowOff>
    </xdr:from>
    <xdr:to>
      <xdr:col>2</xdr:col>
      <xdr:colOff>558800</xdr:colOff>
      <xdr:row>6</xdr:row>
      <xdr:rowOff>73660</xdr:rowOff>
    </xdr:to>
    <xdr:sp macro="" textlink="">
      <xdr:nvSpPr>
        <xdr:cNvPr id="84" name="Rectangle 83"/>
        <xdr:cNvSpPr/>
      </xdr:nvSpPr>
      <xdr:spPr>
        <a:xfrm>
          <a:off x="15748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2</xdr:col>
      <xdr:colOff>355600</xdr:colOff>
      <xdr:row>7</xdr:row>
      <xdr:rowOff>134620</xdr:rowOff>
    </xdr:from>
    <xdr:to>
      <xdr:col>2</xdr:col>
      <xdr:colOff>558800</xdr:colOff>
      <xdr:row>9</xdr:row>
      <xdr:rowOff>2540</xdr:rowOff>
    </xdr:to>
    <xdr:sp macro="" textlink="">
      <xdr:nvSpPr>
        <xdr:cNvPr id="85" name="Rectangle 84"/>
        <xdr:cNvSpPr/>
      </xdr:nvSpPr>
      <xdr:spPr>
        <a:xfrm>
          <a:off x="15748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3</xdr:col>
      <xdr:colOff>177800</xdr:colOff>
      <xdr:row>5</xdr:row>
      <xdr:rowOff>38100</xdr:rowOff>
    </xdr:from>
    <xdr:to>
      <xdr:col>3</xdr:col>
      <xdr:colOff>381000</xdr:colOff>
      <xdr:row>6</xdr:row>
      <xdr:rowOff>73660</xdr:rowOff>
    </xdr:to>
    <xdr:sp macro="" textlink="">
      <xdr:nvSpPr>
        <xdr:cNvPr id="86" name="Rectangle 85"/>
        <xdr:cNvSpPr/>
      </xdr:nvSpPr>
      <xdr:spPr>
        <a:xfrm>
          <a:off x="20066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3</xdr:col>
      <xdr:colOff>177800</xdr:colOff>
      <xdr:row>7</xdr:row>
      <xdr:rowOff>134620</xdr:rowOff>
    </xdr:from>
    <xdr:to>
      <xdr:col>3</xdr:col>
      <xdr:colOff>381000</xdr:colOff>
      <xdr:row>9</xdr:row>
      <xdr:rowOff>2540</xdr:rowOff>
    </xdr:to>
    <xdr:sp macro="" textlink="">
      <xdr:nvSpPr>
        <xdr:cNvPr id="87" name="Rectangle 86"/>
        <xdr:cNvSpPr/>
      </xdr:nvSpPr>
      <xdr:spPr>
        <a:xfrm>
          <a:off x="20066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2</xdr:col>
      <xdr:colOff>330200</xdr:colOff>
      <xdr:row>5</xdr:row>
      <xdr:rowOff>63500</xdr:rowOff>
    </xdr:from>
    <xdr:to>
      <xdr:col>3</xdr:col>
      <xdr:colOff>381000</xdr:colOff>
      <xdr:row>6</xdr:row>
      <xdr:rowOff>22860</xdr:rowOff>
    </xdr:to>
    <xdr:sp macro="" textlink="">
      <xdr:nvSpPr>
        <xdr:cNvPr id="88" name="Rectangle 87"/>
        <xdr:cNvSpPr/>
      </xdr:nvSpPr>
      <xdr:spPr>
        <a:xfrm>
          <a:off x="1549400" y="9017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2</xdr:col>
      <xdr:colOff>381000</xdr:colOff>
      <xdr:row>6</xdr:row>
      <xdr:rowOff>76200</xdr:rowOff>
    </xdr:from>
    <xdr:to>
      <xdr:col>3</xdr:col>
      <xdr:colOff>327660</xdr:colOff>
      <xdr:row>7</xdr:row>
      <xdr:rowOff>106680</xdr:rowOff>
    </xdr:to>
    <xdr:pic>
      <xdr:nvPicPr>
        <xdr:cNvPr id="809896" name="Picture 8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082040"/>
          <a:ext cx="55626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7</xdr:row>
      <xdr:rowOff>134620</xdr:rowOff>
    </xdr:from>
    <xdr:to>
      <xdr:col>3</xdr:col>
      <xdr:colOff>381000</xdr:colOff>
      <xdr:row>8</xdr:row>
      <xdr:rowOff>68580</xdr:rowOff>
    </xdr:to>
    <xdr:sp macro="" textlink="">
      <xdr:nvSpPr>
        <xdr:cNvPr id="90" name="Rectangle 89"/>
        <xdr:cNvSpPr/>
      </xdr:nvSpPr>
      <xdr:spPr>
        <a:xfrm>
          <a:off x="1549400" y="13081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2</xdr:col>
      <xdr:colOff>330200</xdr:colOff>
      <xdr:row>8</xdr:row>
      <xdr:rowOff>43180</xdr:rowOff>
    </xdr:from>
    <xdr:to>
      <xdr:col>3</xdr:col>
      <xdr:colOff>381000</xdr:colOff>
      <xdr:row>8</xdr:row>
      <xdr:rowOff>119380</xdr:rowOff>
    </xdr:to>
    <xdr:sp macro="" textlink="">
      <xdr:nvSpPr>
        <xdr:cNvPr id="91" name="Rectangle 90"/>
        <xdr:cNvSpPr/>
      </xdr:nvSpPr>
      <xdr:spPr>
        <a:xfrm>
          <a:off x="1549400" y="13843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109</a:t>
          </a:r>
        </a:p>
      </xdr:txBody>
    </xdr:sp>
    <xdr:clientData/>
  </xdr:twoCellAnchor>
  <xdr:twoCellAnchor>
    <xdr:from>
      <xdr:col>3</xdr:col>
      <xdr:colOff>381000</xdr:colOff>
      <xdr:row>5</xdr:row>
      <xdr:rowOff>25400</xdr:rowOff>
    </xdr:from>
    <xdr:to>
      <xdr:col>4</xdr:col>
      <xdr:colOff>444500</xdr:colOff>
      <xdr:row>9</xdr:row>
      <xdr:rowOff>27940</xdr:rowOff>
    </xdr:to>
    <xdr:sp macro="" textlink="">
      <xdr:nvSpPr>
        <xdr:cNvPr id="92" name="Rectangle 91"/>
        <xdr:cNvSpPr/>
      </xdr:nvSpPr>
      <xdr:spPr>
        <a:xfrm>
          <a:off x="22098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5</xdr:row>
      <xdr:rowOff>25400</xdr:rowOff>
    </xdr:from>
    <xdr:to>
      <xdr:col>10</xdr:col>
      <xdr:colOff>571500</xdr:colOff>
      <xdr:row>9</xdr:row>
      <xdr:rowOff>27940</xdr:rowOff>
    </xdr:to>
    <xdr:sp macro="" textlink="">
      <xdr:nvSpPr>
        <xdr:cNvPr id="93" name="Rectangle 92"/>
        <xdr:cNvSpPr/>
      </xdr:nvSpPr>
      <xdr:spPr>
        <a:xfrm>
          <a:off x="5994400" y="863600"/>
          <a:ext cx="673100" cy="673100"/>
        </a:xfrm>
        <a:prstGeom prst="rect">
          <a:avLst/>
        </a:prstGeom>
        <a:solidFill>
          <a:srgbClr val="99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419100</xdr:colOff>
      <xdr:row>5</xdr:row>
      <xdr:rowOff>38100</xdr:rowOff>
    </xdr:from>
    <xdr:to>
      <xdr:col>4</xdr:col>
      <xdr:colOff>12700</xdr:colOff>
      <xdr:row>6</xdr:row>
      <xdr:rowOff>73660</xdr:rowOff>
    </xdr:to>
    <xdr:sp macro="" textlink="">
      <xdr:nvSpPr>
        <xdr:cNvPr id="94" name="Rectangle 93"/>
        <xdr:cNvSpPr/>
      </xdr:nvSpPr>
      <xdr:spPr>
        <a:xfrm>
          <a:off x="22479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3</xdr:col>
      <xdr:colOff>419100</xdr:colOff>
      <xdr:row>7</xdr:row>
      <xdr:rowOff>134620</xdr:rowOff>
    </xdr:from>
    <xdr:to>
      <xdr:col>4</xdr:col>
      <xdr:colOff>12700</xdr:colOff>
      <xdr:row>9</xdr:row>
      <xdr:rowOff>2540</xdr:rowOff>
    </xdr:to>
    <xdr:sp macro="" textlink="">
      <xdr:nvSpPr>
        <xdr:cNvPr id="95" name="Rectangle 94"/>
        <xdr:cNvSpPr/>
      </xdr:nvSpPr>
      <xdr:spPr>
        <a:xfrm>
          <a:off x="22479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4</xdr:col>
      <xdr:colOff>241300</xdr:colOff>
      <xdr:row>5</xdr:row>
      <xdr:rowOff>38100</xdr:rowOff>
    </xdr:from>
    <xdr:to>
      <xdr:col>4</xdr:col>
      <xdr:colOff>444500</xdr:colOff>
      <xdr:row>6</xdr:row>
      <xdr:rowOff>73660</xdr:rowOff>
    </xdr:to>
    <xdr:sp macro="" textlink="">
      <xdr:nvSpPr>
        <xdr:cNvPr id="96" name="Rectangle 95"/>
        <xdr:cNvSpPr/>
      </xdr:nvSpPr>
      <xdr:spPr>
        <a:xfrm>
          <a:off x="2679700" y="8763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4</xdr:col>
      <xdr:colOff>241300</xdr:colOff>
      <xdr:row>7</xdr:row>
      <xdr:rowOff>134620</xdr:rowOff>
    </xdr:from>
    <xdr:to>
      <xdr:col>4</xdr:col>
      <xdr:colOff>444500</xdr:colOff>
      <xdr:row>9</xdr:row>
      <xdr:rowOff>2540</xdr:rowOff>
    </xdr:to>
    <xdr:sp macro="" textlink="">
      <xdr:nvSpPr>
        <xdr:cNvPr id="97" name="Rectangle 96"/>
        <xdr:cNvSpPr/>
      </xdr:nvSpPr>
      <xdr:spPr>
        <a:xfrm>
          <a:off x="2679700" y="1308100"/>
          <a:ext cx="203200" cy="203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3</xdr:col>
      <xdr:colOff>393700</xdr:colOff>
      <xdr:row>5</xdr:row>
      <xdr:rowOff>63500</xdr:rowOff>
    </xdr:from>
    <xdr:to>
      <xdr:col>4</xdr:col>
      <xdr:colOff>444500</xdr:colOff>
      <xdr:row>6</xdr:row>
      <xdr:rowOff>22860</xdr:rowOff>
    </xdr:to>
    <xdr:sp macro="" textlink="">
      <xdr:nvSpPr>
        <xdr:cNvPr id="98" name="Rectangle 97"/>
        <xdr:cNvSpPr/>
      </xdr:nvSpPr>
      <xdr:spPr>
        <a:xfrm>
          <a:off x="2222500" y="901700"/>
          <a:ext cx="660400" cy="1270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3</xdr:col>
      <xdr:colOff>441960</xdr:colOff>
      <xdr:row>6</xdr:row>
      <xdr:rowOff>76200</xdr:rowOff>
    </xdr:from>
    <xdr:to>
      <xdr:col>4</xdr:col>
      <xdr:colOff>396240</xdr:colOff>
      <xdr:row>7</xdr:row>
      <xdr:rowOff>106680</xdr:rowOff>
    </xdr:to>
    <xdr:pic>
      <xdr:nvPicPr>
        <xdr:cNvPr id="809906" name="Picture 98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1082040"/>
          <a:ext cx="56388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393700</xdr:colOff>
      <xdr:row>7</xdr:row>
      <xdr:rowOff>134620</xdr:rowOff>
    </xdr:from>
    <xdr:to>
      <xdr:col>4</xdr:col>
      <xdr:colOff>444500</xdr:colOff>
      <xdr:row>8</xdr:row>
      <xdr:rowOff>68580</xdr:rowOff>
    </xdr:to>
    <xdr:sp macro="" textlink="">
      <xdr:nvSpPr>
        <xdr:cNvPr id="100" name="Rectangle 99"/>
        <xdr:cNvSpPr/>
      </xdr:nvSpPr>
      <xdr:spPr>
        <a:xfrm>
          <a:off x="2222500" y="1308100"/>
          <a:ext cx="660400" cy="1016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Panther</a:t>
          </a:r>
        </a:p>
      </xdr:txBody>
    </xdr:sp>
    <xdr:clientData/>
  </xdr:twoCellAnchor>
  <xdr:twoCellAnchor editAs="absolute">
    <xdr:from>
      <xdr:col>3</xdr:col>
      <xdr:colOff>393700</xdr:colOff>
      <xdr:row>8</xdr:row>
      <xdr:rowOff>43180</xdr:rowOff>
    </xdr:from>
    <xdr:to>
      <xdr:col>4</xdr:col>
      <xdr:colOff>444500</xdr:colOff>
      <xdr:row>8</xdr:row>
      <xdr:rowOff>119380</xdr:rowOff>
    </xdr:to>
    <xdr:sp macro="" textlink="">
      <xdr:nvSpPr>
        <xdr:cNvPr id="101" name="Rectangle 100"/>
        <xdr:cNvSpPr/>
      </xdr:nvSpPr>
      <xdr:spPr>
        <a:xfrm>
          <a:off x="2222500" y="1384300"/>
          <a:ext cx="660400" cy="76200"/>
        </a:xfrm>
        <a:prstGeom prst="rect">
          <a:avLst/>
        </a:prstGeom>
        <a:solidFill>
          <a:srgbClr val="999999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110</a:t>
          </a:r>
        </a:p>
      </xdr:txBody>
    </xdr:sp>
    <xdr:clientData/>
  </xdr:twoCellAnchor>
  <xdr:twoCellAnchor>
    <xdr:from>
      <xdr:col>4</xdr:col>
      <xdr:colOff>444500</xdr:colOff>
      <xdr:row>5</xdr:row>
      <xdr:rowOff>25400</xdr:rowOff>
    </xdr:from>
    <xdr:to>
      <xdr:col>5</xdr:col>
      <xdr:colOff>508000</xdr:colOff>
      <xdr:row>9</xdr:row>
      <xdr:rowOff>27940</xdr:rowOff>
    </xdr:to>
    <xdr:sp macro="" textlink="">
      <xdr:nvSpPr>
        <xdr:cNvPr id="102" name="Rectangle 101"/>
        <xdr:cNvSpPr/>
      </xdr:nvSpPr>
      <xdr:spPr>
        <a:xfrm>
          <a:off x="2882900" y="863600"/>
          <a:ext cx="673100" cy="673100"/>
        </a:xfrm>
        <a:prstGeom prst="rect">
          <a:avLst/>
        </a:prstGeom>
        <a:solidFill>
          <a:srgbClr val="CCCC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5</xdr:row>
      <xdr:rowOff>25400</xdr:rowOff>
    </xdr:from>
    <xdr:to>
      <xdr:col>9</xdr:col>
      <xdr:colOff>508000</xdr:colOff>
      <xdr:row>9</xdr:row>
      <xdr:rowOff>27940</xdr:rowOff>
    </xdr:to>
    <xdr:sp macro="" textlink="">
      <xdr:nvSpPr>
        <xdr:cNvPr id="103" name="Rectangle 102"/>
        <xdr:cNvSpPr/>
      </xdr:nvSpPr>
      <xdr:spPr>
        <a:xfrm>
          <a:off x="5321300" y="863600"/>
          <a:ext cx="673100" cy="673100"/>
        </a:xfrm>
        <a:prstGeom prst="rect">
          <a:avLst/>
        </a:prstGeom>
        <a:solidFill>
          <a:srgbClr val="CCCC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482600</xdr:colOff>
      <xdr:row>5</xdr:row>
      <xdr:rowOff>38100</xdr:rowOff>
    </xdr:from>
    <xdr:to>
      <xdr:col>5</xdr:col>
      <xdr:colOff>76200</xdr:colOff>
      <xdr:row>6</xdr:row>
      <xdr:rowOff>73660</xdr:rowOff>
    </xdr:to>
    <xdr:sp macro="" textlink="">
      <xdr:nvSpPr>
        <xdr:cNvPr id="104" name="Rectangle 103"/>
        <xdr:cNvSpPr/>
      </xdr:nvSpPr>
      <xdr:spPr>
        <a:xfrm>
          <a:off x="2921000" y="8763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4</xdr:col>
      <xdr:colOff>482600</xdr:colOff>
      <xdr:row>7</xdr:row>
      <xdr:rowOff>134620</xdr:rowOff>
    </xdr:from>
    <xdr:to>
      <xdr:col>5</xdr:col>
      <xdr:colOff>76200</xdr:colOff>
      <xdr:row>9</xdr:row>
      <xdr:rowOff>2540</xdr:rowOff>
    </xdr:to>
    <xdr:sp macro="" textlink="">
      <xdr:nvSpPr>
        <xdr:cNvPr id="105" name="Rectangle 104"/>
        <xdr:cNvSpPr/>
      </xdr:nvSpPr>
      <xdr:spPr>
        <a:xfrm>
          <a:off x="2921000" y="13081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5</xdr:col>
      <xdr:colOff>304800</xdr:colOff>
      <xdr:row>5</xdr:row>
      <xdr:rowOff>38100</xdr:rowOff>
    </xdr:from>
    <xdr:to>
      <xdr:col>5</xdr:col>
      <xdr:colOff>508000</xdr:colOff>
      <xdr:row>6</xdr:row>
      <xdr:rowOff>73660</xdr:rowOff>
    </xdr:to>
    <xdr:sp macro="" textlink="">
      <xdr:nvSpPr>
        <xdr:cNvPr id="106" name="Rectangle 105"/>
        <xdr:cNvSpPr/>
      </xdr:nvSpPr>
      <xdr:spPr>
        <a:xfrm>
          <a:off x="3352800" y="8763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5</xdr:col>
      <xdr:colOff>304800</xdr:colOff>
      <xdr:row>7</xdr:row>
      <xdr:rowOff>134620</xdr:rowOff>
    </xdr:from>
    <xdr:to>
      <xdr:col>5</xdr:col>
      <xdr:colOff>508000</xdr:colOff>
      <xdr:row>9</xdr:row>
      <xdr:rowOff>2540</xdr:rowOff>
    </xdr:to>
    <xdr:sp macro="" textlink="">
      <xdr:nvSpPr>
        <xdr:cNvPr id="107" name="Rectangle 106"/>
        <xdr:cNvSpPr/>
      </xdr:nvSpPr>
      <xdr:spPr>
        <a:xfrm>
          <a:off x="3352800" y="13081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4</xdr:col>
      <xdr:colOff>457200</xdr:colOff>
      <xdr:row>5</xdr:row>
      <xdr:rowOff>63500</xdr:rowOff>
    </xdr:from>
    <xdr:to>
      <xdr:col>5</xdr:col>
      <xdr:colOff>508000</xdr:colOff>
      <xdr:row>6</xdr:row>
      <xdr:rowOff>22860</xdr:rowOff>
    </xdr:to>
    <xdr:sp macro="" textlink="">
      <xdr:nvSpPr>
        <xdr:cNvPr id="108" name="Rectangle 107"/>
        <xdr:cNvSpPr/>
      </xdr:nvSpPr>
      <xdr:spPr>
        <a:xfrm>
          <a:off x="2895600" y="901700"/>
          <a:ext cx="660400" cy="1270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oneCell">
    <xdr:from>
      <xdr:col>5</xdr:col>
      <xdr:colOff>22860</xdr:colOff>
      <xdr:row>6</xdr:row>
      <xdr:rowOff>99060</xdr:rowOff>
    </xdr:from>
    <xdr:to>
      <xdr:col>5</xdr:col>
      <xdr:colOff>327660</xdr:colOff>
      <xdr:row>7</xdr:row>
      <xdr:rowOff>106680</xdr:rowOff>
    </xdr:to>
    <xdr:pic>
      <xdr:nvPicPr>
        <xdr:cNvPr id="809916" name="Picture 10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1104900"/>
          <a:ext cx="30480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584200</xdr:colOff>
      <xdr:row>5</xdr:row>
      <xdr:rowOff>165100</xdr:rowOff>
    </xdr:from>
    <xdr:to>
      <xdr:col>5</xdr:col>
      <xdr:colOff>381000</xdr:colOff>
      <xdr:row>6</xdr:row>
      <xdr:rowOff>99060</xdr:rowOff>
    </xdr:to>
    <xdr:sp macro="" textlink="">
      <xdr:nvSpPr>
        <xdr:cNvPr id="110" name="Rectangle 109"/>
        <xdr:cNvSpPr/>
      </xdr:nvSpPr>
      <xdr:spPr>
        <a:xfrm>
          <a:off x="3022600" y="1003300"/>
          <a:ext cx="406400" cy="1016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1">
              <a:solidFill>
                <a:srgbClr val="000000"/>
              </a:solidFill>
              <a:latin typeface=""/>
            </a:rPr>
            <a:t>. . .</a:t>
          </a:r>
        </a:p>
      </xdr:txBody>
    </xdr:sp>
    <xdr:clientData/>
  </xdr:twoCellAnchor>
  <xdr:twoCellAnchor editAs="absolute">
    <xdr:from>
      <xdr:col>4</xdr:col>
      <xdr:colOff>457200</xdr:colOff>
      <xdr:row>7</xdr:row>
      <xdr:rowOff>134620</xdr:rowOff>
    </xdr:from>
    <xdr:to>
      <xdr:col>5</xdr:col>
      <xdr:colOff>508000</xdr:colOff>
      <xdr:row>8</xdr:row>
      <xdr:rowOff>68580</xdr:rowOff>
    </xdr:to>
    <xdr:sp macro="" textlink="">
      <xdr:nvSpPr>
        <xdr:cNvPr id="111" name="Rectangle 110"/>
        <xdr:cNvSpPr/>
      </xdr:nvSpPr>
      <xdr:spPr>
        <a:xfrm>
          <a:off x="2895600" y="1308100"/>
          <a:ext cx="660400" cy="1016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RIFLE</a:t>
          </a:r>
        </a:p>
      </xdr:txBody>
    </xdr:sp>
    <xdr:clientData/>
  </xdr:twoCellAnchor>
  <xdr:twoCellAnchor editAs="absolute">
    <xdr:from>
      <xdr:col>4</xdr:col>
      <xdr:colOff>457200</xdr:colOff>
      <xdr:row>8</xdr:row>
      <xdr:rowOff>43180</xdr:rowOff>
    </xdr:from>
    <xdr:to>
      <xdr:col>5</xdr:col>
      <xdr:colOff>508000</xdr:colOff>
      <xdr:row>8</xdr:row>
      <xdr:rowOff>119380</xdr:rowOff>
    </xdr:to>
    <xdr:sp macro="" textlink="">
      <xdr:nvSpPr>
        <xdr:cNvPr id="112" name="Rectangle 111"/>
        <xdr:cNvSpPr/>
      </xdr:nvSpPr>
      <xdr:spPr>
        <a:xfrm>
          <a:off x="2895600" y="1384300"/>
          <a:ext cx="660400" cy="76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201</a:t>
          </a:r>
        </a:p>
      </xdr:txBody>
    </xdr:sp>
    <xdr:clientData/>
  </xdr:twoCellAnchor>
  <xdr:twoCellAnchor>
    <xdr:from>
      <xdr:col>5</xdr:col>
      <xdr:colOff>508000</xdr:colOff>
      <xdr:row>5</xdr:row>
      <xdr:rowOff>25400</xdr:rowOff>
    </xdr:from>
    <xdr:to>
      <xdr:col>6</xdr:col>
      <xdr:colOff>571500</xdr:colOff>
      <xdr:row>9</xdr:row>
      <xdr:rowOff>27940</xdr:rowOff>
    </xdr:to>
    <xdr:sp macro="" textlink="">
      <xdr:nvSpPr>
        <xdr:cNvPr id="113" name="Rectangle 112"/>
        <xdr:cNvSpPr/>
      </xdr:nvSpPr>
      <xdr:spPr>
        <a:xfrm>
          <a:off x="3556000" y="863600"/>
          <a:ext cx="673100" cy="673100"/>
        </a:xfrm>
        <a:prstGeom prst="rect">
          <a:avLst/>
        </a:prstGeom>
        <a:solidFill>
          <a:srgbClr val="CCCC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5</xdr:row>
      <xdr:rowOff>25400</xdr:rowOff>
    </xdr:from>
    <xdr:to>
      <xdr:col>8</xdr:col>
      <xdr:colOff>444500</xdr:colOff>
      <xdr:row>9</xdr:row>
      <xdr:rowOff>27940</xdr:rowOff>
    </xdr:to>
    <xdr:sp macro="" textlink="">
      <xdr:nvSpPr>
        <xdr:cNvPr id="114" name="Rectangle 113"/>
        <xdr:cNvSpPr/>
      </xdr:nvSpPr>
      <xdr:spPr>
        <a:xfrm>
          <a:off x="4648200" y="863600"/>
          <a:ext cx="673100" cy="673100"/>
        </a:xfrm>
        <a:prstGeom prst="rect">
          <a:avLst/>
        </a:prstGeom>
        <a:solidFill>
          <a:srgbClr val="CCCC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546100</xdr:colOff>
      <xdr:row>5</xdr:row>
      <xdr:rowOff>38100</xdr:rowOff>
    </xdr:from>
    <xdr:to>
      <xdr:col>6</xdr:col>
      <xdr:colOff>139700</xdr:colOff>
      <xdr:row>6</xdr:row>
      <xdr:rowOff>73660</xdr:rowOff>
    </xdr:to>
    <xdr:sp macro="" textlink="">
      <xdr:nvSpPr>
        <xdr:cNvPr id="115" name="Rectangle 114"/>
        <xdr:cNvSpPr/>
      </xdr:nvSpPr>
      <xdr:spPr>
        <a:xfrm>
          <a:off x="3594100" y="8763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5</xdr:col>
      <xdr:colOff>546100</xdr:colOff>
      <xdr:row>7</xdr:row>
      <xdr:rowOff>134620</xdr:rowOff>
    </xdr:from>
    <xdr:to>
      <xdr:col>6</xdr:col>
      <xdr:colOff>139700</xdr:colOff>
      <xdr:row>9</xdr:row>
      <xdr:rowOff>2540</xdr:rowOff>
    </xdr:to>
    <xdr:sp macro="" textlink="">
      <xdr:nvSpPr>
        <xdr:cNvPr id="116" name="Rectangle 115"/>
        <xdr:cNvSpPr/>
      </xdr:nvSpPr>
      <xdr:spPr>
        <a:xfrm>
          <a:off x="3594100" y="13081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6</xdr:col>
      <xdr:colOff>368300</xdr:colOff>
      <xdr:row>5</xdr:row>
      <xdr:rowOff>38100</xdr:rowOff>
    </xdr:from>
    <xdr:to>
      <xdr:col>6</xdr:col>
      <xdr:colOff>571500</xdr:colOff>
      <xdr:row>6</xdr:row>
      <xdr:rowOff>73660</xdr:rowOff>
    </xdr:to>
    <xdr:sp macro="" textlink="">
      <xdr:nvSpPr>
        <xdr:cNvPr id="117" name="Rectangle 116"/>
        <xdr:cNvSpPr/>
      </xdr:nvSpPr>
      <xdr:spPr>
        <a:xfrm>
          <a:off x="4025900" y="8763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6</xdr:col>
      <xdr:colOff>368300</xdr:colOff>
      <xdr:row>7</xdr:row>
      <xdr:rowOff>134620</xdr:rowOff>
    </xdr:from>
    <xdr:to>
      <xdr:col>6</xdr:col>
      <xdr:colOff>571500</xdr:colOff>
      <xdr:row>9</xdr:row>
      <xdr:rowOff>2540</xdr:rowOff>
    </xdr:to>
    <xdr:sp macro="" textlink="">
      <xdr:nvSpPr>
        <xdr:cNvPr id="118" name="Rectangle 117"/>
        <xdr:cNvSpPr/>
      </xdr:nvSpPr>
      <xdr:spPr>
        <a:xfrm>
          <a:off x="4025900" y="1308100"/>
          <a:ext cx="203200" cy="203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5</xdr:col>
      <xdr:colOff>520700</xdr:colOff>
      <xdr:row>5</xdr:row>
      <xdr:rowOff>63500</xdr:rowOff>
    </xdr:from>
    <xdr:to>
      <xdr:col>6</xdr:col>
      <xdr:colOff>571500</xdr:colOff>
      <xdr:row>6</xdr:row>
      <xdr:rowOff>22860</xdr:rowOff>
    </xdr:to>
    <xdr:sp macro="" textlink="">
      <xdr:nvSpPr>
        <xdr:cNvPr id="119" name="Rectangle 118"/>
        <xdr:cNvSpPr/>
      </xdr:nvSpPr>
      <xdr:spPr>
        <a:xfrm>
          <a:off x="3568700" y="901700"/>
          <a:ext cx="660400" cy="1270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oneCell">
    <xdr:from>
      <xdr:col>6</xdr:col>
      <xdr:colOff>91440</xdr:colOff>
      <xdr:row>6</xdr:row>
      <xdr:rowOff>99060</xdr:rowOff>
    </xdr:from>
    <xdr:to>
      <xdr:col>6</xdr:col>
      <xdr:colOff>396240</xdr:colOff>
      <xdr:row>7</xdr:row>
      <xdr:rowOff>106680</xdr:rowOff>
    </xdr:to>
    <xdr:pic>
      <xdr:nvPicPr>
        <xdr:cNvPr id="809927" name="Picture 1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9040" y="1104900"/>
          <a:ext cx="30480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38100</xdr:colOff>
      <xdr:row>5</xdr:row>
      <xdr:rowOff>165100</xdr:rowOff>
    </xdr:from>
    <xdr:to>
      <xdr:col>6</xdr:col>
      <xdr:colOff>444500</xdr:colOff>
      <xdr:row>6</xdr:row>
      <xdr:rowOff>99060</xdr:rowOff>
    </xdr:to>
    <xdr:sp macro="" textlink="">
      <xdr:nvSpPr>
        <xdr:cNvPr id="121" name="Rectangle 120"/>
        <xdr:cNvSpPr/>
      </xdr:nvSpPr>
      <xdr:spPr>
        <a:xfrm>
          <a:off x="3695700" y="1003300"/>
          <a:ext cx="406400" cy="1016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1">
              <a:solidFill>
                <a:srgbClr val="000000"/>
              </a:solidFill>
              <a:latin typeface=""/>
            </a:rPr>
            <a:t>. . .</a:t>
          </a:r>
        </a:p>
      </xdr:txBody>
    </xdr:sp>
    <xdr:clientData/>
  </xdr:twoCellAnchor>
  <xdr:twoCellAnchor editAs="absolute">
    <xdr:from>
      <xdr:col>5</xdr:col>
      <xdr:colOff>520700</xdr:colOff>
      <xdr:row>7</xdr:row>
      <xdr:rowOff>134620</xdr:rowOff>
    </xdr:from>
    <xdr:to>
      <xdr:col>6</xdr:col>
      <xdr:colOff>571500</xdr:colOff>
      <xdr:row>8</xdr:row>
      <xdr:rowOff>68580</xdr:rowOff>
    </xdr:to>
    <xdr:sp macro="" textlink="">
      <xdr:nvSpPr>
        <xdr:cNvPr id="122" name="Rectangle 121"/>
        <xdr:cNvSpPr/>
      </xdr:nvSpPr>
      <xdr:spPr>
        <a:xfrm>
          <a:off x="3568700" y="1308100"/>
          <a:ext cx="660400" cy="1016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RIFLE</a:t>
          </a:r>
        </a:p>
      </xdr:txBody>
    </xdr:sp>
    <xdr:clientData/>
  </xdr:twoCellAnchor>
  <xdr:twoCellAnchor editAs="absolute">
    <xdr:from>
      <xdr:col>5</xdr:col>
      <xdr:colOff>520700</xdr:colOff>
      <xdr:row>8</xdr:row>
      <xdr:rowOff>43180</xdr:rowOff>
    </xdr:from>
    <xdr:to>
      <xdr:col>6</xdr:col>
      <xdr:colOff>571500</xdr:colOff>
      <xdr:row>8</xdr:row>
      <xdr:rowOff>119380</xdr:rowOff>
    </xdr:to>
    <xdr:sp macro="" textlink="">
      <xdr:nvSpPr>
        <xdr:cNvPr id="123" name="Rectangle 122"/>
        <xdr:cNvSpPr/>
      </xdr:nvSpPr>
      <xdr:spPr>
        <a:xfrm>
          <a:off x="3568700" y="1384300"/>
          <a:ext cx="660400" cy="76200"/>
        </a:xfrm>
        <a:prstGeom prst="rect">
          <a:avLst/>
        </a:prstGeom>
        <a:solidFill>
          <a:srgbClr val="CCCCCC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202</a:t>
          </a:r>
        </a:p>
      </xdr:txBody>
    </xdr:sp>
    <xdr:clientData/>
  </xdr:twoCellAnchor>
  <xdr:twoCellAnchor>
    <xdr:from>
      <xdr:col>0</xdr:col>
      <xdr:colOff>190500</xdr:colOff>
      <xdr:row>9</xdr:row>
      <xdr:rowOff>27940</xdr:rowOff>
    </xdr:from>
    <xdr:to>
      <xdr:col>1</xdr:col>
      <xdr:colOff>254000</xdr:colOff>
      <xdr:row>13</xdr:row>
      <xdr:rowOff>30480</xdr:rowOff>
    </xdr:to>
    <xdr:sp macro="" textlink="">
      <xdr:nvSpPr>
        <xdr:cNvPr id="124" name="Rectangle 123"/>
        <xdr:cNvSpPr/>
      </xdr:nvSpPr>
      <xdr:spPr>
        <a:xfrm>
          <a:off x="1905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9</xdr:row>
      <xdr:rowOff>27940</xdr:rowOff>
    </xdr:from>
    <xdr:to>
      <xdr:col>14</xdr:col>
      <xdr:colOff>152400</xdr:colOff>
      <xdr:row>13</xdr:row>
      <xdr:rowOff>30480</xdr:rowOff>
    </xdr:to>
    <xdr:sp macro="" textlink="">
      <xdr:nvSpPr>
        <xdr:cNvPr id="125" name="Rectangle 124"/>
        <xdr:cNvSpPr/>
      </xdr:nvSpPr>
      <xdr:spPr>
        <a:xfrm>
          <a:off x="80137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228600</xdr:colOff>
      <xdr:row>9</xdr:row>
      <xdr:rowOff>40640</xdr:rowOff>
    </xdr:from>
    <xdr:to>
      <xdr:col>0</xdr:col>
      <xdr:colOff>431800</xdr:colOff>
      <xdr:row>10</xdr:row>
      <xdr:rowOff>76200</xdr:rowOff>
    </xdr:to>
    <xdr:sp macro="" textlink="">
      <xdr:nvSpPr>
        <xdr:cNvPr id="126" name="Rectangle 125"/>
        <xdr:cNvSpPr/>
      </xdr:nvSpPr>
      <xdr:spPr>
        <a:xfrm>
          <a:off x="2286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0</xdr:col>
      <xdr:colOff>228600</xdr:colOff>
      <xdr:row>11</xdr:row>
      <xdr:rowOff>137160</xdr:rowOff>
    </xdr:from>
    <xdr:to>
      <xdr:col>0</xdr:col>
      <xdr:colOff>431800</xdr:colOff>
      <xdr:row>13</xdr:row>
      <xdr:rowOff>5080</xdr:rowOff>
    </xdr:to>
    <xdr:sp macro="" textlink="">
      <xdr:nvSpPr>
        <xdr:cNvPr id="127" name="Rectangle 126"/>
        <xdr:cNvSpPr/>
      </xdr:nvSpPr>
      <xdr:spPr>
        <a:xfrm>
          <a:off x="2286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1</xdr:col>
      <xdr:colOff>50800</xdr:colOff>
      <xdr:row>9</xdr:row>
      <xdr:rowOff>40640</xdr:rowOff>
    </xdr:from>
    <xdr:to>
      <xdr:col>1</xdr:col>
      <xdr:colOff>254000</xdr:colOff>
      <xdr:row>10</xdr:row>
      <xdr:rowOff>76200</xdr:rowOff>
    </xdr:to>
    <xdr:sp macro="" textlink="">
      <xdr:nvSpPr>
        <xdr:cNvPr id="128" name="Rectangle 127"/>
        <xdr:cNvSpPr/>
      </xdr:nvSpPr>
      <xdr:spPr>
        <a:xfrm>
          <a:off x="6604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1</xdr:col>
      <xdr:colOff>50800</xdr:colOff>
      <xdr:row>11</xdr:row>
      <xdr:rowOff>137160</xdr:rowOff>
    </xdr:from>
    <xdr:to>
      <xdr:col>1</xdr:col>
      <xdr:colOff>254000</xdr:colOff>
      <xdr:row>13</xdr:row>
      <xdr:rowOff>5080</xdr:rowOff>
    </xdr:to>
    <xdr:sp macro="" textlink="">
      <xdr:nvSpPr>
        <xdr:cNvPr id="129" name="Rectangle 128"/>
        <xdr:cNvSpPr/>
      </xdr:nvSpPr>
      <xdr:spPr>
        <a:xfrm>
          <a:off x="6604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203200</xdr:colOff>
      <xdr:row>9</xdr:row>
      <xdr:rowOff>66040</xdr:rowOff>
    </xdr:from>
    <xdr:to>
      <xdr:col>1</xdr:col>
      <xdr:colOff>254000</xdr:colOff>
      <xdr:row>10</xdr:row>
      <xdr:rowOff>25400</xdr:rowOff>
    </xdr:to>
    <xdr:sp macro="" textlink="">
      <xdr:nvSpPr>
        <xdr:cNvPr id="130" name="Rectangle 129"/>
        <xdr:cNvSpPr/>
      </xdr:nvSpPr>
      <xdr:spPr>
        <a:xfrm>
          <a:off x="2032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0</xdr:col>
      <xdr:colOff>251460</xdr:colOff>
      <xdr:row>10</xdr:row>
      <xdr:rowOff>76200</xdr:rowOff>
    </xdr:from>
    <xdr:to>
      <xdr:col>1</xdr:col>
      <xdr:colOff>205740</xdr:colOff>
      <xdr:row>11</xdr:row>
      <xdr:rowOff>114300</xdr:rowOff>
    </xdr:to>
    <xdr:pic>
      <xdr:nvPicPr>
        <xdr:cNvPr id="809938" name="Picture 13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" y="175260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11</xdr:row>
      <xdr:rowOff>137160</xdr:rowOff>
    </xdr:from>
    <xdr:to>
      <xdr:col>1</xdr:col>
      <xdr:colOff>254000</xdr:colOff>
      <xdr:row>12</xdr:row>
      <xdr:rowOff>71120</xdr:rowOff>
    </xdr:to>
    <xdr:sp macro="" textlink="">
      <xdr:nvSpPr>
        <xdr:cNvPr id="132" name="Rectangle 131"/>
        <xdr:cNvSpPr/>
      </xdr:nvSpPr>
      <xdr:spPr>
        <a:xfrm>
          <a:off x="2032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0</xdr:col>
      <xdr:colOff>203200</xdr:colOff>
      <xdr:row>12</xdr:row>
      <xdr:rowOff>45720</xdr:rowOff>
    </xdr:from>
    <xdr:to>
      <xdr:col>1</xdr:col>
      <xdr:colOff>254000</xdr:colOff>
      <xdr:row>12</xdr:row>
      <xdr:rowOff>121920</xdr:rowOff>
    </xdr:to>
    <xdr:sp macro="" textlink="">
      <xdr:nvSpPr>
        <xdr:cNvPr id="133" name="Rectangle 132"/>
        <xdr:cNvSpPr/>
      </xdr:nvSpPr>
      <xdr:spPr>
        <a:xfrm>
          <a:off x="2032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101</a:t>
          </a:r>
        </a:p>
      </xdr:txBody>
    </xdr:sp>
    <xdr:clientData/>
  </xdr:twoCellAnchor>
  <xdr:twoCellAnchor>
    <xdr:from>
      <xdr:col>1</xdr:col>
      <xdr:colOff>254000</xdr:colOff>
      <xdr:row>9</xdr:row>
      <xdr:rowOff>27940</xdr:rowOff>
    </xdr:from>
    <xdr:to>
      <xdr:col>2</xdr:col>
      <xdr:colOff>317500</xdr:colOff>
      <xdr:row>13</xdr:row>
      <xdr:rowOff>30480</xdr:rowOff>
    </xdr:to>
    <xdr:sp macro="" textlink="">
      <xdr:nvSpPr>
        <xdr:cNvPr id="134" name="Rectangle 133"/>
        <xdr:cNvSpPr/>
      </xdr:nvSpPr>
      <xdr:spPr>
        <a:xfrm>
          <a:off x="8636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9</xdr:row>
      <xdr:rowOff>27940</xdr:rowOff>
    </xdr:from>
    <xdr:to>
      <xdr:col>13</xdr:col>
      <xdr:colOff>88900</xdr:colOff>
      <xdr:row>13</xdr:row>
      <xdr:rowOff>30480</xdr:rowOff>
    </xdr:to>
    <xdr:sp macro="" textlink="">
      <xdr:nvSpPr>
        <xdr:cNvPr id="135" name="Rectangle 134"/>
        <xdr:cNvSpPr/>
      </xdr:nvSpPr>
      <xdr:spPr>
        <a:xfrm>
          <a:off x="73406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292100</xdr:colOff>
      <xdr:row>9</xdr:row>
      <xdr:rowOff>40640</xdr:rowOff>
    </xdr:from>
    <xdr:to>
      <xdr:col>1</xdr:col>
      <xdr:colOff>495300</xdr:colOff>
      <xdr:row>10</xdr:row>
      <xdr:rowOff>76200</xdr:rowOff>
    </xdr:to>
    <xdr:sp macro="" textlink="">
      <xdr:nvSpPr>
        <xdr:cNvPr id="136" name="Rectangle 135"/>
        <xdr:cNvSpPr/>
      </xdr:nvSpPr>
      <xdr:spPr>
        <a:xfrm>
          <a:off x="9017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1</xdr:col>
      <xdr:colOff>292100</xdr:colOff>
      <xdr:row>11</xdr:row>
      <xdr:rowOff>137160</xdr:rowOff>
    </xdr:from>
    <xdr:to>
      <xdr:col>1</xdr:col>
      <xdr:colOff>495300</xdr:colOff>
      <xdr:row>13</xdr:row>
      <xdr:rowOff>5080</xdr:rowOff>
    </xdr:to>
    <xdr:sp macro="" textlink="">
      <xdr:nvSpPr>
        <xdr:cNvPr id="137" name="Rectangle 136"/>
        <xdr:cNvSpPr/>
      </xdr:nvSpPr>
      <xdr:spPr>
        <a:xfrm>
          <a:off x="9017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2</xdr:col>
      <xdr:colOff>114300</xdr:colOff>
      <xdr:row>9</xdr:row>
      <xdr:rowOff>40640</xdr:rowOff>
    </xdr:from>
    <xdr:to>
      <xdr:col>2</xdr:col>
      <xdr:colOff>317500</xdr:colOff>
      <xdr:row>10</xdr:row>
      <xdr:rowOff>76200</xdr:rowOff>
    </xdr:to>
    <xdr:sp macro="" textlink="">
      <xdr:nvSpPr>
        <xdr:cNvPr id="138" name="Rectangle 137"/>
        <xdr:cNvSpPr/>
      </xdr:nvSpPr>
      <xdr:spPr>
        <a:xfrm>
          <a:off x="13335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2</xdr:col>
      <xdr:colOff>114300</xdr:colOff>
      <xdr:row>11</xdr:row>
      <xdr:rowOff>137160</xdr:rowOff>
    </xdr:from>
    <xdr:to>
      <xdr:col>2</xdr:col>
      <xdr:colOff>317500</xdr:colOff>
      <xdr:row>13</xdr:row>
      <xdr:rowOff>5080</xdr:rowOff>
    </xdr:to>
    <xdr:sp macro="" textlink="">
      <xdr:nvSpPr>
        <xdr:cNvPr id="139" name="Rectangle 138"/>
        <xdr:cNvSpPr/>
      </xdr:nvSpPr>
      <xdr:spPr>
        <a:xfrm>
          <a:off x="13335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266700</xdr:colOff>
      <xdr:row>9</xdr:row>
      <xdr:rowOff>66040</xdr:rowOff>
    </xdr:from>
    <xdr:to>
      <xdr:col>2</xdr:col>
      <xdr:colOff>317500</xdr:colOff>
      <xdr:row>10</xdr:row>
      <xdr:rowOff>25400</xdr:rowOff>
    </xdr:to>
    <xdr:sp macro="" textlink="">
      <xdr:nvSpPr>
        <xdr:cNvPr id="140" name="Rectangle 139"/>
        <xdr:cNvSpPr/>
      </xdr:nvSpPr>
      <xdr:spPr>
        <a:xfrm>
          <a:off x="8763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1</xdr:col>
      <xdr:colOff>320040</xdr:colOff>
      <xdr:row>10</xdr:row>
      <xdr:rowOff>76200</xdr:rowOff>
    </xdr:from>
    <xdr:to>
      <xdr:col>2</xdr:col>
      <xdr:colOff>266700</xdr:colOff>
      <xdr:row>11</xdr:row>
      <xdr:rowOff>114300</xdr:rowOff>
    </xdr:to>
    <xdr:pic>
      <xdr:nvPicPr>
        <xdr:cNvPr id="809948" name="Picture 14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175260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11</xdr:row>
      <xdr:rowOff>137160</xdr:rowOff>
    </xdr:from>
    <xdr:to>
      <xdr:col>2</xdr:col>
      <xdr:colOff>317500</xdr:colOff>
      <xdr:row>12</xdr:row>
      <xdr:rowOff>71120</xdr:rowOff>
    </xdr:to>
    <xdr:sp macro="" textlink="">
      <xdr:nvSpPr>
        <xdr:cNvPr id="142" name="Rectangle 141"/>
        <xdr:cNvSpPr/>
      </xdr:nvSpPr>
      <xdr:spPr>
        <a:xfrm>
          <a:off x="8763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1</xdr:col>
      <xdr:colOff>266700</xdr:colOff>
      <xdr:row>12</xdr:row>
      <xdr:rowOff>45720</xdr:rowOff>
    </xdr:from>
    <xdr:to>
      <xdr:col>2</xdr:col>
      <xdr:colOff>317500</xdr:colOff>
      <xdr:row>12</xdr:row>
      <xdr:rowOff>121920</xdr:rowOff>
    </xdr:to>
    <xdr:sp macro="" textlink="">
      <xdr:nvSpPr>
        <xdr:cNvPr id="143" name="Rectangle 142"/>
        <xdr:cNvSpPr/>
      </xdr:nvSpPr>
      <xdr:spPr>
        <a:xfrm>
          <a:off x="8763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102</a:t>
          </a:r>
        </a:p>
      </xdr:txBody>
    </xdr:sp>
    <xdr:clientData/>
  </xdr:twoCellAnchor>
  <xdr:twoCellAnchor>
    <xdr:from>
      <xdr:col>2</xdr:col>
      <xdr:colOff>317500</xdr:colOff>
      <xdr:row>9</xdr:row>
      <xdr:rowOff>27940</xdr:rowOff>
    </xdr:from>
    <xdr:to>
      <xdr:col>3</xdr:col>
      <xdr:colOff>381000</xdr:colOff>
      <xdr:row>13</xdr:row>
      <xdr:rowOff>30480</xdr:rowOff>
    </xdr:to>
    <xdr:sp macro="" textlink="">
      <xdr:nvSpPr>
        <xdr:cNvPr id="144" name="Rectangle 143"/>
        <xdr:cNvSpPr/>
      </xdr:nvSpPr>
      <xdr:spPr>
        <a:xfrm>
          <a:off x="15367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9</xdr:row>
      <xdr:rowOff>27940</xdr:rowOff>
    </xdr:from>
    <xdr:to>
      <xdr:col>12</xdr:col>
      <xdr:colOff>25400</xdr:colOff>
      <xdr:row>13</xdr:row>
      <xdr:rowOff>30480</xdr:rowOff>
    </xdr:to>
    <xdr:sp macro="" textlink="">
      <xdr:nvSpPr>
        <xdr:cNvPr id="145" name="Rectangle 144"/>
        <xdr:cNvSpPr/>
      </xdr:nvSpPr>
      <xdr:spPr>
        <a:xfrm>
          <a:off x="66675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355600</xdr:colOff>
      <xdr:row>9</xdr:row>
      <xdr:rowOff>40640</xdr:rowOff>
    </xdr:from>
    <xdr:to>
      <xdr:col>2</xdr:col>
      <xdr:colOff>558800</xdr:colOff>
      <xdr:row>10</xdr:row>
      <xdr:rowOff>76200</xdr:rowOff>
    </xdr:to>
    <xdr:sp macro="" textlink="">
      <xdr:nvSpPr>
        <xdr:cNvPr id="146" name="Rectangle 145"/>
        <xdr:cNvSpPr/>
      </xdr:nvSpPr>
      <xdr:spPr>
        <a:xfrm>
          <a:off x="15748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2</xdr:col>
      <xdr:colOff>355600</xdr:colOff>
      <xdr:row>11</xdr:row>
      <xdr:rowOff>137160</xdr:rowOff>
    </xdr:from>
    <xdr:to>
      <xdr:col>2</xdr:col>
      <xdr:colOff>558800</xdr:colOff>
      <xdr:row>13</xdr:row>
      <xdr:rowOff>5080</xdr:rowOff>
    </xdr:to>
    <xdr:sp macro="" textlink="">
      <xdr:nvSpPr>
        <xdr:cNvPr id="147" name="Rectangle 146"/>
        <xdr:cNvSpPr/>
      </xdr:nvSpPr>
      <xdr:spPr>
        <a:xfrm>
          <a:off x="15748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3</xdr:col>
      <xdr:colOff>177800</xdr:colOff>
      <xdr:row>9</xdr:row>
      <xdr:rowOff>40640</xdr:rowOff>
    </xdr:from>
    <xdr:to>
      <xdr:col>3</xdr:col>
      <xdr:colOff>381000</xdr:colOff>
      <xdr:row>10</xdr:row>
      <xdr:rowOff>76200</xdr:rowOff>
    </xdr:to>
    <xdr:sp macro="" textlink="">
      <xdr:nvSpPr>
        <xdr:cNvPr id="148" name="Rectangle 147"/>
        <xdr:cNvSpPr/>
      </xdr:nvSpPr>
      <xdr:spPr>
        <a:xfrm>
          <a:off x="20066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3</xdr:col>
      <xdr:colOff>177800</xdr:colOff>
      <xdr:row>11</xdr:row>
      <xdr:rowOff>137160</xdr:rowOff>
    </xdr:from>
    <xdr:to>
      <xdr:col>3</xdr:col>
      <xdr:colOff>381000</xdr:colOff>
      <xdr:row>13</xdr:row>
      <xdr:rowOff>5080</xdr:rowOff>
    </xdr:to>
    <xdr:sp macro="" textlink="">
      <xdr:nvSpPr>
        <xdr:cNvPr id="149" name="Rectangle 148"/>
        <xdr:cNvSpPr/>
      </xdr:nvSpPr>
      <xdr:spPr>
        <a:xfrm>
          <a:off x="20066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2</xdr:col>
      <xdr:colOff>330200</xdr:colOff>
      <xdr:row>9</xdr:row>
      <xdr:rowOff>66040</xdr:rowOff>
    </xdr:from>
    <xdr:to>
      <xdr:col>3</xdr:col>
      <xdr:colOff>381000</xdr:colOff>
      <xdr:row>10</xdr:row>
      <xdr:rowOff>25400</xdr:rowOff>
    </xdr:to>
    <xdr:sp macro="" textlink="">
      <xdr:nvSpPr>
        <xdr:cNvPr id="150" name="Rectangle 149"/>
        <xdr:cNvSpPr/>
      </xdr:nvSpPr>
      <xdr:spPr>
        <a:xfrm>
          <a:off x="15494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2</xdr:col>
      <xdr:colOff>381000</xdr:colOff>
      <xdr:row>10</xdr:row>
      <xdr:rowOff>76200</xdr:rowOff>
    </xdr:from>
    <xdr:to>
      <xdr:col>3</xdr:col>
      <xdr:colOff>327660</xdr:colOff>
      <xdr:row>11</xdr:row>
      <xdr:rowOff>114300</xdr:rowOff>
    </xdr:to>
    <xdr:pic>
      <xdr:nvPicPr>
        <xdr:cNvPr id="809958" name="Picture 15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75260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11</xdr:row>
      <xdr:rowOff>137160</xdr:rowOff>
    </xdr:from>
    <xdr:to>
      <xdr:col>3</xdr:col>
      <xdr:colOff>381000</xdr:colOff>
      <xdr:row>12</xdr:row>
      <xdr:rowOff>71120</xdr:rowOff>
    </xdr:to>
    <xdr:sp macro="" textlink="">
      <xdr:nvSpPr>
        <xdr:cNvPr id="152" name="Rectangle 151"/>
        <xdr:cNvSpPr/>
      </xdr:nvSpPr>
      <xdr:spPr>
        <a:xfrm>
          <a:off x="15494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2</xdr:col>
      <xdr:colOff>330200</xdr:colOff>
      <xdr:row>12</xdr:row>
      <xdr:rowOff>45720</xdr:rowOff>
    </xdr:from>
    <xdr:to>
      <xdr:col>3</xdr:col>
      <xdr:colOff>381000</xdr:colOff>
      <xdr:row>12</xdr:row>
      <xdr:rowOff>121920</xdr:rowOff>
    </xdr:to>
    <xdr:sp macro="" textlink="">
      <xdr:nvSpPr>
        <xdr:cNvPr id="153" name="Rectangle 152"/>
        <xdr:cNvSpPr/>
      </xdr:nvSpPr>
      <xdr:spPr>
        <a:xfrm>
          <a:off x="15494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103</a:t>
          </a:r>
        </a:p>
      </xdr:txBody>
    </xdr:sp>
    <xdr:clientData/>
  </xdr:twoCellAnchor>
  <xdr:twoCellAnchor>
    <xdr:from>
      <xdr:col>3</xdr:col>
      <xdr:colOff>381000</xdr:colOff>
      <xdr:row>9</xdr:row>
      <xdr:rowOff>27940</xdr:rowOff>
    </xdr:from>
    <xdr:to>
      <xdr:col>4</xdr:col>
      <xdr:colOff>444500</xdr:colOff>
      <xdr:row>13</xdr:row>
      <xdr:rowOff>30480</xdr:rowOff>
    </xdr:to>
    <xdr:sp macro="" textlink="">
      <xdr:nvSpPr>
        <xdr:cNvPr id="154" name="Rectangle 153"/>
        <xdr:cNvSpPr/>
      </xdr:nvSpPr>
      <xdr:spPr>
        <a:xfrm>
          <a:off x="22098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9</xdr:row>
      <xdr:rowOff>27940</xdr:rowOff>
    </xdr:from>
    <xdr:to>
      <xdr:col>10</xdr:col>
      <xdr:colOff>571500</xdr:colOff>
      <xdr:row>13</xdr:row>
      <xdr:rowOff>30480</xdr:rowOff>
    </xdr:to>
    <xdr:sp macro="" textlink="">
      <xdr:nvSpPr>
        <xdr:cNvPr id="155" name="Rectangle 154"/>
        <xdr:cNvSpPr/>
      </xdr:nvSpPr>
      <xdr:spPr>
        <a:xfrm>
          <a:off x="59944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419100</xdr:colOff>
      <xdr:row>9</xdr:row>
      <xdr:rowOff>40640</xdr:rowOff>
    </xdr:from>
    <xdr:to>
      <xdr:col>4</xdr:col>
      <xdr:colOff>12700</xdr:colOff>
      <xdr:row>10</xdr:row>
      <xdr:rowOff>76200</xdr:rowOff>
    </xdr:to>
    <xdr:sp macro="" textlink="">
      <xdr:nvSpPr>
        <xdr:cNvPr id="156" name="Rectangle 155"/>
        <xdr:cNvSpPr/>
      </xdr:nvSpPr>
      <xdr:spPr>
        <a:xfrm>
          <a:off x="22479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3</xdr:col>
      <xdr:colOff>419100</xdr:colOff>
      <xdr:row>11</xdr:row>
      <xdr:rowOff>137160</xdr:rowOff>
    </xdr:from>
    <xdr:to>
      <xdr:col>4</xdr:col>
      <xdr:colOff>12700</xdr:colOff>
      <xdr:row>13</xdr:row>
      <xdr:rowOff>5080</xdr:rowOff>
    </xdr:to>
    <xdr:sp macro="" textlink="">
      <xdr:nvSpPr>
        <xdr:cNvPr id="157" name="Rectangle 156"/>
        <xdr:cNvSpPr/>
      </xdr:nvSpPr>
      <xdr:spPr>
        <a:xfrm>
          <a:off x="22479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4</xdr:col>
      <xdr:colOff>241300</xdr:colOff>
      <xdr:row>9</xdr:row>
      <xdr:rowOff>40640</xdr:rowOff>
    </xdr:from>
    <xdr:to>
      <xdr:col>4</xdr:col>
      <xdr:colOff>444500</xdr:colOff>
      <xdr:row>10</xdr:row>
      <xdr:rowOff>76200</xdr:rowOff>
    </xdr:to>
    <xdr:sp macro="" textlink="">
      <xdr:nvSpPr>
        <xdr:cNvPr id="158" name="Rectangle 157"/>
        <xdr:cNvSpPr/>
      </xdr:nvSpPr>
      <xdr:spPr>
        <a:xfrm>
          <a:off x="26797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4</xdr:col>
      <xdr:colOff>241300</xdr:colOff>
      <xdr:row>11</xdr:row>
      <xdr:rowOff>137160</xdr:rowOff>
    </xdr:from>
    <xdr:to>
      <xdr:col>4</xdr:col>
      <xdr:colOff>444500</xdr:colOff>
      <xdr:row>13</xdr:row>
      <xdr:rowOff>5080</xdr:rowOff>
    </xdr:to>
    <xdr:sp macro="" textlink="">
      <xdr:nvSpPr>
        <xdr:cNvPr id="159" name="Rectangle 158"/>
        <xdr:cNvSpPr/>
      </xdr:nvSpPr>
      <xdr:spPr>
        <a:xfrm>
          <a:off x="26797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3</xdr:col>
      <xdr:colOff>393700</xdr:colOff>
      <xdr:row>9</xdr:row>
      <xdr:rowOff>66040</xdr:rowOff>
    </xdr:from>
    <xdr:to>
      <xdr:col>4</xdr:col>
      <xdr:colOff>444500</xdr:colOff>
      <xdr:row>10</xdr:row>
      <xdr:rowOff>25400</xdr:rowOff>
    </xdr:to>
    <xdr:sp macro="" textlink="">
      <xdr:nvSpPr>
        <xdr:cNvPr id="160" name="Rectangle 159"/>
        <xdr:cNvSpPr/>
      </xdr:nvSpPr>
      <xdr:spPr>
        <a:xfrm>
          <a:off x="22225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3</xdr:col>
      <xdr:colOff>441960</xdr:colOff>
      <xdr:row>10</xdr:row>
      <xdr:rowOff>76200</xdr:rowOff>
    </xdr:from>
    <xdr:to>
      <xdr:col>4</xdr:col>
      <xdr:colOff>396240</xdr:colOff>
      <xdr:row>11</xdr:row>
      <xdr:rowOff>114300</xdr:rowOff>
    </xdr:to>
    <xdr:pic>
      <xdr:nvPicPr>
        <xdr:cNvPr id="809968" name="Picture 16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175260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393700</xdr:colOff>
      <xdr:row>11</xdr:row>
      <xdr:rowOff>137160</xdr:rowOff>
    </xdr:from>
    <xdr:to>
      <xdr:col>4</xdr:col>
      <xdr:colOff>444500</xdr:colOff>
      <xdr:row>12</xdr:row>
      <xdr:rowOff>71120</xdr:rowOff>
    </xdr:to>
    <xdr:sp macro="" textlink="">
      <xdr:nvSpPr>
        <xdr:cNvPr id="162" name="Rectangle 161"/>
        <xdr:cNvSpPr/>
      </xdr:nvSpPr>
      <xdr:spPr>
        <a:xfrm>
          <a:off x="22225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3</xdr:col>
      <xdr:colOff>393700</xdr:colOff>
      <xdr:row>12</xdr:row>
      <xdr:rowOff>45720</xdr:rowOff>
    </xdr:from>
    <xdr:to>
      <xdr:col>4</xdr:col>
      <xdr:colOff>444500</xdr:colOff>
      <xdr:row>12</xdr:row>
      <xdr:rowOff>121920</xdr:rowOff>
    </xdr:to>
    <xdr:sp macro="" textlink="">
      <xdr:nvSpPr>
        <xdr:cNvPr id="163" name="Rectangle 162"/>
        <xdr:cNvSpPr/>
      </xdr:nvSpPr>
      <xdr:spPr>
        <a:xfrm>
          <a:off x="22225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104</a:t>
          </a:r>
        </a:p>
      </xdr:txBody>
    </xdr:sp>
    <xdr:clientData/>
  </xdr:twoCellAnchor>
  <xdr:twoCellAnchor>
    <xdr:from>
      <xdr:col>4</xdr:col>
      <xdr:colOff>444500</xdr:colOff>
      <xdr:row>9</xdr:row>
      <xdr:rowOff>27940</xdr:rowOff>
    </xdr:from>
    <xdr:to>
      <xdr:col>5</xdr:col>
      <xdr:colOff>508000</xdr:colOff>
      <xdr:row>13</xdr:row>
      <xdr:rowOff>30480</xdr:rowOff>
    </xdr:to>
    <xdr:sp macro="" textlink="">
      <xdr:nvSpPr>
        <xdr:cNvPr id="164" name="Rectangle 163"/>
        <xdr:cNvSpPr/>
      </xdr:nvSpPr>
      <xdr:spPr>
        <a:xfrm>
          <a:off x="28829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9</xdr:row>
      <xdr:rowOff>27940</xdr:rowOff>
    </xdr:from>
    <xdr:to>
      <xdr:col>9</xdr:col>
      <xdr:colOff>508000</xdr:colOff>
      <xdr:row>13</xdr:row>
      <xdr:rowOff>30480</xdr:rowOff>
    </xdr:to>
    <xdr:sp macro="" textlink="">
      <xdr:nvSpPr>
        <xdr:cNvPr id="165" name="Rectangle 164"/>
        <xdr:cNvSpPr/>
      </xdr:nvSpPr>
      <xdr:spPr>
        <a:xfrm>
          <a:off x="53213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482600</xdr:colOff>
      <xdr:row>9</xdr:row>
      <xdr:rowOff>40640</xdr:rowOff>
    </xdr:from>
    <xdr:to>
      <xdr:col>5</xdr:col>
      <xdr:colOff>76200</xdr:colOff>
      <xdr:row>10</xdr:row>
      <xdr:rowOff>76200</xdr:rowOff>
    </xdr:to>
    <xdr:sp macro="" textlink="">
      <xdr:nvSpPr>
        <xdr:cNvPr id="166" name="Rectangle 165"/>
        <xdr:cNvSpPr/>
      </xdr:nvSpPr>
      <xdr:spPr>
        <a:xfrm>
          <a:off x="29210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4</xdr:col>
      <xdr:colOff>482600</xdr:colOff>
      <xdr:row>11</xdr:row>
      <xdr:rowOff>137160</xdr:rowOff>
    </xdr:from>
    <xdr:to>
      <xdr:col>5</xdr:col>
      <xdr:colOff>76200</xdr:colOff>
      <xdr:row>13</xdr:row>
      <xdr:rowOff>5080</xdr:rowOff>
    </xdr:to>
    <xdr:sp macro="" textlink="">
      <xdr:nvSpPr>
        <xdr:cNvPr id="167" name="Rectangle 166"/>
        <xdr:cNvSpPr/>
      </xdr:nvSpPr>
      <xdr:spPr>
        <a:xfrm>
          <a:off x="29210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5</xdr:col>
      <xdr:colOff>304800</xdr:colOff>
      <xdr:row>9</xdr:row>
      <xdr:rowOff>40640</xdr:rowOff>
    </xdr:from>
    <xdr:to>
      <xdr:col>5</xdr:col>
      <xdr:colOff>508000</xdr:colOff>
      <xdr:row>10</xdr:row>
      <xdr:rowOff>76200</xdr:rowOff>
    </xdr:to>
    <xdr:sp macro="" textlink="">
      <xdr:nvSpPr>
        <xdr:cNvPr id="168" name="Rectangle 167"/>
        <xdr:cNvSpPr/>
      </xdr:nvSpPr>
      <xdr:spPr>
        <a:xfrm>
          <a:off x="33528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5</xdr:col>
      <xdr:colOff>304800</xdr:colOff>
      <xdr:row>11</xdr:row>
      <xdr:rowOff>137160</xdr:rowOff>
    </xdr:from>
    <xdr:to>
      <xdr:col>5</xdr:col>
      <xdr:colOff>508000</xdr:colOff>
      <xdr:row>13</xdr:row>
      <xdr:rowOff>5080</xdr:rowOff>
    </xdr:to>
    <xdr:sp macro="" textlink="">
      <xdr:nvSpPr>
        <xdr:cNvPr id="169" name="Rectangle 168"/>
        <xdr:cNvSpPr/>
      </xdr:nvSpPr>
      <xdr:spPr>
        <a:xfrm>
          <a:off x="33528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4</xdr:col>
      <xdr:colOff>457200</xdr:colOff>
      <xdr:row>9</xdr:row>
      <xdr:rowOff>66040</xdr:rowOff>
    </xdr:from>
    <xdr:to>
      <xdr:col>5</xdr:col>
      <xdr:colOff>508000</xdr:colOff>
      <xdr:row>10</xdr:row>
      <xdr:rowOff>25400</xdr:rowOff>
    </xdr:to>
    <xdr:sp macro="" textlink="">
      <xdr:nvSpPr>
        <xdr:cNvPr id="170" name="Rectangle 169"/>
        <xdr:cNvSpPr/>
      </xdr:nvSpPr>
      <xdr:spPr>
        <a:xfrm>
          <a:off x="28956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4</xdr:col>
      <xdr:colOff>510540</xdr:colOff>
      <xdr:row>10</xdr:row>
      <xdr:rowOff>76200</xdr:rowOff>
    </xdr:from>
    <xdr:to>
      <xdr:col>5</xdr:col>
      <xdr:colOff>457200</xdr:colOff>
      <xdr:row>11</xdr:row>
      <xdr:rowOff>114300</xdr:rowOff>
    </xdr:to>
    <xdr:pic>
      <xdr:nvPicPr>
        <xdr:cNvPr id="809978" name="Picture 17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8940" y="175260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457200</xdr:colOff>
      <xdr:row>11</xdr:row>
      <xdr:rowOff>137160</xdr:rowOff>
    </xdr:from>
    <xdr:to>
      <xdr:col>5</xdr:col>
      <xdr:colOff>508000</xdr:colOff>
      <xdr:row>12</xdr:row>
      <xdr:rowOff>71120</xdr:rowOff>
    </xdr:to>
    <xdr:sp macro="" textlink="">
      <xdr:nvSpPr>
        <xdr:cNvPr id="172" name="Rectangle 171"/>
        <xdr:cNvSpPr/>
      </xdr:nvSpPr>
      <xdr:spPr>
        <a:xfrm>
          <a:off x="28956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4</xdr:col>
      <xdr:colOff>457200</xdr:colOff>
      <xdr:row>12</xdr:row>
      <xdr:rowOff>45720</xdr:rowOff>
    </xdr:from>
    <xdr:to>
      <xdr:col>5</xdr:col>
      <xdr:colOff>508000</xdr:colOff>
      <xdr:row>12</xdr:row>
      <xdr:rowOff>121920</xdr:rowOff>
    </xdr:to>
    <xdr:sp macro="" textlink="">
      <xdr:nvSpPr>
        <xdr:cNvPr id="173" name="Rectangle 172"/>
        <xdr:cNvSpPr/>
      </xdr:nvSpPr>
      <xdr:spPr>
        <a:xfrm>
          <a:off x="28956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105</a:t>
          </a:r>
        </a:p>
      </xdr:txBody>
    </xdr:sp>
    <xdr:clientData/>
  </xdr:twoCellAnchor>
  <xdr:twoCellAnchor>
    <xdr:from>
      <xdr:col>5</xdr:col>
      <xdr:colOff>508000</xdr:colOff>
      <xdr:row>9</xdr:row>
      <xdr:rowOff>27940</xdr:rowOff>
    </xdr:from>
    <xdr:to>
      <xdr:col>6</xdr:col>
      <xdr:colOff>571500</xdr:colOff>
      <xdr:row>13</xdr:row>
      <xdr:rowOff>30480</xdr:rowOff>
    </xdr:to>
    <xdr:sp macro="" textlink="">
      <xdr:nvSpPr>
        <xdr:cNvPr id="174" name="Rectangle 173"/>
        <xdr:cNvSpPr/>
      </xdr:nvSpPr>
      <xdr:spPr>
        <a:xfrm>
          <a:off x="35560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9</xdr:row>
      <xdr:rowOff>27940</xdr:rowOff>
    </xdr:from>
    <xdr:to>
      <xdr:col>8</xdr:col>
      <xdr:colOff>444500</xdr:colOff>
      <xdr:row>13</xdr:row>
      <xdr:rowOff>30480</xdr:rowOff>
    </xdr:to>
    <xdr:sp macro="" textlink="">
      <xdr:nvSpPr>
        <xdr:cNvPr id="175" name="Rectangle 174"/>
        <xdr:cNvSpPr/>
      </xdr:nvSpPr>
      <xdr:spPr>
        <a:xfrm>
          <a:off x="4648200" y="15367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546100</xdr:colOff>
      <xdr:row>9</xdr:row>
      <xdr:rowOff>40640</xdr:rowOff>
    </xdr:from>
    <xdr:to>
      <xdr:col>6</xdr:col>
      <xdr:colOff>139700</xdr:colOff>
      <xdr:row>10</xdr:row>
      <xdr:rowOff>76200</xdr:rowOff>
    </xdr:to>
    <xdr:sp macro="" textlink="">
      <xdr:nvSpPr>
        <xdr:cNvPr id="176" name="Rectangle 175"/>
        <xdr:cNvSpPr/>
      </xdr:nvSpPr>
      <xdr:spPr>
        <a:xfrm>
          <a:off x="35941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5</xdr:col>
      <xdr:colOff>546100</xdr:colOff>
      <xdr:row>11</xdr:row>
      <xdr:rowOff>137160</xdr:rowOff>
    </xdr:from>
    <xdr:to>
      <xdr:col>6</xdr:col>
      <xdr:colOff>139700</xdr:colOff>
      <xdr:row>13</xdr:row>
      <xdr:rowOff>5080</xdr:rowOff>
    </xdr:to>
    <xdr:sp macro="" textlink="">
      <xdr:nvSpPr>
        <xdr:cNvPr id="177" name="Rectangle 176"/>
        <xdr:cNvSpPr/>
      </xdr:nvSpPr>
      <xdr:spPr>
        <a:xfrm>
          <a:off x="35941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6</xdr:col>
      <xdr:colOff>368300</xdr:colOff>
      <xdr:row>9</xdr:row>
      <xdr:rowOff>40640</xdr:rowOff>
    </xdr:from>
    <xdr:to>
      <xdr:col>6</xdr:col>
      <xdr:colOff>571500</xdr:colOff>
      <xdr:row>10</xdr:row>
      <xdr:rowOff>76200</xdr:rowOff>
    </xdr:to>
    <xdr:sp macro="" textlink="">
      <xdr:nvSpPr>
        <xdr:cNvPr id="178" name="Rectangle 177"/>
        <xdr:cNvSpPr/>
      </xdr:nvSpPr>
      <xdr:spPr>
        <a:xfrm>
          <a:off x="4025900" y="15494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6</xdr:col>
      <xdr:colOff>368300</xdr:colOff>
      <xdr:row>11</xdr:row>
      <xdr:rowOff>137160</xdr:rowOff>
    </xdr:from>
    <xdr:to>
      <xdr:col>6</xdr:col>
      <xdr:colOff>571500</xdr:colOff>
      <xdr:row>13</xdr:row>
      <xdr:rowOff>5080</xdr:rowOff>
    </xdr:to>
    <xdr:sp macro="" textlink="">
      <xdr:nvSpPr>
        <xdr:cNvPr id="179" name="Rectangle 178"/>
        <xdr:cNvSpPr/>
      </xdr:nvSpPr>
      <xdr:spPr>
        <a:xfrm>
          <a:off x="4025900" y="19812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5</xdr:col>
      <xdr:colOff>520700</xdr:colOff>
      <xdr:row>9</xdr:row>
      <xdr:rowOff>66040</xdr:rowOff>
    </xdr:from>
    <xdr:to>
      <xdr:col>6</xdr:col>
      <xdr:colOff>571500</xdr:colOff>
      <xdr:row>10</xdr:row>
      <xdr:rowOff>25400</xdr:rowOff>
    </xdr:to>
    <xdr:sp macro="" textlink="">
      <xdr:nvSpPr>
        <xdr:cNvPr id="180" name="Rectangle 179"/>
        <xdr:cNvSpPr/>
      </xdr:nvSpPr>
      <xdr:spPr>
        <a:xfrm>
          <a:off x="3568700" y="15748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5</xdr:col>
      <xdr:colOff>571500</xdr:colOff>
      <xdr:row>10</xdr:row>
      <xdr:rowOff>76200</xdr:rowOff>
    </xdr:from>
    <xdr:to>
      <xdr:col>6</xdr:col>
      <xdr:colOff>518160</xdr:colOff>
      <xdr:row>11</xdr:row>
      <xdr:rowOff>114300</xdr:rowOff>
    </xdr:to>
    <xdr:pic>
      <xdr:nvPicPr>
        <xdr:cNvPr id="813060" name="Picture 18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175260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520700</xdr:colOff>
      <xdr:row>11</xdr:row>
      <xdr:rowOff>137160</xdr:rowOff>
    </xdr:from>
    <xdr:to>
      <xdr:col>6</xdr:col>
      <xdr:colOff>571500</xdr:colOff>
      <xdr:row>12</xdr:row>
      <xdr:rowOff>71120</xdr:rowOff>
    </xdr:to>
    <xdr:sp macro="" textlink="">
      <xdr:nvSpPr>
        <xdr:cNvPr id="182" name="Rectangle 181"/>
        <xdr:cNvSpPr/>
      </xdr:nvSpPr>
      <xdr:spPr>
        <a:xfrm>
          <a:off x="3568700" y="19812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5</xdr:col>
      <xdr:colOff>520700</xdr:colOff>
      <xdr:row>12</xdr:row>
      <xdr:rowOff>45720</xdr:rowOff>
    </xdr:from>
    <xdr:to>
      <xdr:col>6</xdr:col>
      <xdr:colOff>571500</xdr:colOff>
      <xdr:row>12</xdr:row>
      <xdr:rowOff>121920</xdr:rowOff>
    </xdr:to>
    <xdr:sp macro="" textlink="">
      <xdr:nvSpPr>
        <xdr:cNvPr id="183" name="Rectangle 182"/>
        <xdr:cNvSpPr/>
      </xdr:nvSpPr>
      <xdr:spPr>
        <a:xfrm>
          <a:off x="3568700" y="20574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106</a:t>
          </a:r>
        </a:p>
      </xdr:txBody>
    </xdr:sp>
    <xdr:clientData/>
  </xdr:twoCellAnchor>
  <xdr:twoCellAnchor>
    <xdr:from>
      <xdr:col>0</xdr:col>
      <xdr:colOff>190500</xdr:colOff>
      <xdr:row>13</xdr:row>
      <xdr:rowOff>30480</xdr:rowOff>
    </xdr:from>
    <xdr:to>
      <xdr:col>1</xdr:col>
      <xdr:colOff>254000</xdr:colOff>
      <xdr:row>17</xdr:row>
      <xdr:rowOff>33020</xdr:rowOff>
    </xdr:to>
    <xdr:sp macro="" textlink="">
      <xdr:nvSpPr>
        <xdr:cNvPr id="184" name="Rectangle 183"/>
        <xdr:cNvSpPr/>
      </xdr:nvSpPr>
      <xdr:spPr>
        <a:xfrm>
          <a:off x="1905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13</xdr:col>
      <xdr:colOff>88900</xdr:colOff>
      <xdr:row>13</xdr:row>
      <xdr:rowOff>30480</xdr:rowOff>
    </xdr:from>
    <xdr:to>
      <xdr:col>14</xdr:col>
      <xdr:colOff>152400</xdr:colOff>
      <xdr:row>17</xdr:row>
      <xdr:rowOff>33020</xdr:rowOff>
    </xdr:to>
    <xdr:sp macro="" textlink="">
      <xdr:nvSpPr>
        <xdr:cNvPr id="185" name="Rectangle 184"/>
        <xdr:cNvSpPr/>
      </xdr:nvSpPr>
      <xdr:spPr>
        <a:xfrm>
          <a:off x="80137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0</xdr:col>
      <xdr:colOff>228600</xdr:colOff>
      <xdr:row>13</xdr:row>
      <xdr:rowOff>43180</xdr:rowOff>
    </xdr:from>
    <xdr:to>
      <xdr:col>0</xdr:col>
      <xdr:colOff>431800</xdr:colOff>
      <xdr:row>14</xdr:row>
      <xdr:rowOff>78740</xdr:rowOff>
    </xdr:to>
    <xdr:sp macro="" textlink="">
      <xdr:nvSpPr>
        <xdr:cNvPr id="186" name="Rectangle 185"/>
        <xdr:cNvSpPr/>
      </xdr:nvSpPr>
      <xdr:spPr>
        <a:xfrm>
          <a:off x="2286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0</xdr:col>
      <xdr:colOff>228600</xdr:colOff>
      <xdr:row>15</xdr:row>
      <xdr:rowOff>139700</xdr:rowOff>
    </xdr:from>
    <xdr:to>
      <xdr:col>0</xdr:col>
      <xdr:colOff>431800</xdr:colOff>
      <xdr:row>17</xdr:row>
      <xdr:rowOff>7620</xdr:rowOff>
    </xdr:to>
    <xdr:sp macro="" textlink="">
      <xdr:nvSpPr>
        <xdr:cNvPr id="187" name="Rectangle 186"/>
        <xdr:cNvSpPr/>
      </xdr:nvSpPr>
      <xdr:spPr>
        <a:xfrm>
          <a:off x="2286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1</xdr:col>
      <xdr:colOff>50800</xdr:colOff>
      <xdr:row>13</xdr:row>
      <xdr:rowOff>43180</xdr:rowOff>
    </xdr:from>
    <xdr:to>
      <xdr:col>1</xdr:col>
      <xdr:colOff>254000</xdr:colOff>
      <xdr:row>14</xdr:row>
      <xdr:rowOff>78740</xdr:rowOff>
    </xdr:to>
    <xdr:sp macro="" textlink="">
      <xdr:nvSpPr>
        <xdr:cNvPr id="188" name="Rectangle 187"/>
        <xdr:cNvSpPr/>
      </xdr:nvSpPr>
      <xdr:spPr>
        <a:xfrm>
          <a:off x="6604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1</xdr:col>
      <xdr:colOff>50800</xdr:colOff>
      <xdr:row>15</xdr:row>
      <xdr:rowOff>139700</xdr:rowOff>
    </xdr:from>
    <xdr:to>
      <xdr:col>1</xdr:col>
      <xdr:colOff>254000</xdr:colOff>
      <xdr:row>17</xdr:row>
      <xdr:rowOff>7620</xdr:rowOff>
    </xdr:to>
    <xdr:sp macro="" textlink="">
      <xdr:nvSpPr>
        <xdr:cNvPr id="189" name="Rectangle 188"/>
        <xdr:cNvSpPr/>
      </xdr:nvSpPr>
      <xdr:spPr>
        <a:xfrm>
          <a:off x="6604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203200</xdr:colOff>
      <xdr:row>13</xdr:row>
      <xdr:rowOff>68580</xdr:rowOff>
    </xdr:from>
    <xdr:to>
      <xdr:col>1</xdr:col>
      <xdr:colOff>254000</xdr:colOff>
      <xdr:row>14</xdr:row>
      <xdr:rowOff>27940</xdr:rowOff>
    </xdr:to>
    <xdr:sp macro="" textlink="">
      <xdr:nvSpPr>
        <xdr:cNvPr id="190" name="Rectangle 189"/>
        <xdr:cNvSpPr/>
      </xdr:nvSpPr>
      <xdr:spPr>
        <a:xfrm>
          <a:off x="203200" y="22479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0</xdr:col>
      <xdr:colOff>251460</xdr:colOff>
      <xdr:row>14</xdr:row>
      <xdr:rowOff>76200</xdr:rowOff>
    </xdr:from>
    <xdr:to>
      <xdr:col>1</xdr:col>
      <xdr:colOff>205740</xdr:colOff>
      <xdr:row>15</xdr:row>
      <xdr:rowOff>114300</xdr:rowOff>
    </xdr:to>
    <xdr:pic>
      <xdr:nvPicPr>
        <xdr:cNvPr id="813070" name="Picture 19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" y="242316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203200</xdr:colOff>
      <xdr:row>15</xdr:row>
      <xdr:rowOff>139700</xdr:rowOff>
    </xdr:from>
    <xdr:to>
      <xdr:col>1</xdr:col>
      <xdr:colOff>254000</xdr:colOff>
      <xdr:row>16</xdr:row>
      <xdr:rowOff>73660</xdr:rowOff>
    </xdr:to>
    <xdr:sp macro="" textlink="">
      <xdr:nvSpPr>
        <xdr:cNvPr id="192" name="Rectangle 191"/>
        <xdr:cNvSpPr/>
      </xdr:nvSpPr>
      <xdr:spPr>
        <a:xfrm>
          <a:off x="203200" y="26543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0</xdr:col>
      <xdr:colOff>203200</xdr:colOff>
      <xdr:row>16</xdr:row>
      <xdr:rowOff>48260</xdr:rowOff>
    </xdr:from>
    <xdr:to>
      <xdr:col>1</xdr:col>
      <xdr:colOff>254000</xdr:colOff>
      <xdr:row>16</xdr:row>
      <xdr:rowOff>124460</xdr:rowOff>
    </xdr:to>
    <xdr:sp macro="" textlink="">
      <xdr:nvSpPr>
        <xdr:cNvPr id="193" name="Rectangle 192"/>
        <xdr:cNvSpPr/>
      </xdr:nvSpPr>
      <xdr:spPr>
        <a:xfrm>
          <a:off x="203200" y="27305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107</a:t>
          </a:r>
        </a:p>
      </xdr:txBody>
    </xdr:sp>
    <xdr:clientData/>
  </xdr:twoCellAnchor>
  <xdr:twoCellAnchor>
    <xdr:from>
      <xdr:col>1</xdr:col>
      <xdr:colOff>254000</xdr:colOff>
      <xdr:row>13</xdr:row>
      <xdr:rowOff>30480</xdr:rowOff>
    </xdr:from>
    <xdr:to>
      <xdr:col>2</xdr:col>
      <xdr:colOff>317500</xdr:colOff>
      <xdr:row>17</xdr:row>
      <xdr:rowOff>33020</xdr:rowOff>
    </xdr:to>
    <xdr:sp macro="" textlink="">
      <xdr:nvSpPr>
        <xdr:cNvPr id="194" name="Rectangle 193"/>
        <xdr:cNvSpPr/>
      </xdr:nvSpPr>
      <xdr:spPr>
        <a:xfrm>
          <a:off x="8636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12</xdr:col>
      <xdr:colOff>25400</xdr:colOff>
      <xdr:row>13</xdr:row>
      <xdr:rowOff>30480</xdr:rowOff>
    </xdr:from>
    <xdr:to>
      <xdr:col>13</xdr:col>
      <xdr:colOff>88900</xdr:colOff>
      <xdr:row>17</xdr:row>
      <xdr:rowOff>33020</xdr:rowOff>
    </xdr:to>
    <xdr:sp macro="" textlink="">
      <xdr:nvSpPr>
        <xdr:cNvPr id="195" name="Rectangle 194"/>
        <xdr:cNvSpPr/>
      </xdr:nvSpPr>
      <xdr:spPr>
        <a:xfrm>
          <a:off x="73406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</xdr:col>
      <xdr:colOff>292100</xdr:colOff>
      <xdr:row>13</xdr:row>
      <xdr:rowOff>43180</xdr:rowOff>
    </xdr:from>
    <xdr:to>
      <xdr:col>1</xdr:col>
      <xdr:colOff>495300</xdr:colOff>
      <xdr:row>14</xdr:row>
      <xdr:rowOff>78740</xdr:rowOff>
    </xdr:to>
    <xdr:sp macro="" textlink="">
      <xdr:nvSpPr>
        <xdr:cNvPr id="196" name="Rectangle 195"/>
        <xdr:cNvSpPr/>
      </xdr:nvSpPr>
      <xdr:spPr>
        <a:xfrm>
          <a:off x="9017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1</xdr:col>
      <xdr:colOff>292100</xdr:colOff>
      <xdr:row>15</xdr:row>
      <xdr:rowOff>139700</xdr:rowOff>
    </xdr:from>
    <xdr:to>
      <xdr:col>1</xdr:col>
      <xdr:colOff>495300</xdr:colOff>
      <xdr:row>17</xdr:row>
      <xdr:rowOff>7620</xdr:rowOff>
    </xdr:to>
    <xdr:sp macro="" textlink="">
      <xdr:nvSpPr>
        <xdr:cNvPr id="197" name="Rectangle 196"/>
        <xdr:cNvSpPr/>
      </xdr:nvSpPr>
      <xdr:spPr>
        <a:xfrm>
          <a:off x="9017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2</xdr:col>
      <xdr:colOff>114300</xdr:colOff>
      <xdr:row>13</xdr:row>
      <xdr:rowOff>43180</xdr:rowOff>
    </xdr:from>
    <xdr:to>
      <xdr:col>2</xdr:col>
      <xdr:colOff>317500</xdr:colOff>
      <xdr:row>14</xdr:row>
      <xdr:rowOff>78740</xdr:rowOff>
    </xdr:to>
    <xdr:sp macro="" textlink="">
      <xdr:nvSpPr>
        <xdr:cNvPr id="198" name="Rectangle 197"/>
        <xdr:cNvSpPr/>
      </xdr:nvSpPr>
      <xdr:spPr>
        <a:xfrm>
          <a:off x="13335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2</xdr:col>
      <xdr:colOff>114300</xdr:colOff>
      <xdr:row>15</xdr:row>
      <xdr:rowOff>139700</xdr:rowOff>
    </xdr:from>
    <xdr:to>
      <xdr:col>2</xdr:col>
      <xdr:colOff>317500</xdr:colOff>
      <xdr:row>17</xdr:row>
      <xdr:rowOff>7620</xdr:rowOff>
    </xdr:to>
    <xdr:sp macro="" textlink="">
      <xdr:nvSpPr>
        <xdr:cNvPr id="199" name="Rectangle 198"/>
        <xdr:cNvSpPr/>
      </xdr:nvSpPr>
      <xdr:spPr>
        <a:xfrm>
          <a:off x="13335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266700</xdr:colOff>
      <xdr:row>13</xdr:row>
      <xdr:rowOff>68580</xdr:rowOff>
    </xdr:from>
    <xdr:to>
      <xdr:col>2</xdr:col>
      <xdr:colOff>317500</xdr:colOff>
      <xdr:row>14</xdr:row>
      <xdr:rowOff>27940</xdr:rowOff>
    </xdr:to>
    <xdr:sp macro="" textlink="">
      <xdr:nvSpPr>
        <xdr:cNvPr id="200" name="Rectangle 199"/>
        <xdr:cNvSpPr/>
      </xdr:nvSpPr>
      <xdr:spPr>
        <a:xfrm>
          <a:off x="876300" y="22479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1</xdr:col>
      <xdr:colOff>320040</xdr:colOff>
      <xdr:row>14</xdr:row>
      <xdr:rowOff>76200</xdr:rowOff>
    </xdr:from>
    <xdr:to>
      <xdr:col>2</xdr:col>
      <xdr:colOff>266700</xdr:colOff>
      <xdr:row>15</xdr:row>
      <xdr:rowOff>114300</xdr:rowOff>
    </xdr:to>
    <xdr:pic>
      <xdr:nvPicPr>
        <xdr:cNvPr id="813080" name="Picture 20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24231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266700</xdr:colOff>
      <xdr:row>15</xdr:row>
      <xdr:rowOff>139700</xdr:rowOff>
    </xdr:from>
    <xdr:to>
      <xdr:col>2</xdr:col>
      <xdr:colOff>317500</xdr:colOff>
      <xdr:row>16</xdr:row>
      <xdr:rowOff>73660</xdr:rowOff>
    </xdr:to>
    <xdr:sp macro="" textlink="">
      <xdr:nvSpPr>
        <xdr:cNvPr id="202" name="Rectangle 201"/>
        <xdr:cNvSpPr/>
      </xdr:nvSpPr>
      <xdr:spPr>
        <a:xfrm>
          <a:off x="876300" y="26543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1</xdr:col>
      <xdr:colOff>266700</xdr:colOff>
      <xdr:row>16</xdr:row>
      <xdr:rowOff>48260</xdr:rowOff>
    </xdr:from>
    <xdr:to>
      <xdr:col>2</xdr:col>
      <xdr:colOff>317500</xdr:colOff>
      <xdr:row>16</xdr:row>
      <xdr:rowOff>124460</xdr:rowOff>
    </xdr:to>
    <xdr:sp macro="" textlink="">
      <xdr:nvSpPr>
        <xdr:cNvPr id="203" name="Rectangle 202"/>
        <xdr:cNvSpPr/>
      </xdr:nvSpPr>
      <xdr:spPr>
        <a:xfrm>
          <a:off x="876300" y="27305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108</a:t>
          </a:r>
        </a:p>
      </xdr:txBody>
    </xdr:sp>
    <xdr:clientData/>
  </xdr:twoCellAnchor>
  <xdr:twoCellAnchor>
    <xdr:from>
      <xdr:col>2</xdr:col>
      <xdr:colOff>317500</xdr:colOff>
      <xdr:row>13</xdr:row>
      <xdr:rowOff>30480</xdr:rowOff>
    </xdr:from>
    <xdr:to>
      <xdr:col>3</xdr:col>
      <xdr:colOff>381000</xdr:colOff>
      <xdr:row>17</xdr:row>
      <xdr:rowOff>33020</xdr:rowOff>
    </xdr:to>
    <xdr:sp macro="" textlink="">
      <xdr:nvSpPr>
        <xdr:cNvPr id="204" name="Rectangle 203"/>
        <xdr:cNvSpPr/>
      </xdr:nvSpPr>
      <xdr:spPr>
        <a:xfrm>
          <a:off x="15367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10</xdr:col>
      <xdr:colOff>571500</xdr:colOff>
      <xdr:row>13</xdr:row>
      <xdr:rowOff>30480</xdr:rowOff>
    </xdr:from>
    <xdr:to>
      <xdr:col>12</xdr:col>
      <xdr:colOff>25400</xdr:colOff>
      <xdr:row>17</xdr:row>
      <xdr:rowOff>33020</xdr:rowOff>
    </xdr:to>
    <xdr:sp macro="" textlink="">
      <xdr:nvSpPr>
        <xdr:cNvPr id="205" name="Rectangle 204"/>
        <xdr:cNvSpPr/>
      </xdr:nvSpPr>
      <xdr:spPr>
        <a:xfrm>
          <a:off x="66675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2</xdr:col>
      <xdr:colOff>355600</xdr:colOff>
      <xdr:row>13</xdr:row>
      <xdr:rowOff>43180</xdr:rowOff>
    </xdr:from>
    <xdr:to>
      <xdr:col>2</xdr:col>
      <xdr:colOff>558800</xdr:colOff>
      <xdr:row>14</xdr:row>
      <xdr:rowOff>78740</xdr:rowOff>
    </xdr:to>
    <xdr:sp macro="" textlink="">
      <xdr:nvSpPr>
        <xdr:cNvPr id="206" name="Rectangle 205"/>
        <xdr:cNvSpPr/>
      </xdr:nvSpPr>
      <xdr:spPr>
        <a:xfrm>
          <a:off x="15748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2</xdr:col>
      <xdr:colOff>355600</xdr:colOff>
      <xdr:row>15</xdr:row>
      <xdr:rowOff>139700</xdr:rowOff>
    </xdr:from>
    <xdr:to>
      <xdr:col>2</xdr:col>
      <xdr:colOff>558800</xdr:colOff>
      <xdr:row>17</xdr:row>
      <xdr:rowOff>7620</xdr:rowOff>
    </xdr:to>
    <xdr:sp macro="" textlink="">
      <xdr:nvSpPr>
        <xdr:cNvPr id="207" name="Rectangle 206"/>
        <xdr:cNvSpPr/>
      </xdr:nvSpPr>
      <xdr:spPr>
        <a:xfrm>
          <a:off x="15748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3</xdr:col>
      <xdr:colOff>177800</xdr:colOff>
      <xdr:row>13</xdr:row>
      <xdr:rowOff>43180</xdr:rowOff>
    </xdr:from>
    <xdr:to>
      <xdr:col>3</xdr:col>
      <xdr:colOff>381000</xdr:colOff>
      <xdr:row>14</xdr:row>
      <xdr:rowOff>78740</xdr:rowOff>
    </xdr:to>
    <xdr:sp macro="" textlink="">
      <xdr:nvSpPr>
        <xdr:cNvPr id="208" name="Rectangle 207"/>
        <xdr:cNvSpPr/>
      </xdr:nvSpPr>
      <xdr:spPr>
        <a:xfrm>
          <a:off x="20066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3</xdr:col>
      <xdr:colOff>177800</xdr:colOff>
      <xdr:row>15</xdr:row>
      <xdr:rowOff>139700</xdr:rowOff>
    </xdr:from>
    <xdr:to>
      <xdr:col>3</xdr:col>
      <xdr:colOff>381000</xdr:colOff>
      <xdr:row>17</xdr:row>
      <xdr:rowOff>7620</xdr:rowOff>
    </xdr:to>
    <xdr:sp macro="" textlink="">
      <xdr:nvSpPr>
        <xdr:cNvPr id="209" name="Rectangle 208"/>
        <xdr:cNvSpPr/>
      </xdr:nvSpPr>
      <xdr:spPr>
        <a:xfrm>
          <a:off x="20066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2</xdr:col>
      <xdr:colOff>330200</xdr:colOff>
      <xdr:row>13</xdr:row>
      <xdr:rowOff>68580</xdr:rowOff>
    </xdr:from>
    <xdr:to>
      <xdr:col>3</xdr:col>
      <xdr:colOff>381000</xdr:colOff>
      <xdr:row>14</xdr:row>
      <xdr:rowOff>27940</xdr:rowOff>
    </xdr:to>
    <xdr:sp macro="" textlink="">
      <xdr:nvSpPr>
        <xdr:cNvPr id="210" name="Rectangle 209"/>
        <xdr:cNvSpPr/>
      </xdr:nvSpPr>
      <xdr:spPr>
        <a:xfrm>
          <a:off x="1549400" y="22479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2</xdr:col>
      <xdr:colOff>381000</xdr:colOff>
      <xdr:row>14</xdr:row>
      <xdr:rowOff>76200</xdr:rowOff>
    </xdr:from>
    <xdr:to>
      <xdr:col>3</xdr:col>
      <xdr:colOff>327660</xdr:colOff>
      <xdr:row>15</xdr:row>
      <xdr:rowOff>114300</xdr:rowOff>
    </xdr:to>
    <xdr:pic>
      <xdr:nvPicPr>
        <xdr:cNvPr id="813090" name="Picture 21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423160"/>
          <a:ext cx="5562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15</xdr:row>
      <xdr:rowOff>139700</xdr:rowOff>
    </xdr:from>
    <xdr:to>
      <xdr:col>3</xdr:col>
      <xdr:colOff>381000</xdr:colOff>
      <xdr:row>16</xdr:row>
      <xdr:rowOff>73660</xdr:rowOff>
    </xdr:to>
    <xdr:sp macro="" textlink="">
      <xdr:nvSpPr>
        <xdr:cNvPr id="212" name="Rectangle 211"/>
        <xdr:cNvSpPr/>
      </xdr:nvSpPr>
      <xdr:spPr>
        <a:xfrm>
          <a:off x="1549400" y="26543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2</xdr:col>
      <xdr:colOff>330200</xdr:colOff>
      <xdr:row>16</xdr:row>
      <xdr:rowOff>48260</xdr:rowOff>
    </xdr:from>
    <xdr:to>
      <xdr:col>3</xdr:col>
      <xdr:colOff>381000</xdr:colOff>
      <xdr:row>16</xdr:row>
      <xdr:rowOff>124460</xdr:rowOff>
    </xdr:to>
    <xdr:sp macro="" textlink="">
      <xdr:nvSpPr>
        <xdr:cNvPr id="213" name="Rectangle 212"/>
        <xdr:cNvSpPr/>
      </xdr:nvSpPr>
      <xdr:spPr>
        <a:xfrm>
          <a:off x="1549400" y="27305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109</a:t>
          </a:r>
        </a:p>
      </xdr:txBody>
    </xdr:sp>
    <xdr:clientData/>
  </xdr:twoCellAnchor>
  <xdr:twoCellAnchor>
    <xdr:from>
      <xdr:col>3</xdr:col>
      <xdr:colOff>381000</xdr:colOff>
      <xdr:row>13</xdr:row>
      <xdr:rowOff>30480</xdr:rowOff>
    </xdr:from>
    <xdr:to>
      <xdr:col>4</xdr:col>
      <xdr:colOff>444500</xdr:colOff>
      <xdr:row>17</xdr:row>
      <xdr:rowOff>33020</xdr:rowOff>
    </xdr:to>
    <xdr:sp macro="" textlink="">
      <xdr:nvSpPr>
        <xdr:cNvPr id="214" name="Rectangle 213"/>
        <xdr:cNvSpPr/>
      </xdr:nvSpPr>
      <xdr:spPr>
        <a:xfrm>
          <a:off x="22098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508000</xdr:colOff>
      <xdr:row>13</xdr:row>
      <xdr:rowOff>30480</xdr:rowOff>
    </xdr:from>
    <xdr:to>
      <xdr:col>10</xdr:col>
      <xdr:colOff>571500</xdr:colOff>
      <xdr:row>17</xdr:row>
      <xdr:rowOff>33020</xdr:rowOff>
    </xdr:to>
    <xdr:sp macro="" textlink="">
      <xdr:nvSpPr>
        <xdr:cNvPr id="215" name="Rectangle 214"/>
        <xdr:cNvSpPr/>
      </xdr:nvSpPr>
      <xdr:spPr>
        <a:xfrm>
          <a:off x="5994400" y="2209800"/>
          <a:ext cx="673100" cy="673100"/>
        </a:xfrm>
        <a:prstGeom prst="rect">
          <a:avLst/>
        </a:prstGeom>
        <a:solidFill>
          <a:srgbClr val="CC99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3</xdr:col>
      <xdr:colOff>419100</xdr:colOff>
      <xdr:row>13</xdr:row>
      <xdr:rowOff>43180</xdr:rowOff>
    </xdr:from>
    <xdr:to>
      <xdr:col>4</xdr:col>
      <xdr:colOff>12700</xdr:colOff>
      <xdr:row>14</xdr:row>
      <xdr:rowOff>78740</xdr:rowOff>
    </xdr:to>
    <xdr:sp macro="" textlink="">
      <xdr:nvSpPr>
        <xdr:cNvPr id="216" name="Rectangle 215"/>
        <xdr:cNvSpPr/>
      </xdr:nvSpPr>
      <xdr:spPr>
        <a:xfrm>
          <a:off x="22479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16</a:t>
          </a:r>
        </a:p>
      </xdr:txBody>
    </xdr:sp>
    <xdr:clientData/>
  </xdr:twoCellAnchor>
  <xdr:twoCellAnchor editAs="absolute">
    <xdr:from>
      <xdr:col>3</xdr:col>
      <xdr:colOff>419100</xdr:colOff>
      <xdr:row>15</xdr:row>
      <xdr:rowOff>139700</xdr:rowOff>
    </xdr:from>
    <xdr:to>
      <xdr:col>4</xdr:col>
      <xdr:colOff>12700</xdr:colOff>
      <xdr:row>17</xdr:row>
      <xdr:rowOff>7620</xdr:rowOff>
    </xdr:to>
    <xdr:sp macro="" textlink="">
      <xdr:nvSpPr>
        <xdr:cNvPr id="217" name="Rectangle 216"/>
        <xdr:cNvSpPr/>
      </xdr:nvSpPr>
      <xdr:spPr>
        <a:xfrm>
          <a:off x="22479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4</xdr:col>
      <xdr:colOff>241300</xdr:colOff>
      <xdr:row>13</xdr:row>
      <xdr:rowOff>43180</xdr:rowOff>
    </xdr:from>
    <xdr:to>
      <xdr:col>4</xdr:col>
      <xdr:colOff>444500</xdr:colOff>
      <xdr:row>14</xdr:row>
      <xdr:rowOff>78740</xdr:rowOff>
    </xdr:to>
    <xdr:sp macro="" textlink="">
      <xdr:nvSpPr>
        <xdr:cNvPr id="218" name="Rectangle 217"/>
        <xdr:cNvSpPr/>
      </xdr:nvSpPr>
      <xdr:spPr>
        <a:xfrm>
          <a:off x="2679700" y="22225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4</xdr:col>
      <xdr:colOff>241300</xdr:colOff>
      <xdr:row>15</xdr:row>
      <xdr:rowOff>139700</xdr:rowOff>
    </xdr:from>
    <xdr:to>
      <xdr:col>4</xdr:col>
      <xdr:colOff>444500</xdr:colOff>
      <xdr:row>17</xdr:row>
      <xdr:rowOff>7620</xdr:rowOff>
    </xdr:to>
    <xdr:sp macro="" textlink="">
      <xdr:nvSpPr>
        <xdr:cNvPr id="219" name="Rectangle 218"/>
        <xdr:cNvSpPr/>
      </xdr:nvSpPr>
      <xdr:spPr>
        <a:xfrm>
          <a:off x="2679700" y="2654300"/>
          <a:ext cx="203200" cy="203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3</xdr:col>
      <xdr:colOff>393700</xdr:colOff>
      <xdr:row>13</xdr:row>
      <xdr:rowOff>68580</xdr:rowOff>
    </xdr:from>
    <xdr:to>
      <xdr:col>4</xdr:col>
      <xdr:colOff>444500</xdr:colOff>
      <xdr:row>14</xdr:row>
      <xdr:rowOff>27940</xdr:rowOff>
    </xdr:to>
    <xdr:sp macro="" textlink="">
      <xdr:nvSpPr>
        <xdr:cNvPr id="220" name="Rectangle 219"/>
        <xdr:cNvSpPr/>
      </xdr:nvSpPr>
      <xdr:spPr>
        <a:xfrm>
          <a:off x="2222500" y="2247900"/>
          <a:ext cx="660400" cy="1270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A</a:t>
          </a:r>
        </a:p>
      </xdr:txBody>
    </xdr:sp>
    <xdr:clientData/>
  </xdr:twoCellAnchor>
  <xdr:twoCellAnchor editAs="oneCell">
    <xdr:from>
      <xdr:col>3</xdr:col>
      <xdr:colOff>441960</xdr:colOff>
      <xdr:row>14</xdr:row>
      <xdr:rowOff>76200</xdr:rowOff>
    </xdr:from>
    <xdr:to>
      <xdr:col>4</xdr:col>
      <xdr:colOff>396240</xdr:colOff>
      <xdr:row>15</xdr:row>
      <xdr:rowOff>114300</xdr:rowOff>
    </xdr:to>
    <xdr:pic>
      <xdr:nvPicPr>
        <xdr:cNvPr id="813100" name="Picture 22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0760" y="2423160"/>
          <a:ext cx="56388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393700</xdr:colOff>
      <xdr:row>15</xdr:row>
      <xdr:rowOff>139700</xdr:rowOff>
    </xdr:from>
    <xdr:to>
      <xdr:col>4</xdr:col>
      <xdr:colOff>444500</xdr:colOff>
      <xdr:row>16</xdr:row>
      <xdr:rowOff>73660</xdr:rowOff>
    </xdr:to>
    <xdr:sp macro="" textlink="">
      <xdr:nvSpPr>
        <xdr:cNvPr id="222" name="Rectangle 221"/>
        <xdr:cNvSpPr/>
      </xdr:nvSpPr>
      <xdr:spPr>
        <a:xfrm>
          <a:off x="2222500" y="2654300"/>
          <a:ext cx="660400" cy="1016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T-34/85</a:t>
          </a:r>
        </a:p>
      </xdr:txBody>
    </xdr:sp>
    <xdr:clientData/>
  </xdr:twoCellAnchor>
  <xdr:twoCellAnchor editAs="absolute">
    <xdr:from>
      <xdr:col>3</xdr:col>
      <xdr:colOff>393700</xdr:colOff>
      <xdr:row>16</xdr:row>
      <xdr:rowOff>48260</xdr:rowOff>
    </xdr:from>
    <xdr:to>
      <xdr:col>4</xdr:col>
      <xdr:colOff>444500</xdr:colOff>
      <xdr:row>16</xdr:row>
      <xdr:rowOff>124460</xdr:rowOff>
    </xdr:to>
    <xdr:sp macro="" textlink="">
      <xdr:nvSpPr>
        <xdr:cNvPr id="223" name="Rectangle 222"/>
        <xdr:cNvSpPr/>
      </xdr:nvSpPr>
      <xdr:spPr>
        <a:xfrm>
          <a:off x="2222500" y="2730500"/>
          <a:ext cx="660400" cy="76200"/>
        </a:xfrm>
        <a:prstGeom prst="rect">
          <a:avLst/>
        </a:prstGeom>
        <a:solidFill>
          <a:srgbClr val="0000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110</a:t>
          </a:r>
        </a:p>
      </xdr:txBody>
    </xdr:sp>
    <xdr:clientData/>
  </xdr:twoCellAnchor>
  <xdr:twoCellAnchor>
    <xdr:from>
      <xdr:col>4</xdr:col>
      <xdr:colOff>444500</xdr:colOff>
      <xdr:row>13</xdr:row>
      <xdr:rowOff>30480</xdr:rowOff>
    </xdr:from>
    <xdr:to>
      <xdr:col>5</xdr:col>
      <xdr:colOff>508000</xdr:colOff>
      <xdr:row>17</xdr:row>
      <xdr:rowOff>33020</xdr:rowOff>
    </xdr:to>
    <xdr:sp macro="" textlink="">
      <xdr:nvSpPr>
        <xdr:cNvPr id="224" name="Rectangle 223"/>
        <xdr:cNvSpPr/>
      </xdr:nvSpPr>
      <xdr:spPr>
        <a:xfrm>
          <a:off x="2882900" y="2209800"/>
          <a:ext cx="673100" cy="673100"/>
        </a:xfrm>
        <a:prstGeom prst="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8</xdr:col>
      <xdr:colOff>444500</xdr:colOff>
      <xdr:row>13</xdr:row>
      <xdr:rowOff>30480</xdr:rowOff>
    </xdr:from>
    <xdr:to>
      <xdr:col>9</xdr:col>
      <xdr:colOff>508000</xdr:colOff>
      <xdr:row>17</xdr:row>
      <xdr:rowOff>33020</xdr:rowOff>
    </xdr:to>
    <xdr:sp macro="" textlink="">
      <xdr:nvSpPr>
        <xdr:cNvPr id="225" name="Rectangle 224"/>
        <xdr:cNvSpPr/>
      </xdr:nvSpPr>
      <xdr:spPr>
        <a:xfrm>
          <a:off x="5321300" y="2209800"/>
          <a:ext cx="673100" cy="673100"/>
        </a:xfrm>
        <a:prstGeom prst="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4</xdr:col>
      <xdr:colOff>482600</xdr:colOff>
      <xdr:row>13</xdr:row>
      <xdr:rowOff>43180</xdr:rowOff>
    </xdr:from>
    <xdr:to>
      <xdr:col>5</xdr:col>
      <xdr:colOff>76200</xdr:colOff>
      <xdr:row>14</xdr:row>
      <xdr:rowOff>78740</xdr:rowOff>
    </xdr:to>
    <xdr:sp macro="" textlink="">
      <xdr:nvSpPr>
        <xdr:cNvPr id="226" name="Rectangle 225"/>
        <xdr:cNvSpPr/>
      </xdr:nvSpPr>
      <xdr:spPr>
        <a:xfrm>
          <a:off x="2921000" y="22225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4</xdr:col>
      <xdr:colOff>482600</xdr:colOff>
      <xdr:row>15</xdr:row>
      <xdr:rowOff>139700</xdr:rowOff>
    </xdr:from>
    <xdr:to>
      <xdr:col>5</xdr:col>
      <xdr:colOff>76200</xdr:colOff>
      <xdr:row>17</xdr:row>
      <xdr:rowOff>7620</xdr:rowOff>
    </xdr:to>
    <xdr:sp macro="" textlink="">
      <xdr:nvSpPr>
        <xdr:cNvPr id="227" name="Rectangle 226"/>
        <xdr:cNvSpPr/>
      </xdr:nvSpPr>
      <xdr:spPr>
        <a:xfrm>
          <a:off x="2921000" y="26543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5</xdr:col>
      <xdr:colOff>304800</xdr:colOff>
      <xdr:row>13</xdr:row>
      <xdr:rowOff>43180</xdr:rowOff>
    </xdr:from>
    <xdr:to>
      <xdr:col>5</xdr:col>
      <xdr:colOff>508000</xdr:colOff>
      <xdr:row>14</xdr:row>
      <xdr:rowOff>78740</xdr:rowOff>
    </xdr:to>
    <xdr:sp macro="" textlink="">
      <xdr:nvSpPr>
        <xdr:cNvPr id="228" name="Rectangle 227"/>
        <xdr:cNvSpPr/>
      </xdr:nvSpPr>
      <xdr:spPr>
        <a:xfrm>
          <a:off x="3352800" y="22225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5</xdr:col>
      <xdr:colOff>304800</xdr:colOff>
      <xdr:row>15</xdr:row>
      <xdr:rowOff>139700</xdr:rowOff>
    </xdr:from>
    <xdr:to>
      <xdr:col>5</xdr:col>
      <xdr:colOff>508000</xdr:colOff>
      <xdr:row>17</xdr:row>
      <xdr:rowOff>7620</xdr:rowOff>
    </xdr:to>
    <xdr:sp macro="" textlink="">
      <xdr:nvSpPr>
        <xdr:cNvPr id="229" name="Rectangle 228"/>
        <xdr:cNvSpPr/>
      </xdr:nvSpPr>
      <xdr:spPr>
        <a:xfrm>
          <a:off x="3352800" y="26543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4</xdr:col>
      <xdr:colOff>457200</xdr:colOff>
      <xdr:row>13</xdr:row>
      <xdr:rowOff>68580</xdr:rowOff>
    </xdr:from>
    <xdr:to>
      <xdr:col>5</xdr:col>
      <xdr:colOff>508000</xdr:colOff>
      <xdr:row>14</xdr:row>
      <xdr:rowOff>27940</xdr:rowOff>
    </xdr:to>
    <xdr:sp macro="" textlink="">
      <xdr:nvSpPr>
        <xdr:cNvPr id="230" name="Rectangle 229"/>
        <xdr:cNvSpPr/>
      </xdr:nvSpPr>
      <xdr:spPr>
        <a:xfrm>
          <a:off x="2895600" y="2247900"/>
          <a:ext cx="660400" cy="1270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oneCell">
    <xdr:from>
      <xdr:col>5</xdr:col>
      <xdr:colOff>22860</xdr:colOff>
      <xdr:row>14</xdr:row>
      <xdr:rowOff>106680</xdr:rowOff>
    </xdr:from>
    <xdr:to>
      <xdr:col>5</xdr:col>
      <xdr:colOff>327660</xdr:colOff>
      <xdr:row>15</xdr:row>
      <xdr:rowOff>114300</xdr:rowOff>
    </xdr:to>
    <xdr:pic>
      <xdr:nvPicPr>
        <xdr:cNvPr id="813110" name="Picture 2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" y="2453640"/>
          <a:ext cx="30480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584200</xdr:colOff>
      <xdr:row>14</xdr:row>
      <xdr:rowOff>2540</xdr:rowOff>
    </xdr:from>
    <xdr:to>
      <xdr:col>5</xdr:col>
      <xdr:colOff>381000</xdr:colOff>
      <xdr:row>14</xdr:row>
      <xdr:rowOff>104140</xdr:rowOff>
    </xdr:to>
    <xdr:sp macro="" textlink="">
      <xdr:nvSpPr>
        <xdr:cNvPr id="232" name="Rectangle 231"/>
        <xdr:cNvSpPr/>
      </xdr:nvSpPr>
      <xdr:spPr>
        <a:xfrm>
          <a:off x="3022600" y="2349500"/>
          <a:ext cx="406400" cy="1016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1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absolute">
    <xdr:from>
      <xdr:col>4</xdr:col>
      <xdr:colOff>457200</xdr:colOff>
      <xdr:row>15</xdr:row>
      <xdr:rowOff>139700</xdr:rowOff>
    </xdr:from>
    <xdr:to>
      <xdr:col>5</xdr:col>
      <xdr:colOff>508000</xdr:colOff>
      <xdr:row>16</xdr:row>
      <xdr:rowOff>73660</xdr:rowOff>
    </xdr:to>
    <xdr:sp macro="" textlink="">
      <xdr:nvSpPr>
        <xdr:cNvPr id="233" name="Rectangle 232"/>
        <xdr:cNvSpPr/>
      </xdr:nvSpPr>
      <xdr:spPr>
        <a:xfrm>
          <a:off x="2895600" y="2654300"/>
          <a:ext cx="660400" cy="1016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RIFLE</a:t>
          </a:r>
        </a:p>
      </xdr:txBody>
    </xdr:sp>
    <xdr:clientData/>
  </xdr:twoCellAnchor>
  <xdr:twoCellAnchor editAs="absolute">
    <xdr:from>
      <xdr:col>4</xdr:col>
      <xdr:colOff>457200</xdr:colOff>
      <xdr:row>16</xdr:row>
      <xdr:rowOff>48260</xdr:rowOff>
    </xdr:from>
    <xdr:to>
      <xdr:col>5</xdr:col>
      <xdr:colOff>508000</xdr:colOff>
      <xdr:row>16</xdr:row>
      <xdr:rowOff>124460</xdr:rowOff>
    </xdr:to>
    <xdr:sp macro="" textlink="">
      <xdr:nvSpPr>
        <xdr:cNvPr id="234" name="Rectangle 233"/>
        <xdr:cNvSpPr/>
      </xdr:nvSpPr>
      <xdr:spPr>
        <a:xfrm>
          <a:off x="2895600" y="2730500"/>
          <a:ext cx="660400" cy="76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201</a:t>
          </a:r>
        </a:p>
      </xdr:txBody>
    </xdr:sp>
    <xdr:clientData/>
  </xdr:twoCellAnchor>
  <xdr:twoCellAnchor>
    <xdr:from>
      <xdr:col>5</xdr:col>
      <xdr:colOff>508000</xdr:colOff>
      <xdr:row>13</xdr:row>
      <xdr:rowOff>30480</xdr:rowOff>
    </xdr:from>
    <xdr:to>
      <xdr:col>6</xdr:col>
      <xdr:colOff>571500</xdr:colOff>
      <xdr:row>17</xdr:row>
      <xdr:rowOff>33020</xdr:rowOff>
    </xdr:to>
    <xdr:sp macro="" textlink="">
      <xdr:nvSpPr>
        <xdr:cNvPr id="235" name="Rectangle 234"/>
        <xdr:cNvSpPr/>
      </xdr:nvSpPr>
      <xdr:spPr>
        <a:xfrm>
          <a:off x="3556000" y="2209800"/>
          <a:ext cx="673100" cy="673100"/>
        </a:xfrm>
        <a:prstGeom prst="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7</xdr:col>
      <xdr:colOff>381000</xdr:colOff>
      <xdr:row>13</xdr:row>
      <xdr:rowOff>30480</xdr:rowOff>
    </xdr:from>
    <xdr:to>
      <xdr:col>8</xdr:col>
      <xdr:colOff>444500</xdr:colOff>
      <xdr:row>17</xdr:row>
      <xdr:rowOff>33020</xdr:rowOff>
    </xdr:to>
    <xdr:sp macro="" textlink="">
      <xdr:nvSpPr>
        <xdr:cNvPr id="236" name="Rectangle 235"/>
        <xdr:cNvSpPr/>
      </xdr:nvSpPr>
      <xdr:spPr>
        <a:xfrm>
          <a:off x="4648200" y="2209800"/>
          <a:ext cx="673100" cy="673100"/>
        </a:xfrm>
        <a:prstGeom prst="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5</xdr:col>
      <xdr:colOff>546100</xdr:colOff>
      <xdr:row>13</xdr:row>
      <xdr:rowOff>43180</xdr:rowOff>
    </xdr:from>
    <xdr:to>
      <xdr:col>6</xdr:col>
      <xdr:colOff>139700</xdr:colOff>
      <xdr:row>14</xdr:row>
      <xdr:rowOff>78740</xdr:rowOff>
    </xdr:to>
    <xdr:sp macro="" textlink="">
      <xdr:nvSpPr>
        <xdr:cNvPr id="237" name="Rectangle 236"/>
        <xdr:cNvSpPr/>
      </xdr:nvSpPr>
      <xdr:spPr>
        <a:xfrm>
          <a:off x="3594100" y="22225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5</xdr:col>
      <xdr:colOff>546100</xdr:colOff>
      <xdr:row>15</xdr:row>
      <xdr:rowOff>139700</xdr:rowOff>
    </xdr:from>
    <xdr:to>
      <xdr:col>6</xdr:col>
      <xdr:colOff>139700</xdr:colOff>
      <xdr:row>17</xdr:row>
      <xdr:rowOff>7620</xdr:rowOff>
    </xdr:to>
    <xdr:sp macro="" textlink="">
      <xdr:nvSpPr>
        <xdr:cNvPr id="238" name="Rectangle 237"/>
        <xdr:cNvSpPr/>
      </xdr:nvSpPr>
      <xdr:spPr>
        <a:xfrm>
          <a:off x="3594100" y="26543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6</xdr:col>
      <xdr:colOff>368300</xdr:colOff>
      <xdr:row>13</xdr:row>
      <xdr:rowOff>43180</xdr:rowOff>
    </xdr:from>
    <xdr:to>
      <xdr:col>6</xdr:col>
      <xdr:colOff>571500</xdr:colOff>
      <xdr:row>14</xdr:row>
      <xdr:rowOff>78740</xdr:rowOff>
    </xdr:to>
    <xdr:sp macro="" textlink="">
      <xdr:nvSpPr>
        <xdr:cNvPr id="239" name="Rectangle 238"/>
        <xdr:cNvSpPr/>
      </xdr:nvSpPr>
      <xdr:spPr>
        <a:xfrm>
          <a:off x="4025900" y="22225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6</xdr:col>
      <xdr:colOff>368300</xdr:colOff>
      <xdr:row>15</xdr:row>
      <xdr:rowOff>139700</xdr:rowOff>
    </xdr:from>
    <xdr:to>
      <xdr:col>6</xdr:col>
      <xdr:colOff>571500</xdr:colOff>
      <xdr:row>17</xdr:row>
      <xdr:rowOff>7620</xdr:rowOff>
    </xdr:to>
    <xdr:sp macro="" textlink="">
      <xdr:nvSpPr>
        <xdr:cNvPr id="240" name="Rectangle 239"/>
        <xdr:cNvSpPr/>
      </xdr:nvSpPr>
      <xdr:spPr>
        <a:xfrm>
          <a:off x="4025900" y="2654300"/>
          <a:ext cx="203200" cy="203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1200" b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5</xdr:col>
      <xdr:colOff>520700</xdr:colOff>
      <xdr:row>13</xdr:row>
      <xdr:rowOff>68580</xdr:rowOff>
    </xdr:from>
    <xdr:to>
      <xdr:col>6</xdr:col>
      <xdr:colOff>571500</xdr:colOff>
      <xdr:row>14</xdr:row>
      <xdr:rowOff>27940</xdr:rowOff>
    </xdr:to>
    <xdr:sp macro="" textlink="">
      <xdr:nvSpPr>
        <xdr:cNvPr id="241" name="Rectangle 240"/>
        <xdr:cNvSpPr/>
      </xdr:nvSpPr>
      <xdr:spPr>
        <a:xfrm>
          <a:off x="3568700" y="2247900"/>
          <a:ext cx="660400" cy="1270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800" b="0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oneCell">
    <xdr:from>
      <xdr:col>6</xdr:col>
      <xdr:colOff>91440</xdr:colOff>
      <xdr:row>14</xdr:row>
      <xdr:rowOff>106680</xdr:rowOff>
    </xdr:from>
    <xdr:to>
      <xdr:col>6</xdr:col>
      <xdr:colOff>396240</xdr:colOff>
      <xdr:row>15</xdr:row>
      <xdr:rowOff>114300</xdr:rowOff>
    </xdr:to>
    <xdr:pic>
      <xdr:nvPicPr>
        <xdr:cNvPr id="813121" name="Picture 2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9040" y="2453640"/>
          <a:ext cx="30480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38100</xdr:colOff>
      <xdr:row>14</xdr:row>
      <xdr:rowOff>2540</xdr:rowOff>
    </xdr:from>
    <xdr:to>
      <xdr:col>6</xdr:col>
      <xdr:colOff>444500</xdr:colOff>
      <xdr:row>14</xdr:row>
      <xdr:rowOff>104140</xdr:rowOff>
    </xdr:to>
    <xdr:sp macro="" textlink="">
      <xdr:nvSpPr>
        <xdr:cNvPr id="243" name="Rectangle 242"/>
        <xdr:cNvSpPr/>
      </xdr:nvSpPr>
      <xdr:spPr>
        <a:xfrm>
          <a:off x="3695700" y="2349500"/>
          <a:ext cx="406400" cy="1016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1">
              <a:solidFill>
                <a:srgbClr val="000000"/>
              </a:solidFill>
              <a:latin typeface=""/>
            </a:rPr>
            <a:t>I</a:t>
          </a:r>
        </a:p>
      </xdr:txBody>
    </xdr:sp>
    <xdr:clientData/>
  </xdr:twoCellAnchor>
  <xdr:twoCellAnchor editAs="absolute">
    <xdr:from>
      <xdr:col>5</xdr:col>
      <xdr:colOff>520700</xdr:colOff>
      <xdr:row>15</xdr:row>
      <xdr:rowOff>139700</xdr:rowOff>
    </xdr:from>
    <xdr:to>
      <xdr:col>6</xdr:col>
      <xdr:colOff>571500</xdr:colOff>
      <xdr:row>16</xdr:row>
      <xdr:rowOff>73660</xdr:rowOff>
    </xdr:to>
    <xdr:sp macro="" textlink="">
      <xdr:nvSpPr>
        <xdr:cNvPr id="244" name="Rectangle 243"/>
        <xdr:cNvSpPr/>
      </xdr:nvSpPr>
      <xdr:spPr>
        <a:xfrm>
          <a:off x="3568700" y="2654300"/>
          <a:ext cx="660400" cy="1016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600" b="0">
              <a:solidFill>
                <a:srgbClr val="000000"/>
              </a:solidFill>
              <a:latin typeface=""/>
            </a:rPr>
            <a:t>RIFLE</a:t>
          </a:r>
        </a:p>
      </xdr:txBody>
    </xdr:sp>
    <xdr:clientData/>
  </xdr:twoCellAnchor>
  <xdr:twoCellAnchor editAs="absolute">
    <xdr:from>
      <xdr:col>5</xdr:col>
      <xdr:colOff>520700</xdr:colOff>
      <xdr:row>16</xdr:row>
      <xdr:rowOff>48260</xdr:rowOff>
    </xdr:from>
    <xdr:to>
      <xdr:col>6</xdr:col>
      <xdr:colOff>571500</xdr:colOff>
      <xdr:row>16</xdr:row>
      <xdr:rowOff>124460</xdr:rowOff>
    </xdr:to>
    <xdr:sp macro="" textlink="">
      <xdr:nvSpPr>
        <xdr:cNvPr id="245" name="Rectangle 244"/>
        <xdr:cNvSpPr/>
      </xdr:nvSpPr>
      <xdr:spPr>
        <a:xfrm>
          <a:off x="3568700" y="2730500"/>
          <a:ext cx="660400" cy="76200"/>
        </a:xfrm>
        <a:prstGeom prst="rect">
          <a:avLst/>
        </a:prstGeom>
        <a:solidFill>
          <a:srgbClr val="FFCC00">
            <a:alpha val="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50000"/>
                </a:schemeClr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en-GB" sz="400" b="0">
              <a:solidFill>
                <a:srgbClr val="000000"/>
              </a:solidFill>
              <a:latin typeface=""/>
            </a:rPr>
            <a:t>202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556260</xdr:colOff>
          <xdr:row>3</xdr:row>
          <xdr:rowOff>91440</xdr:rowOff>
        </xdr:from>
        <xdr:to>
          <xdr:col>19</xdr:col>
          <xdr:colOff>152400</xdr:colOff>
          <xdr:row>7</xdr:row>
          <xdr:rowOff>15240</xdr:rowOff>
        </xdr:to>
        <xdr:sp macro="" textlink="">
          <xdr:nvSpPr>
            <xdr:cNvPr id="518145" name="Button 1" hidden="1">
              <a:extLst>
                <a:ext uri="{63B3BB69-23CF-44E3-9099-C40C66FF867C}">
                  <a14:compatExt spid="_x0000_s518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DGC%20Counters%20v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Colours"/>
      <sheetName val="JDGC Counters v1"/>
    </sheetNames>
    <definedNames>
      <definedName name="FromSample"/>
      <definedName name="ToSample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2"/>
  <sheetViews>
    <sheetView workbookViewId="0">
      <selection activeCell="A2" sqref="A2"/>
    </sheetView>
  </sheetViews>
  <sheetFormatPr defaultRowHeight="13.2" x14ac:dyDescent="0.25"/>
  <sheetData>
    <row r="1" spans="1:10" x14ac:dyDescent="0.25">
      <c r="A1" t="s">
        <v>141</v>
      </c>
      <c r="B1" t="s">
        <v>139</v>
      </c>
      <c r="C1" t="s">
        <v>60</v>
      </c>
      <c r="D1" t="s">
        <v>138</v>
      </c>
    </row>
    <row r="2" spans="1:10" x14ac:dyDescent="0.25">
      <c r="A2">
        <v>5</v>
      </c>
      <c r="B2">
        <f t="shared" ref="B2:B8" si="0">A2+2</f>
        <v>7</v>
      </c>
      <c r="C2">
        <v>26</v>
      </c>
      <c r="D2">
        <v>24</v>
      </c>
      <c r="F2">
        <f>C2/A2</f>
        <v>5.2</v>
      </c>
      <c r="G2">
        <f>D2/A2</f>
        <v>4.8</v>
      </c>
      <c r="I2">
        <f t="shared" ref="I2:I8" si="1">C2/B2</f>
        <v>3.7142857142857144</v>
      </c>
      <c r="J2">
        <f t="shared" ref="J2:J8" si="2">D2/B2</f>
        <v>3.4285714285714284</v>
      </c>
    </row>
    <row r="3" spans="1:10" x14ac:dyDescent="0.25">
      <c r="A3">
        <v>10</v>
      </c>
      <c r="B3">
        <f t="shared" si="0"/>
        <v>12</v>
      </c>
      <c r="C3">
        <v>42</v>
      </c>
      <c r="D3">
        <v>42</v>
      </c>
      <c r="F3">
        <f t="shared" ref="F3:F21" si="3">C3/A3</f>
        <v>4.2</v>
      </c>
      <c r="G3">
        <f t="shared" ref="G3:G21" si="4">D3/A3</f>
        <v>4.2</v>
      </c>
      <c r="I3">
        <f t="shared" si="1"/>
        <v>3.5</v>
      </c>
      <c r="J3">
        <f t="shared" si="2"/>
        <v>3.5</v>
      </c>
    </row>
    <row r="4" spans="1:10" x14ac:dyDescent="0.25">
      <c r="A4">
        <v>15</v>
      </c>
      <c r="B4">
        <f t="shared" si="0"/>
        <v>17</v>
      </c>
      <c r="C4">
        <v>61</v>
      </c>
      <c r="D4">
        <v>61</v>
      </c>
      <c r="F4">
        <f t="shared" si="3"/>
        <v>4.0666666666666664</v>
      </c>
      <c r="G4">
        <f t="shared" si="4"/>
        <v>4.0666666666666664</v>
      </c>
      <c r="I4">
        <f t="shared" si="1"/>
        <v>3.5882352941176472</v>
      </c>
      <c r="J4">
        <f t="shared" si="2"/>
        <v>3.5882352941176472</v>
      </c>
    </row>
    <row r="5" spans="1:10" x14ac:dyDescent="0.25">
      <c r="A5">
        <v>20</v>
      </c>
      <c r="B5">
        <f t="shared" si="0"/>
        <v>22</v>
      </c>
      <c r="C5">
        <v>79</v>
      </c>
      <c r="D5">
        <v>79</v>
      </c>
      <c r="F5">
        <f t="shared" si="3"/>
        <v>3.95</v>
      </c>
      <c r="G5">
        <f t="shared" si="4"/>
        <v>3.95</v>
      </c>
      <c r="I5">
        <f t="shared" si="1"/>
        <v>3.5909090909090908</v>
      </c>
      <c r="J5">
        <f t="shared" si="2"/>
        <v>3.5909090909090908</v>
      </c>
    </row>
    <row r="6" spans="1:10" x14ac:dyDescent="0.25">
      <c r="A6">
        <v>25</v>
      </c>
      <c r="B6">
        <f t="shared" si="0"/>
        <v>27</v>
      </c>
      <c r="C6">
        <v>95</v>
      </c>
      <c r="D6">
        <v>95</v>
      </c>
      <c r="F6">
        <f t="shared" si="3"/>
        <v>3.8</v>
      </c>
      <c r="G6">
        <f t="shared" si="4"/>
        <v>3.8</v>
      </c>
      <c r="I6">
        <f t="shared" si="1"/>
        <v>3.5185185185185186</v>
      </c>
      <c r="J6">
        <f t="shared" si="2"/>
        <v>3.5185185185185186</v>
      </c>
    </row>
    <row r="7" spans="1:10" x14ac:dyDescent="0.25">
      <c r="A7">
        <v>30</v>
      </c>
      <c r="B7">
        <f t="shared" si="0"/>
        <v>32</v>
      </c>
      <c r="C7">
        <v>114</v>
      </c>
      <c r="D7">
        <v>114</v>
      </c>
      <c r="F7">
        <f t="shared" si="3"/>
        <v>3.8</v>
      </c>
      <c r="G7">
        <f t="shared" si="4"/>
        <v>3.8</v>
      </c>
      <c r="I7">
        <f t="shared" si="1"/>
        <v>3.5625</v>
      </c>
      <c r="J7">
        <f t="shared" si="2"/>
        <v>3.5625</v>
      </c>
    </row>
    <row r="8" spans="1:10" x14ac:dyDescent="0.25">
      <c r="A8">
        <v>35</v>
      </c>
      <c r="B8">
        <f t="shared" si="0"/>
        <v>37</v>
      </c>
      <c r="C8">
        <v>132</v>
      </c>
      <c r="D8">
        <v>130</v>
      </c>
      <c r="F8">
        <f t="shared" si="3"/>
        <v>3.7714285714285714</v>
      </c>
      <c r="G8">
        <f t="shared" si="4"/>
        <v>3.7142857142857144</v>
      </c>
      <c r="I8">
        <f t="shared" si="1"/>
        <v>3.5675675675675675</v>
      </c>
      <c r="J8">
        <f t="shared" si="2"/>
        <v>3.5135135135135136</v>
      </c>
    </row>
    <row r="9" spans="1:10" x14ac:dyDescent="0.25">
      <c r="A9">
        <v>40</v>
      </c>
      <c r="B9">
        <f t="shared" ref="B9:B22" si="5">A9+2</f>
        <v>42</v>
      </c>
      <c r="C9">
        <v>148</v>
      </c>
      <c r="D9">
        <v>148</v>
      </c>
      <c r="F9">
        <f t="shared" si="3"/>
        <v>3.7</v>
      </c>
      <c r="G9">
        <f t="shared" si="4"/>
        <v>3.7</v>
      </c>
      <c r="I9">
        <f>C9/B9</f>
        <v>3.5238095238095237</v>
      </c>
      <c r="J9">
        <f>D9/B9</f>
        <v>3.5238095238095237</v>
      </c>
    </row>
    <row r="10" spans="1:10" x14ac:dyDescent="0.25">
      <c r="A10">
        <v>45</v>
      </c>
      <c r="B10">
        <f t="shared" si="5"/>
        <v>47</v>
      </c>
      <c r="C10">
        <v>167</v>
      </c>
      <c r="D10">
        <v>167</v>
      </c>
      <c r="F10">
        <f t="shared" si="3"/>
        <v>3.7111111111111112</v>
      </c>
      <c r="G10">
        <f t="shared" si="4"/>
        <v>3.7111111111111112</v>
      </c>
      <c r="I10">
        <f t="shared" ref="I10:I21" si="6">C10/B10</f>
        <v>3.5531914893617023</v>
      </c>
      <c r="J10">
        <f t="shared" ref="J10:J21" si="7">D10/B10</f>
        <v>3.5531914893617023</v>
      </c>
    </row>
    <row r="11" spans="1:10" x14ac:dyDescent="0.25">
      <c r="A11">
        <v>50</v>
      </c>
      <c r="B11">
        <f t="shared" si="5"/>
        <v>52</v>
      </c>
      <c r="C11">
        <v>185</v>
      </c>
      <c r="D11">
        <v>183</v>
      </c>
      <c r="F11">
        <f t="shared" si="3"/>
        <v>3.7</v>
      </c>
      <c r="G11">
        <f t="shared" si="4"/>
        <v>3.66</v>
      </c>
      <c r="I11">
        <f t="shared" si="6"/>
        <v>3.5576923076923075</v>
      </c>
      <c r="J11">
        <f t="shared" si="7"/>
        <v>3.5192307692307692</v>
      </c>
    </row>
    <row r="12" spans="1:10" x14ac:dyDescent="0.25">
      <c r="A12">
        <v>55</v>
      </c>
      <c r="B12">
        <f t="shared" si="5"/>
        <v>57</v>
      </c>
      <c r="C12">
        <v>201</v>
      </c>
      <c r="D12">
        <v>201</v>
      </c>
      <c r="F12">
        <f t="shared" si="3"/>
        <v>3.6545454545454548</v>
      </c>
      <c r="G12">
        <f t="shared" si="4"/>
        <v>3.6545454545454548</v>
      </c>
      <c r="I12">
        <f t="shared" si="6"/>
        <v>3.5263157894736841</v>
      </c>
      <c r="J12">
        <f t="shared" si="7"/>
        <v>3.5263157894736841</v>
      </c>
    </row>
    <row r="13" spans="1:10" x14ac:dyDescent="0.25">
      <c r="A13">
        <v>60</v>
      </c>
      <c r="B13">
        <f t="shared" si="5"/>
        <v>62</v>
      </c>
      <c r="C13">
        <v>220</v>
      </c>
      <c r="D13">
        <v>220</v>
      </c>
      <c r="F13">
        <f t="shared" si="3"/>
        <v>3.6666666666666665</v>
      </c>
      <c r="G13">
        <f t="shared" si="4"/>
        <v>3.6666666666666665</v>
      </c>
      <c r="I13">
        <f t="shared" si="6"/>
        <v>3.5483870967741935</v>
      </c>
      <c r="J13">
        <f t="shared" si="7"/>
        <v>3.5483870967741935</v>
      </c>
    </row>
    <row r="14" spans="1:10" x14ac:dyDescent="0.25">
      <c r="A14">
        <v>65</v>
      </c>
      <c r="B14">
        <f t="shared" si="5"/>
        <v>67</v>
      </c>
      <c r="C14">
        <v>238</v>
      </c>
      <c r="D14">
        <v>235</v>
      </c>
      <c r="F14">
        <f t="shared" si="3"/>
        <v>3.6615384615384614</v>
      </c>
      <c r="G14">
        <f t="shared" si="4"/>
        <v>3.6153846153846154</v>
      </c>
      <c r="I14">
        <f t="shared" si="6"/>
        <v>3.5522388059701493</v>
      </c>
      <c r="J14">
        <f t="shared" si="7"/>
        <v>3.5074626865671643</v>
      </c>
    </row>
    <row r="15" spans="1:10" x14ac:dyDescent="0.25">
      <c r="A15">
        <v>70</v>
      </c>
      <c r="B15">
        <f t="shared" si="5"/>
        <v>72</v>
      </c>
      <c r="C15">
        <v>254</v>
      </c>
      <c r="D15">
        <v>254</v>
      </c>
      <c r="F15">
        <f t="shared" si="3"/>
        <v>3.6285714285714286</v>
      </c>
      <c r="G15">
        <f t="shared" si="4"/>
        <v>3.6285714285714286</v>
      </c>
      <c r="I15">
        <f t="shared" si="6"/>
        <v>3.5277777777777777</v>
      </c>
      <c r="J15">
        <f t="shared" si="7"/>
        <v>3.5277777777777777</v>
      </c>
    </row>
    <row r="16" spans="1:10" x14ac:dyDescent="0.25">
      <c r="A16">
        <v>75</v>
      </c>
      <c r="B16">
        <f t="shared" si="5"/>
        <v>77</v>
      </c>
      <c r="C16">
        <v>273</v>
      </c>
      <c r="D16">
        <v>273</v>
      </c>
      <c r="F16">
        <f t="shared" si="3"/>
        <v>3.64</v>
      </c>
      <c r="G16">
        <f t="shared" si="4"/>
        <v>3.64</v>
      </c>
      <c r="I16">
        <f t="shared" si="6"/>
        <v>3.5454545454545454</v>
      </c>
      <c r="J16">
        <f t="shared" si="7"/>
        <v>3.5454545454545454</v>
      </c>
    </row>
    <row r="17" spans="1:10" x14ac:dyDescent="0.25">
      <c r="A17">
        <v>80</v>
      </c>
      <c r="B17">
        <f t="shared" si="5"/>
        <v>82</v>
      </c>
      <c r="C17">
        <v>291</v>
      </c>
      <c r="D17">
        <v>291</v>
      </c>
      <c r="F17">
        <f t="shared" si="3"/>
        <v>3.6375000000000002</v>
      </c>
      <c r="G17">
        <f t="shared" si="4"/>
        <v>3.6375000000000002</v>
      </c>
      <c r="I17">
        <f t="shared" si="6"/>
        <v>3.5487804878048781</v>
      </c>
      <c r="J17">
        <f t="shared" si="7"/>
        <v>3.5487804878048781</v>
      </c>
    </row>
    <row r="18" spans="1:10" x14ac:dyDescent="0.25">
      <c r="A18">
        <v>85</v>
      </c>
      <c r="B18">
        <f t="shared" si="5"/>
        <v>87</v>
      </c>
      <c r="C18">
        <v>307</v>
      </c>
      <c r="D18">
        <v>307</v>
      </c>
      <c r="F18">
        <f t="shared" si="3"/>
        <v>3.611764705882353</v>
      </c>
      <c r="G18">
        <f t="shared" si="4"/>
        <v>3.611764705882353</v>
      </c>
      <c r="I18">
        <f t="shared" si="6"/>
        <v>3.5287356321839081</v>
      </c>
      <c r="J18">
        <f t="shared" si="7"/>
        <v>3.5287356321839081</v>
      </c>
    </row>
    <row r="19" spans="1:10" x14ac:dyDescent="0.25">
      <c r="A19">
        <v>90</v>
      </c>
      <c r="B19">
        <f t="shared" si="5"/>
        <v>92</v>
      </c>
      <c r="C19">
        <v>325</v>
      </c>
      <c r="D19">
        <v>325</v>
      </c>
      <c r="F19">
        <f t="shared" si="3"/>
        <v>3.6111111111111112</v>
      </c>
      <c r="G19">
        <f t="shared" si="4"/>
        <v>3.6111111111111112</v>
      </c>
      <c r="I19">
        <f t="shared" si="6"/>
        <v>3.5326086956521738</v>
      </c>
      <c r="J19">
        <f t="shared" si="7"/>
        <v>3.5326086956521738</v>
      </c>
    </row>
    <row r="20" spans="1:10" x14ac:dyDescent="0.25">
      <c r="A20">
        <v>95</v>
      </c>
      <c r="B20">
        <f t="shared" si="5"/>
        <v>97</v>
      </c>
      <c r="C20">
        <v>344</v>
      </c>
      <c r="D20">
        <v>344</v>
      </c>
      <c r="F20">
        <f t="shared" si="3"/>
        <v>3.6210526315789475</v>
      </c>
      <c r="G20">
        <f t="shared" si="4"/>
        <v>3.6210526315789475</v>
      </c>
      <c r="I20">
        <f t="shared" si="6"/>
        <v>3.5463917525773194</v>
      </c>
      <c r="J20">
        <f t="shared" si="7"/>
        <v>3.5463917525773194</v>
      </c>
    </row>
    <row r="21" spans="1:10" x14ac:dyDescent="0.25">
      <c r="A21">
        <v>100</v>
      </c>
      <c r="B21">
        <f t="shared" si="5"/>
        <v>102</v>
      </c>
      <c r="C21">
        <v>360</v>
      </c>
      <c r="D21">
        <v>360</v>
      </c>
      <c r="F21">
        <f t="shared" si="3"/>
        <v>3.6</v>
      </c>
      <c r="G21">
        <f t="shared" si="4"/>
        <v>3.6</v>
      </c>
      <c r="I21">
        <f t="shared" si="6"/>
        <v>3.5294117647058822</v>
      </c>
      <c r="J21">
        <f t="shared" si="7"/>
        <v>3.5294117647058822</v>
      </c>
    </row>
    <row r="22" spans="1:10" x14ac:dyDescent="0.25">
      <c r="A22">
        <v>200</v>
      </c>
      <c r="B22">
        <f t="shared" si="5"/>
        <v>202</v>
      </c>
      <c r="C22">
        <v>714</v>
      </c>
      <c r="D22">
        <v>714</v>
      </c>
      <c r="F22">
        <f>C22/A22</f>
        <v>3.57</v>
      </c>
      <c r="G22">
        <f>D22/A22</f>
        <v>3.57</v>
      </c>
      <c r="I22">
        <f>C22/B22</f>
        <v>3.5346534653465347</v>
      </c>
      <c r="J22">
        <f>D22/B22</f>
        <v>3.5346534653465347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>
      <selection sqref="A1:A3"/>
    </sheetView>
  </sheetViews>
  <sheetFormatPr defaultRowHeight="13.2" x14ac:dyDescent="0.25"/>
  <sheetData>
    <row r="1" spans="1:1" x14ac:dyDescent="0.25">
      <c r="A1" t="s">
        <v>212</v>
      </c>
    </row>
    <row r="2" spans="1:1" x14ac:dyDescent="0.25">
      <c r="A2" t="s">
        <v>213</v>
      </c>
    </row>
    <row r="3" spans="1:1" x14ac:dyDescent="0.25">
      <c r="A3" t="s">
        <v>214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B4" sqref="B4"/>
    </sheetView>
  </sheetViews>
  <sheetFormatPr defaultRowHeight="13.2" x14ac:dyDescent="0.25"/>
  <cols>
    <col min="1" max="1" width="18" bestFit="1" customWidth="1"/>
  </cols>
  <sheetData>
    <row r="1" spans="1:2" x14ac:dyDescent="0.25">
      <c r="A1" s="5" t="s">
        <v>118</v>
      </c>
      <c r="B1" s="5" t="s">
        <v>119</v>
      </c>
    </row>
    <row r="2" spans="1:2" x14ac:dyDescent="0.25">
      <c r="A2" t="s">
        <v>142</v>
      </c>
      <c r="B2">
        <v>52</v>
      </c>
    </row>
    <row r="3" spans="1:2" x14ac:dyDescent="0.25">
      <c r="A3" t="s">
        <v>136</v>
      </c>
      <c r="B3">
        <v>1</v>
      </c>
    </row>
    <row r="4" spans="1:2" x14ac:dyDescent="0.25">
      <c r="A4" t="s">
        <v>135</v>
      </c>
      <c r="B4">
        <v>26</v>
      </c>
    </row>
    <row r="5" spans="1:2" x14ac:dyDescent="0.25">
      <c r="A5" t="s">
        <v>137</v>
      </c>
      <c r="B5">
        <v>15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5"/>
  <sheetViews>
    <sheetView workbookViewId="0">
      <selection activeCell="A16" sqref="A16"/>
    </sheetView>
  </sheetViews>
  <sheetFormatPr defaultRowHeight="13.2" x14ac:dyDescent="0.25"/>
  <cols>
    <col min="1" max="1" width="25.109375" customWidth="1"/>
  </cols>
  <sheetData>
    <row r="1" spans="1:2" x14ac:dyDescent="0.25">
      <c r="A1" s="5" t="s">
        <v>0</v>
      </c>
    </row>
    <row r="2" spans="1:2" x14ac:dyDescent="0.25">
      <c r="A2" t="s">
        <v>208</v>
      </c>
      <c r="B2" t="s">
        <v>210</v>
      </c>
    </row>
    <row r="3" spans="1:2" x14ac:dyDescent="0.25">
      <c r="A3" t="s">
        <v>209</v>
      </c>
      <c r="B3" t="s">
        <v>211</v>
      </c>
    </row>
    <row r="4" spans="1:2" x14ac:dyDescent="0.25">
      <c r="A4" s="1" t="s">
        <v>279</v>
      </c>
      <c r="B4" t="s">
        <v>286</v>
      </c>
    </row>
    <row r="5" spans="1:2" x14ac:dyDescent="0.25">
      <c r="A5" s="1" t="s">
        <v>280</v>
      </c>
      <c r="B5" t="s">
        <v>287</v>
      </c>
    </row>
    <row r="6" spans="1:2" x14ac:dyDescent="0.25">
      <c r="A6" s="1" t="s">
        <v>281</v>
      </c>
      <c r="B6" t="s">
        <v>288</v>
      </c>
    </row>
    <row r="7" spans="1:2" x14ac:dyDescent="0.25">
      <c r="A7" s="1" t="s">
        <v>282</v>
      </c>
      <c r="B7" t="s">
        <v>289</v>
      </c>
    </row>
    <row r="8" spans="1:2" x14ac:dyDescent="0.25">
      <c r="A8" s="1" t="s">
        <v>283</v>
      </c>
      <c r="B8" t="s">
        <v>290</v>
      </c>
    </row>
    <row r="9" spans="1:2" x14ac:dyDescent="0.25">
      <c r="A9" s="1" t="s">
        <v>284</v>
      </c>
      <c r="B9" t="s">
        <v>291</v>
      </c>
    </row>
    <row r="10" spans="1:2" x14ac:dyDescent="0.25">
      <c r="A10" s="1" t="s">
        <v>285</v>
      </c>
      <c r="B10" t="s">
        <v>292</v>
      </c>
    </row>
    <row r="11" spans="1:2" x14ac:dyDescent="0.25">
      <c r="A11" s="1" t="s">
        <v>300</v>
      </c>
      <c r="B11" t="s">
        <v>293</v>
      </c>
    </row>
    <row r="12" spans="1:2" x14ac:dyDescent="0.25">
      <c r="A12" t="s">
        <v>367</v>
      </c>
    </row>
    <row r="13" spans="1:2" x14ac:dyDescent="0.25">
      <c r="A13" t="s">
        <v>369</v>
      </c>
    </row>
    <row r="14" spans="1:2" x14ac:dyDescent="0.25">
      <c r="A14" t="s">
        <v>368</v>
      </c>
    </row>
    <row r="15" spans="1:2" x14ac:dyDescent="0.25">
      <c r="A15" t="s">
        <v>384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"/>
  <sheetViews>
    <sheetView workbookViewId="0">
      <pane ySplit="1" topLeftCell="A67" activePane="bottomLeft" state="frozen"/>
      <selection pane="bottomLeft" activeCell="I79" sqref="I79"/>
    </sheetView>
  </sheetViews>
  <sheetFormatPr defaultRowHeight="13.2" x14ac:dyDescent="0.25"/>
  <cols>
    <col min="1" max="1" width="14.88671875" bestFit="1" customWidth="1"/>
  </cols>
  <sheetData>
    <row r="1" spans="1:18" x14ac:dyDescent="0.25">
      <c r="A1" s="5" t="s">
        <v>107</v>
      </c>
      <c r="B1" s="5" t="s">
        <v>0</v>
      </c>
      <c r="C1" s="5" t="s">
        <v>124</v>
      </c>
      <c r="D1" s="5" t="s">
        <v>133</v>
      </c>
      <c r="E1" s="5" t="s">
        <v>126</v>
      </c>
      <c r="F1" s="5" t="s">
        <v>130</v>
      </c>
      <c r="G1" s="5" t="s">
        <v>131</v>
      </c>
      <c r="H1" s="5" t="s">
        <v>132</v>
      </c>
      <c r="I1" s="5" t="s">
        <v>108</v>
      </c>
      <c r="J1" s="5" t="s">
        <v>109</v>
      </c>
      <c r="K1" s="5" t="s">
        <v>110</v>
      </c>
      <c r="L1" s="5" t="s">
        <v>111</v>
      </c>
      <c r="M1" s="5" t="s">
        <v>112</v>
      </c>
      <c r="N1" s="5" t="s">
        <v>113</v>
      </c>
      <c r="O1" s="5" t="s">
        <v>114</v>
      </c>
      <c r="P1" s="5" t="s">
        <v>115</v>
      </c>
      <c r="Q1" s="5" t="s">
        <v>116</v>
      </c>
      <c r="R1" s="5" t="s">
        <v>192</v>
      </c>
    </row>
    <row r="2" spans="1:18" x14ac:dyDescent="0.25">
      <c r="A2" t="s">
        <v>208</v>
      </c>
      <c r="B2" t="s">
        <v>215</v>
      </c>
      <c r="C2" s="50" t="s">
        <v>117</v>
      </c>
      <c r="D2" s="51" t="s">
        <v>134</v>
      </c>
      <c r="E2" s="50">
        <v>2</v>
      </c>
      <c r="F2" s="50">
        <v>1</v>
      </c>
      <c r="G2" s="51">
        <v>8</v>
      </c>
      <c r="H2" s="51">
        <v>8</v>
      </c>
      <c r="I2" s="50"/>
      <c r="J2" s="50"/>
      <c r="K2" s="50"/>
      <c r="L2" s="50"/>
      <c r="M2" s="50"/>
      <c r="N2" s="50"/>
      <c r="O2" s="50"/>
      <c r="P2" s="50"/>
      <c r="Q2" s="50" t="b">
        <v>1</v>
      </c>
      <c r="R2" s="50"/>
    </row>
    <row r="3" spans="1:18" x14ac:dyDescent="0.25">
      <c r="A3" t="s">
        <v>208</v>
      </c>
      <c r="B3" t="s">
        <v>216</v>
      </c>
      <c r="C3" s="51" t="s">
        <v>117</v>
      </c>
      <c r="D3" s="51" t="s">
        <v>134</v>
      </c>
      <c r="E3" s="51">
        <v>2</v>
      </c>
      <c r="F3" s="51">
        <v>18</v>
      </c>
      <c r="G3" s="51">
        <v>8</v>
      </c>
      <c r="H3" s="51">
        <v>8</v>
      </c>
      <c r="I3" s="50"/>
      <c r="J3" s="50"/>
      <c r="K3" s="50"/>
      <c r="L3" s="50"/>
      <c r="M3" s="50"/>
      <c r="N3" s="50"/>
      <c r="O3" s="50"/>
      <c r="P3" s="50"/>
      <c r="Q3" s="50" t="b">
        <v>1</v>
      </c>
      <c r="R3" s="50"/>
    </row>
    <row r="4" spans="1:18" x14ac:dyDescent="0.25">
      <c r="A4" t="s">
        <v>208</v>
      </c>
      <c r="B4" t="s">
        <v>217</v>
      </c>
      <c r="C4" s="51" t="s">
        <v>117</v>
      </c>
      <c r="D4" s="51" t="s">
        <v>134</v>
      </c>
      <c r="E4" s="51">
        <v>19</v>
      </c>
      <c r="F4" s="51">
        <v>1</v>
      </c>
      <c r="G4" s="51">
        <v>8</v>
      </c>
      <c r="H4" s="51">
        <v>8</v>
      </c>
      <c r="I4" s="50"/>
      <c r="J4" s="50"/>
      <c r="K4" s="50"/>
      <c r="L4" s="50"/>
      <c r="M4" s="50"/>
      <c r="N4" s="50"/>
      <c r="O4" s="50"/>
      <c r="P4" s="50"/>
      <c r="Q4" s="50" t="b">
        <v>1</v>
      </c>
      <c r="R4" s="50"/>
    </row>
    <row r="5" spans="1:18" x14ac:dyDescent="0.25">
      <c r="A5" t="s">
        <v>208</v>
      </c>
      <c r="B5" t="s">
        <v>218</v>
      </c>
      <c r="C5" s="51" t="s">
        <v>117</v>
      </c>
      <c r="D5" s="51" t="s">
        <v>134</v>
      </c>
      <c r="E5" s="51">
        <v>19</v>
      </c>
      <c r="F5" s="51">
        <v>18</v>
      </c>
      <c r="G5" s="51">
        <v>8</v>
      </c>
      <c r="H5" s="51">
        <v>8</v>
      </c>
      <c r="I5" s="50"/>
      <c r="J5" s="50"/>
      <c r="K5" s="50"/>
      <c r="L5" s="50"/>
      <c r="M5" s="50"/>
      <c r="N5" s="50"/>
      <c r="O5" s="50"/>
      <c r="P5" s="50"/>
      <c r="Q5" s="50" t="b">
        <v>1</v>
      </c>
      <c r="R5" s="50"/>
    </row>
    <row r="6" spans="1:18" x14ac:dyDescent="0.25">
      <c r="A6" t="s">
        <v>208</v>
      </c>
      <c r="B6" t="s">
        <v>233</v>
      </c>
      <c r="C6" s="51" t="s">
        <v>117</v>
      </c>
      <c r="D6" s="51" t="s">
        <v>134</v>
      </c>
      <c r="E6" s="51">
        <v>1</v>
      </c>
      <c r="F6" s="51">
        <v>2</v>
      </c>
      <c r="G6" s="51">
        <v>26</v>
      </c>
      <c r="H6" s="51">
        <v>5</v>
      </c>
      <c r="I6" s="50"/>
      <c r="J6" s="50"/>
      <c r="K6" s="50"/>
      <c r="L6" s="50"/>
      <c r="M6" s="50"/>
      <c r="N6" s="50"/>
      <c r="O6" s="50"/>
      <c r="P6" s="50"/>
      <c r="Q6" s="50" t="b">
        <v>1</v>
      </c>
      <c r="R6" s="50"/>
    </row>
    <row r="7" spans="1:18" x14ac:dyDescent="0.25">
      <c r="A7" t="s">
        <v>208</v>
      </c>
      <c r="B7" t="s">
        <v>149</v>
      </c>
      <c r="C7" s="51" t="s">
        <v>129</v>
      </c>
      <c r="D7" s="51" t="s">
        <v>134</v>
      </c>
      <c r="E7" s="51">
        <v>3</v>
      </c>
      <c r="F7" s="51">
        <v>9</v>
      </c>
      <c r="G7" s="51">
        <v>22</v>
      </c>
      <c r="H7" s="51">
        <v>8</v>
      </c>
      <c r="I7" s="50"/>
      <c r="J7" s="50"/>
      <c r="K7" s="50"/>
      <c r="L7" s="50"/>
      <c r="M7" s="50"/>
      <c r="N7" s="50"/>
      <c r="O7" s="50"/>
      <c r="P7" s="50"/>
      <c r="Q7" s="50" t="b">
        <v>1</v>
      </c>
      <c r="R7" s="50"/>
    </row>
    <row r="8" spans="1:18" x14ac:dyDescent="0.25">
      <c r="A8" t="s">
        <v>208</v>
      </c>
      <c r="B8" t="s">
        <v>68</v>
      </c>
      <c r="C8" s="51" t="s">
        <v>117</v>
      </c>
      <c r="D8" s="51" t="s">
        <v>134</v>
      </c>
      <c r="E8" s="51">
        <v>1</v>
      </c>
      <c r="F8" s="51">
        <v>18</v>
      </c>
      <c r="G8" s="51">
        <v>26</v>
      </c>
      <c r="H8" s="51">
        <v>4</v>
      </c>
      <c r="I8" s="50"/>
      <c r="J8" s="50"/>
      <c r="K8" s="50"/>
      <c r="L8" s="50"/>
      <c r="M8" s="50"/>
      <c r="N8" s="50"/>
      <c r="O8" s="50"/>
      <c r="P8" s="50"/>
      <c r="Q8" s="50" t="b">
        <v>1</v>
      </c>
      <c r="R8" s="50"/>
    </row>
    <row r="9" spans="1:18" x14ac:dyDescent="0.25">
      <c r="A9" t="s">
        <v>208</v>
      </c>
      <c r="B9" t="s">
        <v>219</v>
      </c>
      <c r="C9" s="51" t="s">
        <v>117</v>
      </c>
      <c r="D9" s="51" t="s">
        <v>134</v>
      </c>
      <c r="E9" s="51">
        <v>1</v>
      </c>
      <c r="F9" s="51">
        <v>21</v>
      </c>
      <c r="G9" s="51">
        <v>26</v>
      </c>
      <c r="H9" s="51">
        <v>3</v>
      </c>
      <c r="Q9" s="50" t="b">
        <v>1</v>
      </c>
    </row>
    <row r="10" spans="1:18" x14ac:dyDescent="0.25">
      <c r="A10" t="s">
        <v>209</v>
      </c>
      <c r="B10" t="s">
        <v>215</v>
      </c>
      <c r="C10" s="51" t="s">
        <v>117</v>
      </c>
      <c r="D10" s="51" t="s">
        <v>134</v>
      </c>
      <c r="E10" s="50">
        <v>2</v>
      </c>
      <c r="F10" s="50">
        <v>1</v>
      </c>
      <c r="G10" s="51">
        <v>8</v>
      </c>
      <c r="H10" s="51">
        <v>8</v>
      </c>
      <c r="Q10" s="50" t="b">
        <v>1</v>
      </c>
    </row>
    <row r="11" spans="1:18" x14ac:dyDescent="0.25">
      <c r="A11" t="s">
        <v>209</v>
      </c>
      <c r="B11" t="s">
        <v>216</v>
      </c>
      <c r="C11" s="51" t="s">
        <v>117</v>
      </c>
      <c r="D11" s="51" t="s">
        <v>134</v>
      </c>
      <c r="E11" s="51">
        <v>2</v>
      </c>
      <c r="F11" s="51">
        <v>18</v>
      </c>
      <c r="G11" s="51">
        <v>8</v>
      </c>
      <c r="H11" s="51">
        <v>8</v>
      </c>
      <c r="Q11" s="50" t="b">
        <v>1</v>
      </c>
    </row>
    <row r="12" spans="1:18" x14ac:dyDescent="0.25">
      <c r="A12" t="s">
        <v>209</v>
      </c>
      <c r="B12" t="s">
        <v>217</v>
      </c>
      <c r="C12" s="51" t="s">
        <v>117</v>
      </c>
      <c r="D12" s="51" t="s">
        <v>134</v>
      </c>
      <c r="E12" s="51">
        <v>19</v>
      </c>
      <c r="F12" s="51">
        <v>1</v>
      </c>
      <c r="G12" s="51">
        <v>8</v>
      </c>
      <c r="H12" s="51">
        <v>8</v>
      </c>
      <c r="Q12" s="50" t="b">
        <v>1</v>
      </c>
    </row>
    <row r="13" spans="1:18" x14ac:dyDescent="0.25">
      <c r="A13" t="s">
        <v>209</v>
      </c>
      <c r="B13" t="s">
        <v>218</v>
      </c>
      <c r="C13" s="51" t="s">
        <v>117</v>
      </c>
      <c r="D13" s="51" t="s">
        <v>134</v>
      </c>
      <c r="E13" s="51">
        <v>19</v>
      </c>
      <c r="F13" s="51">
        <v>18</v>
      </c>
      <c r="G13" s="51">
        <v>8</v>
      </c>
      <c r="H13" s="51">
        <v>8</v>
      </c>
      <c r="Q13" s="50" t="b">
        <v>1</v>
      </c>
    </row>
    <row r="14" spans="1:18" x14ac:dyDescent="0.25">
      <c r="A14" t="s">
        <v>209</v>
      </c>
      <c r="B14" t="s">
        <v>233</v>
      </c>
      <c r="C14" s="51" t="s">
        <v>117</v>
      </c>
      <c r="D14" s="51" t="s">
        <v>134</v>
      </c>
      <c r="E14" s="51">
        <v>1</v>
      </c>
      <c r="F14" s="51">
        <v>2</v>
      </c>
      <c r="G14" s="51">
        <v>26</v>
      </c>
      <c r="H14" s="51">
        <v>5</v>
      </c>
      <c r="I14" s="50"/>
      <c r="J14" s="50"/>
      <c r="K14" s="50"/>
      <c r="L14" s="50"/>
      <c r="M14" s="50"/>
      <c r="N14" s="50"/>
      <c r="O14" s="50"/>
      <c r="P14" s="50"/>
      <c r="Q14" s="50" t="b">
        <v>1</v>
      </c>
      <c r="R14" s="50"/>
    </row>
    <row r="15" spans="1:18" x14ac:dyDescent="0.25">
      <c r="A15" t="s">
        <v>209</v>
      </c>
      <c r="B15" t="s">
        <v>144</v>
      </c>
      <c r="C15" s="51" t="s">
        <v>129</v>
      </c>
      <c r="D15" s="51" t="s">
        <v>134</v>
      </c>
      <c r="E15" s="51">
        <v>8</v>
      </c>
      <c r="F15" s="51">
        <v>10</v>
      </c>
      <c r="G15" s="51">
        <v>12</v>
      </c>
      <c r="H15" s="51">
        <v>7</v>
      </c>
      <c r="Q15" s="50" t="b">
        <v>1</v>
      </c>
    </row>
    <row r="16" spans="1:18" x14ac:dyDescent="0.25">
      <c r="A16" t="s">
        <v>209</v>
      </c>
      <c r="B16" t="s">
        <v>109</v>
      </c>
      <c r="C16" s="51" t="s">
        <v>117</v>
      </c>
      <c r="D16" s="51" t="s">
        <v>134</v>
      </c>
      <c r="E16" s="51">
        <v>6</v>
      </c>
      <c r="F16" s="51">
        <v>6</v>
      </c>
      <c r="G16" s="51">
        <v>16</v>
      </c>
      <c r="H16" s="51">
        <v>4</v>
      </c>
      <c r="K16" t="b">
        <v>1</v>
      </c>
      <c r="Q16" s="50" t="b">
        <v>1</v>
      </c>
    </row>
    <row r="17" spans="1:18" x14ac:dyDescent="0.25">
      <c r="A17" t="s">
        <v>209</v>
      </c>
      <c r="B17" t="s">
        <v>68</v>
      </c>
      <c r="C17" s="51" t="s">
        <v>117</v>
      </c>
      <c r="D17" s="51" t="s">
        <v>134</v>
      </c>
      <c r="E17" s="51">
        <v>1</v>
      </c>
      <c r="F17" s="51">
        <v>18</v>
      </c>
      <c r="G17" s="51">
        <v>26</v>
      </c>
      <c r="H17" s="51">
        <v>4</v>
      </c>
      <c r="I17" s="50"/>
      <c r="J17" s="50"/>
      <c r="K17" s="50"/>
      <c r="L17" s="50"/>
      <c r="M17" s="50"/>
      <c r="N17" s="50"/>
      <c r="O17" s="50"/>
      <c r="P17" s="50"/>
      <c r="Q17" s="50" t="b">
        <v>1</v>
      </c>
      <c r="R17" s="50"/>
    </row>
    <row r="18" spans="1:18" x14ac:dyDescent="0.25">
      <c r="A18" t="s">
        <v>209</v>
      </c>
      <c r="B18" t="s">
        <v>219</v>
      </c>
      <c r="C18" s="51" t="s">
        <v>117</v>
      </c>
      <c r="D18" s="51" t="s">
        <v>134</v>
      </c>
      <c r="E18" s="51">
        <v>1</v>
      </c>
      <c r="F18" s="51">
        <v>21</v>
      </c>
      <c r="G18" s="51">
        <v>26</v>
      </c>
      <c r="H18" s="51">
        <v>3</v>
      </c>
      <c r="Q18" s="50" t="b">
        <v>1</v>
      </c>
    </row>
    <row r="19" spans="1:18" x14ac:dyDescent="0.25">
      <c r="A19" t="s">
        <v>279</v>
      </c>
      <c r="B19" t="s">
        <v>68</v>
      </c>
      <c r="C19" t="s">
        <v>117</v>
      </c>
      <c r="D19" t="s">
        <v>134</v>
      </c>
      <c r="E19">
        <v>1</v>
      </c>
      <c r="F19">
        <v>1</v>
      </c>
      <c r="G19">
        <v>6</v>
      </c>
      <c r="H19">
        <v>17</v>
      </c>
      <c r="J19">
        <v>6</v>
      </c>
      <c r="O19" t="s">
        <v>294</v>
      </c>
      <c r="P19" t="s">
        <v>126</v>
      </c>
      <c r="R19" t="b">
        <v>1</v>
      </c>
    </row>
    <row r="20" spans="1:18" x14ac:dyDescent="0.25">
      <c r="A20" t="s">
        <v>279</v>
      </c>
      <c r="B20" t="s">
        <v>125</v>
      </c>
      <c r="C20" t="s">
        <v>129</v>
      </c>
      <c r="D20" t="s">
        <v>134</v>
      </c>
      <c r="E20">
        <v>19</v>
      </c>
      <c r="F20">
        <v>1</v>
      </c>
      <c r="G20">
        <v>8</v>
      </c>
      <c r="H20">
        <v>8</v>
      </c>
    </row>
    <row r="21" spans="1:18" x14ac:dyDescent="0.25">
      <c r="A21" t="s">
        <v>279</v>
      </c>
      <c r="B21" t="s">
        <v>128</v>
      </c>
      <c r="C21" t="s">
        <v>129</v>
      </c>
      <c r="D21" t="s">
        <v>134</v>
      </c>
      <c r="E21">
        <v>2</v>
      </c>
      <c r="F21">
        <v>3</v>
      </c>
      <c r="G21">
        <v>22</v>
      </c>
      <c r="H21">
        <v>22</v>
      </c>
    </row>
    <row r="22" spans="1:18" x14ac:dyDescent="0.25">
      <c r="A22" t="s">
        <v>279</v>
      </c>
      <c r="B22" t="s">
        <v>295</v>
      </c>
      <c r="C22" t="s">
        <v>117</v>
      </c>
      <c r="D22" t="s">
        <v>134</v>
      </c>
      <c r="E22">
        <v>21</v>
      </c>
      <c r="F22">
        <v>11</v>
      </c>
      <c r="G22">
        <v>4</v>
      </c>
      <c r="H22">
        <v>5</v>
      </c>
      <c r="J22">
        <v>5</v>
      </c>
    </row>
    <row r="23" spans="1:18" x14ac:dyDescent="0.25">
      <c r="A23" t="s">
        <v>279</v>
      </c>
      <c r="B23" t="s">
        <v>126</v>
      </c>
      <c r="C23" t="s">
        <v>117</v>
      </c>
      <c r="D23" t="s">
        <v>134</v>
      </c>
      <c r="E23">
        <v>2</v>
      </c>
      <c r="F23">
        <v>18</v>
      </c>
      <c r="G23">
        <v>6</v>
      </c>
      <c r="H23">
        <v>8</v>
      </c>
      <c r="J23">
        <v>12</v>
      </c>
      <c r="K23" t="b">
        <v>1</v>
      </c>
      <c r="Q23" t="b">
        <v>1</v>
      </c>
    </row>
    <row r="24" spans="1:18" x14ac:dyDescent="0.25">
      <c r="A24" t="s">
        <v>279</v>
      </c>
      <c r="B24" t="s">
        <v>296</v>
      </c>
      <c r="C24" t="s">
        <v>117</v>
      </c>
      <c r="D24" t="s">
        <v>134</v>
      </c>
      <c r="E24">
        <v>9</v>
      </c>
      <c r="F24">
        <v>20</v>
      </c>
      <c r="G24">
        <v>7</v>
      </c>
      <c r="H24">
        <v>5</v>
      </c>
      <c r="J24">
        <v>8</v>
      </c>
      <c r="K24" t="b">
        <v>1</v>
      </c>
    </row>
    <row r="25" spans="1:18" x14ac:dyDescent="0.25">
      <c r="A25" t="s">
        <v>279</v>
      </c>
      <c r="B25" t="s">
        <v>297</v>
      </c>
      <c r="C25" t="s">
        <v>117</v>
      </c>
      <c r="D25" t="s">
        <v>134</v>
      </c>
      <c r="E25">
        <v>17</v>
      </c>
      <c r="F25">
        <v>18</v>
      </c>
      <c r="G25">
        <v>9</v>
      </c>
      <c r="H25">
        <v>8</v>
      </c>
      <c r="J25">
        <v>12</v>
      </c>
      <c r="K25" t="b">
        <v>1</v>
      </c>
      <c r="Q25" t="b">
        <v>1</v>
      </c>
    </row>
    <row r="26" spans="1:18" x14ac:dyDescent="0.25">
      <c r="A26" t="s">
        <v>279</v>
      </c>
      <c r="B26" t="s">
        <v>127</v>
      </c>
      <c r="C26" s="51" t="s">
        <v>129</v>
      </c>
      <c r="D26" s="51" t="s">
        <v>140</v>
      </c>
      <c r="E26" s="51">
        <v>1</v>
      </c>
      <c r="F26" s="51">
        <v>1</v>
      </c>
      <c r="G26" s="51">
        <v>26</v>
      </c>
      <c r="H26" s="51">
        <v>26</v>
      </c>
      <c r="Q26" s="50"/>
    </row>
    <row r="27" spans="1:18" x14ac:dyDescent="0.25">
      <c r="A27" t="s">
        <v>283</v>
      </c>
      <c r="B27" t="s">
        <v>150</v>
      </c>
      <c r="C27" t="s">
        <v>129</v>
      </c>
      <c r="D27" t="s">
        <v>298</v>
      </c>
      <c r="E27">
        <v>1</v>
      </c>
      <c r="F27">
        <v>1</v>
      </c>
      <c r="G27">
        <v>26</v>
      </c>
      <c r="H27">
        <v>26</v>
      </c>
    </row>
    <row r="28" spans="1:18" x14ac:dyDescent="0.25">
      <c r="A28" t="s">
        <v>283</v>
      </c>
      <c r="B28" t="s">
        <v>125</v>
      </c>
      <c r="C28" t="s">
        <v>129</v>
      </c>
      <c r="D28" t="s">
        <v>298</v>
      </c>
      <c r="E28">
        <v>3</v>
      </c>
      <c r="F28">
        <v>3</v>
      </c>
      <c r="G28">
        <v>8</v>
      </c>
      <c r="H28">
        <v>8</v>
      </c>
    </row>
    <row r="29" spans="1:18" x14ac:dyDescent="0.25">
      <c r="A29" t="s">
        <v>283</v>
      </c>
      <c r="B29" t="s">
        <v>151</v>
      </c>
      <c r="C29" t="s">
        <v>117</v>
      </c>
      <c r="D29" t="s">
        <v>134</v>
      </c>
      <c r="E29">
        <v>18</v>
      </c>
      <c r="F29">
        <v>14</v>
      </c>
      <c r="G29">
        <v>8</v>
      </c>
      <c r="H29">
        <v>12</v>
      </c>
      <c r="J29">
        <v>20</v>
      </c>
      <c r="K29" t="b">
        <v>1</v>
      </c>
      <c r="L29" t="b">
        <v>1</v>
      </c>
      <c r="M29" t="b">
        <v>1</v>
      </c>
      <c r="N29" t="b">
        <v>1</v>
      </c>
      <c r="Q29" t="b">
        <v>1</v>
      </c>
    </row>
    <row r="30" spans="1:18" x14ac:dyDescent="0.25">
      <c r="A30" t="s">
        <v>283</v>
      </c>
      <c r="B30" t="s">
        <v>127</v>
      </c>
      <c r="C30" t="s">
        <v>117</v>
      </c>
      <c r="D30" t="s">
        <v>140</v>
      </c>
      <c r="E30">
        <v>18</v>
      </c>
      <c r="F30">
        <v>14</v>
      </c>
      <c r="G30">
        <v>8</v>
      </c>
      <c r="H30">
        <v>12</v>
      </c>
      <c r="J30">
        <v>20</v>
      </c>
      <c r="K30" t="b">
        <v>1</v>
      </c>
      <c r="L30" t="b">
        <v>1</v>
      </c>
      <c r="M30" t="b">
        <v>1</v>
      </c>
      <c r="N30" t="b">
        <v>1</v>
      </c>
      <c r="Q30" t="b">
        <v>1</v>
      </c>
    </row>
    <row r="31" spans="1:18" x14ac:dyDescent="0.25">
      <c r="A31" t="s">
        <v>284</v>
      </c>
      <c r="B31" t="s">
        <v>299</v>
      </c>
      <c r="C31" t="s">
        <v>117</v>
      </c>
      <c r="D31" t="s">
        <v>134</v>
      </c>
      <c r="E31">
        <v>2</v>
      </c>
      <c r="F31">
        <v>4</v>
      </c>
      <c r="G31">
        <v>24</v>
      </c>
      <c r="H31">
        <v>4</v>
      </c>
      <c r="R31" t="b">
        <v>1</v>
      </c>
    </row>
    <row r="32" spans="1:18" x14ac:dyDescent="0.25">
      <c r="A32" t="s">
        <v>284</v>
      </c>
      <c r="B32" t="s">
        <v>149</v>
      </c>
      <c r="C32" t="s">
        <v>129</v>
      </c>
      <c r="D32" t="s">
        <v>134</v>
      </c>
      <c r="E32">
        <v>3</v>
      </c>
      <c r="F32">
        <v>5</v>
      </c>
      <c r="G32">
        <v>16</v>
      </c>
      <c r="H32">
        <v>20</v>
      </c>
    </row>
    <row r="33" spans="1:18" x14ac:dyDescent="0.25">
      <c r="A33" t="s">
        <v>284</v>
      </c>
      <c r="B33" t="s">
        <v>154</v>
      </c>
      <c r="C33" t="s">
        <v>117</v>
      </c>
      <c r="D33" t="s">
        <v>134</v>
      </c>
      <c r="E33">
        <v>16</v>
      </c>
      <c r="F33">
        <v>2</v>
      </c>
      <c r="G33">
        <v>9</v>
      </c>
      <c r="H33">
        <v>10</v>
      </c>
      <c r="J33">
        <v>18</v>
      </c>
      <c r="K33" t="b">
        <v>1</v>
      </c>
      <c r="Q33" t="b">
        <v>1</v>
      </c>
    </row>
    <row r="34" spans="1:18" x14ac:dyDescent="0.25">
      <c r="A34" t="s">
        <v>284</v>
      </c>
      <c r="B34" t="s">
        <v>127</v>
      </c>
      <c r="C34" t="s">
        <v>129</v>
      </c>
      <c r="D34" t="s">
        <v>140</v>
      </c>
      <c r="E34">
        <v>1</v>
      </c>
      <c r="F34">
        <v>1</v>
      </c>
      <c r="G34">
        <v>26</v>
      </c>
      <c r="H34">
        <v>26</v>
      </c>
    </row>
    <row r="35" spans="1:18" x14ac:dyDescent="0.25">
      <c r="A35" t="s">
        <v>285</v>
      </c>
      <c r="B35" t="s">
        <v>149</v>
      </c>
      <c r="C35" t="s">
        <v>129</v>
      </c>
      <c r="D35" t="s">
        <v>134</v>
      </c>
      <c r="E35">
        <v>2</v>
      </c>
      <c r="F35">
        <v>5</v>
      </c>
      <c r="G35">
        <v>22</v>
      </c>
      <c r="H35">
        <v>20</v>
      </c>
    </row>
    <row r="36" spans="1:18" x14ac:dyDescent="0.25">
      <c r="A36" t="s">
        <v>285</v>
      </c>
      <c r="B36" t="s">
        <v>154</v>
      </c>
      <c r="C36" t="s">
        <v>117</v>
      </c>
      <c r="D36" t="s">
        <v>134</v>
      </c>
      <c r="E36">
        <v>19</v>
      </c>
      <c r="F36">
        <v>15</v>
      </c>
      <c r="G36">
        <v>7</v>
      </c>
      <c r="H36">
        <v>10</v>
      </c>
      <c r="J36">
        <v>18</v>
      </c>
      <c r="K36" t="b">
        <v>1</v>
      </c>
      <c r="Q36" t="b">
        <v>1</v>
      </c>
    </row>
    <row r="37" spans="1:18" x14ac:dyDescent="0.25">
      <c r="A37" t="s">
        <v>285</v>
      </c>
      <c r="B37" t="s">
        <v>127</v>
      </c>
      <c r="C37" t="s">
        <v>129</v>
      </c>
      <c r="D37" t="s">
        <v>140</v>
      </c>
      <c r="E37">
        <v>1</v>
      </c>
      <c r="F37">
        <v>1</v>
      </c>
      <c r="G37">
        <v>26</v>
      </c>
      <c r="H37">
        <v>26</v>
      </c>
    </row>
    <row r="38" spans="1:18" x14ac:dyDescent="0.25">
      <c r="A38" t="s">
        <v>300</v>
      </c>
      <c r="B38" t="s">
        <v>129</v>
      </c>
      <c r="C38" t="s">
        <v>129</v>
      </c>
      <c r="D38" t="s">
        <v>298</v>
      </c>
      <c r="E38">
        <v>1</v>
      </c>
      <c r="F38">
        <v>1</v>
      </c>
      <c r="G38">
        <v>26</v>
      </c>
      <c r="H38">
        <v>26</v>
      </c>
    </row>
    <row r="39" spans="1:18" x14ac:dyDescent="0.25">
      <c r="A39" t="s">
        <v>300</v>
      </c>
      <c r="B39" t="s">
        <v>151</v>
      </c>
      <c r="C39" t="s">
        <v>117</v>
      </c>
      <c r="D39" t="s">
        <v>134</v>
      </c>
      <c r="E39">
        <v>3</v>
      </c>
      <c r="F39">
        <v>17</v>
      </c>
      <c r="G39">
        <v>22</v>
      </c>
      <c r="H39">
        <v>8</v>
      </c>
      <c r="J39">
        <v>8</v>
      </c>
    </row>
    <row r="40" spans="1:18" x14ac:dyDescent="0.25">
      <c r="A40" t="s">
        <v>300</v>
      </c>
      <c r="B40" t="s">
        <v>127</v>
      </c>
      <c r="C40" t="s">
        <v>117</v>
      </c>
      <c r="D40" t="s">
        <v>140</v>
      </c>
      <c r="E40">
        <v>3</v>
      </c>
      <c r="F40">
        <v>17</v>
      </c>
      <c r="G40">
        <v>22</v>
      </c>
      <c r="H40">
        <v>8</v>
      </c>
      <c r="J40">
        <v>8</v>
      </c>
    </row>
    <row r="41" spans="1:18" x14ac:dyDescent="0.25">
      <c r="A41" t="s">
        <v>280</v>
      </c>
      <c r="B41" t="s">
        <v>68</v>
      </c>
      <c r="C41" t="s">
        <v>117</v>
      </c>
      <c r="D41" t="s">
        <v>134</v>
      </c>
      <c r="E41">
        <v>1</v>
      </c>
      <c r="F41">
        <v>1</v>
      </c>
      <c r="G41">
        <v>26</v>
      </c>
      <c r="H41">
        <v>6</v>
      </c>
      <c r="J41">
        <v>6</v>
      </c>
      <c r="P41" t="s">
        <v>126</v>
      </c>
      <c r="R41" t="b">
        <v>1</v>
      </c>
    </row>
    <row r="42" spans="1:18" x14ac:dyDescent="0.25">
      <c r="A42" t="s">
        <v>280</v>
      </c>
      <c r="B42" t="s">
        <v>143</v>
      </c>
      <c r="C42" t="s">
        <v>117</v>
      </c>
      <c r="D42" t="s">
        <v>134</v>
      </c>
      <c r="E42">
        <v>20</v>
      </c>
      <c r="F42">
        <v>1</v>
      </c>
      <c r="G42">
        <v>7</v>
      </c>
      <c r="H42">
        <v>6</v>
      </c>
      <c r="J42">
        <v>6</v>
      </c>
      <c r="R42" t="b">
        <v>1</v>
      </c>
    </row>
    <row r="43" spans="1:18" x14ac:dyDescent="0.25">
      <c r="A43" t="s">
        <v>280</v>
      </c>
      <c r="B43" t="s">
        <v>144</v>
      </c>
      <c r="C43" t="s">
        <v>129</v>
      </c>
      <c r="D43" t="s">
        <v>134</v>
      </c>
      <c r="E43">
        <v>6</v>
      </c>
      <c r="F43">
        <v>8</v>
      </c>
      <c r="G43">
        <v>15</v>
      </c>
      <c r="H43">
        <v>17</v>
      </c>
    </row>
    <row r="44" spans="1:18" x14ac:dyDescent="0.25">
      <c r="A44" t="s">
        <v>280</v>
      </c>
      <c r="B44" t="s">
        <v>295</v>
      </c>
      <c r="C44" t="s">
        <v>117</v>
      </c>
      <c r="D44" t="s">
        <v>134</v>
      </c>
      <c r="E44">
        <v>21</v>
      </c>
      <c r="F44">
        <v>11</v>
      </c>
      <c r="G44">
        <v>4</v>
      </c>
      <c r="H44">
        <v>5</v>
      </c>
      <c r="J44">
        <v>5</v>
      </c>
    </row>
    <row r="45" spans="1:18" x14ac:dyDescent="0.25">
      <c r="A45" t="s">
        <v>280</v>
      </c>
      <c r="B45" t="s">
        <v>126</v>
      </c>
      <c r="C45" t="s">
        <v>117</v>
      </c>
      <c r="D45" t="s">
        <v>134</v>
      </c>
      <c r="E45">
        <v>2</v>
      </c>
      <c r="F45">
        <v>18</v>
      </c>
      <c r="G45">
        <v>7</v>
      </c>
      <c r="H45">
        <v>8</v>
      </c>
      <c r="K45" t="b">
        <v>1</v>
      </c>
      <c r="Q45" t="b">
        <v>1</v>
      </c>
    </row>
    <row r="46" spans="1:18" x14ac:dyDescent="0.25">
      <c r="A46" t="s">
        <v>280</v>
      </c>
      <c r="B46" t="s">
        <v>296</v>
      </c>
      <c r="C46" t="s">
        <v>117</v>
      </c>
      <c r="D46" t="s">
        <v>134</v>
      </c>
      <c r="E46">
        <v>12</v>
      </c>
      <c r="F46">
        <v>19</v>
      </c>
      <c r="G46">
        <v>6</v>
      </c>
      <c r="H46">
        <v>7</v>
      </c>
      <c r="K46" t="b">
        <v>1</v>
      </c>
      <c r="Q46" t="b">
        <v>1</v>
      </c>
    </row>
    <row r="47" spans="1:18" x14ac:dyDescent="0.25">
      <c r="A47" t="s">
        <v>280</v>
      </c>
      <c r="B47" t="s">
        <v>297</v>
      </c>
      <c r="C47" t="s">
        <v>117</v>
      </c>
      <c r="D47" t="s">
        <v>134</v>
      </c>
      <c r="E47">
        <v>18</v>
      </c>
      <c r="F47">
        <v>18</v>
      </c>
      <c r="G47">
        <v>7</v>
      </c>
      <c r="H47">
        <v>8</v>
      </c>
      <c r="K47" t="b">
        <v>1</v>
      </c>
      <c r="Q47" t="b">
        <v>1</v>
      </c>
    </row>
    <row r="48" spans="1:18" x14ac:dyDescent="0.25">
      <c r="A48" t="s">
        <v>280</v>
      </c>
      <c r="B48" t="s">
        <v>127</v>
      </c>
      <c r="C48" t="s">
        <v>129</v>
      </c>
      <c r="D48" t="s">
        <v>140</v>
      </c>
      <c r="E48">
        <v>1</v>
      </c>
      <c r="F48">
        <v>1</v>
      </c>
      <c r="G48">
        <v>26</v>
      </c>
      <c r="H48">
        <v>26</v>
      </c>
    </row>
    <row r="49" spans="1:18" x14ac:dyDescent="0.25">
      <c r="A49" t="s">
        <v>281</v>
      </c>
      <c r="B49" t="s">
        <v>68</v>
      </c>
      <c r="C49" t="s">
        <v>117</v>
      </c>
      <c r="D49" t="s">
        <v>134</v>
      </c>
      <c r="E49">
        <v>1</v>
      </c>
      <c r="F49">
        <v>1</v>
      </c>
      <c r="G49">
        <v>26</v>
      </c>
      <c r="H49">
        <v>6</v>
      </c>
      <c r="J49">
        <v>6</v>
      </c>
      <c r="P49" t="s">
        <v>126</v>
      </c>
      <c r="R49" t="b">
        <v>1</v>
      </c>
    </row>
    <row r="50" spans="1:18" x14ac:dyDescent="0.25">
      <c r="A50" t="s">
        <v>281</v>
      </c>
      <c r="B50" t="s">
        <v>143</v>
      </c>
      <c r="C50" t="s">
        <v>117</v>
      </c>
      <c r="D50" t="s">
        <v>134</v>
      </c>
      <c r="E50">
        <v>20</v>
      </c>
      <c r="F50">
        <v>1</v>
      </c>
      <c r="G50">
        <v>7</v>
      </c>
      <c r="H50">
        <v>6</v>
      </c>
      <c r="J50">
        <v>6</v>
      </c>
      <c r="R50" t="b">
        <v>1</v>
      </c>
    </row>
    <row r="51" spans="1:18" x14ac:dyDescent="0.25">
      <c r="A51" t="s">
        <v>281</v>
      </c>
      <c r="B51" t="s">
        <v>144</v>
      </c>
      <c r="C51" t="s">
        <v>129</v>
      </c>
      <c r="D51" t="s">
        <v>134</v>
      </c>
      <c r="E51">
        <v>6</v>
      </c>
      <c r="F51">
        <v>7</v>
      </c>
      <c r="G51">
        <v>15</v>
      </c>
      <c r="H51">
        <v>17</v>
      </c>
    </row>
    <row r="52" spans="1:18" x14ac:dyDescent="0.25">
      <c r="A52" t="s">
        <v>281</v>
      </c>
      <c r="B52" t="s">
        <v>295</v>
      </c>
      <c r="C52" t="s">
        <v>117</v>
      </c>
      <c r="D52" t="s">
        <v>134</v>
      </c>
      <c r="E52">
        <v>21</v>
      </c>
      <c r="F52">
        <v>11</v>
      </c>
      <c r="G52">
        <v>4</v>
      </c>
      <c r="H52">
        <v>5</v>
      </c>
      <c r="J52">
        <v>5</v>
      </c>
    </row>
    <row r="53" spans="1:18" x14ac:dyDescent="0.25">
      <c r="A53" t="s">
        <v>281</v>
      </c>
      <c r="B53" t="s">
        <v>126</v>
      </c>
      <c r="C53" t="s">
        <v>117</v>
      </c>
      <c r="D53" t="s">
        <v>134</v>
      </c>
      <c r="E53">
        <v>1</v>
      </c>
      <c r="F53">
        <v>12</v>
      </c>
      <c r="G53">
        <v>7</v>
      </c>
      <c r="H53">
        <v>8</v>
      </c>
      <c r="K53" t="b">
        <v>1</v>
      </c>
      <c r="Q53" t="b">
        <v>1</v>
      </c>
    </row>
    <row r="54" spans="1:18" x14ac:dyDescent="0.25">
      <c r="A54" t="s">
        <v>281</v>
      </c>
      <c r="B54" t="s">
        <v>296</v>
      </c>
      <c r="C54" t="s">
        <v>117</v>
      </c>
      <c r="D54" t="s">
        <v>134</v>
      </c>
      <c r="E54">
        <v>2</v>
      </c>
      <c r="F54">
        <v>19</v>
      </c>
      <c r="G54">
        <v>6</v>
      </c>
      <c r="H54">
        <v>7</v>
      </c>
      <c r="K54" t="b">
        <v>1</v>
      </c>
      <c r="Q54" t="b">
        <v>1</v>
      </c>
    </row>
    <row r="55" spans="1:18" x14ac:dyDescent="0.25">
      <c r="A55" t="s">
        <v>281</v>
      </c>
      <c r="B55" t="s">
        <v>297</v>
      </c>
      <c r="C55" t="s">
        <v>117</v>
      </c>
      <c r="D55" t="s">
        <v>134</v>
      </c>
      <c r="E55">
        <v>20</v>
      </c>
      <c r="F55">
        <v>18</v>
      </c>
      <c r="G55">
        <v>7</v>
      </c>
      <c r="H55">
        <v>8</v>
      </c>
      <c r="K55" t="b">
        <v>1</v>
      </c>
      <c r="Q55" t="b">
        <v>1</v>
      </c>
    </row>
    <row r="56" spans="1:18" x14ac:dyDescent="0.25">
      <c r="A56" t="s">
        <v>281</v>
      </c>
      <c r="B56" t="s">
        <v>127</v>
      </c>
      <c r="C56" t="s">
        <v>129</v>
      </c>
      <c r="D56" t="s">
        <v>140</v>
      </c>
      <c r="E56">
        <v>1</v>
      </c>
      <c r="F56">
        <v>1</v>
      </c>
      <c r="G56">
        <v>26</v>
      </c>
      <c r="H56">
        <v>26</v>
      </c>
    </row>
    <row r="57" spans="1:18" x14ac:dyDescent="0.25">
      <c r="A57" t="s">
        <v>282</v>
      </c>
      <c r="B57" t="s">
        <v>68</v>
      </c>
      <c r="C57" t="s">
        <v>117</v>
      </c>
      <c r="D57" t="s">
        <v>134</v>
      </c>
      <c r="E57">
        <v>1</v>
      </c>
      <c r="F57">
        <v>1</v>
      </c>
      <c r="G57">
        <v>26</v>
      </c>
      <c r="H57">
        <v>6</v>
      </c>
      <c r="J57">
        <v>6</v>
      </c>
      <c r="P57" t="s">
        <v>126</v>
      </c>
      <c r="R57" t="b">
        <v>1</v>
      </c>
    </row>
    <row r="58" spans="1:18" x14ac:dyDescent="0.25">
      <c r="A58" t="s">
        <v>282</v>
      </c>
      <c r="B58" t="s">
        <v>143</v>
      </c>
      <c r="C58" t="s">
        <v>117</v>
      </c>
      <c r="D58" t="s">
        <v>134</v>
      </c>
      <c r="E58">
        <v>20</v>
      </c>
      <c r="F58">
        <v>1</v>
      </c>
      <c r="G58">
        <v>7</v>
      </c>
      <c r="H58">
        <v>6</v>
      </c>
      <c r="J58">
        <v>6</v>
      </c>
      <c r="R58" t="b">
        <v>1</v>
      </c>
    </row>
    <row r="59" spans="1:18" x14ac:dyDescent="0.25">
      <c r="A59" t="s">
        <v>282</v>
      </c>
      <c r="B59" t="s">
        <v>144</v>
      </c>
      <c r="C59" t="s">
        <v>129</v>
      </c>
      <c r="D59" t="s">
        <v>134</v>
      </c>
      <c r="E59">
        <v>5</v>
      </c>
      <c r="F59">
        <v>5</v>
      </c>
      <c r="G59">
        <v>15</v>
      </c>
      <c r="H59">
        <v>17</v>
      </c>
    </row>
    <row r="60" spans="1:18" x14ac:dyDescent="0.25">
      <c r="A60" t="s">
        <v>282</v>
      </c>
      <c r="B60" t="s">
        <v>295</v>
      </c>
      <c r="C60" t="s">
        <v>117</v>
      </c>
      <c r="D60" t="s">
        <v>134</v>
      </c>
      <c r="E60">
        <v>21</v>
      </c>
      <c r="F60">
        <v>11</v>
      </c>
      <c r="G60">
        <v>4</v>
      </c>
      <c r="H60">
        <v>5</v>
      </c>
      <c r="J60">
        <v>5</v>
      </c>
    </row>
    <row r="61" spans="1:18" x14ac:dyDescent="0.25">
      <c r="A61" t="s">
        <v>282</v>
      </c>
      <c r="B61" t="s">
        <v>126</v>
      </c>
      <c r="C61" t="s">
        <v>117</v>
      </c>
      <c r="D61" t="s">
        <v>134</v>
      </c>
      <c r="E61">
        <v>2</v>
      </c>
      <c r="F61">
        <v>18</v>
      </c>
      <c r="G61">
        <v>7</v>
      </c>
      <c r="H61">
        <v>8</v>
      </c>
      <c r="K61" t="b">
        <v>1</v>
      </c>
      <c r="Q61" t="b">
        <v>1</v>
      </c>
    </row>
    <row r="62" spans="1:18" x14ac:dyDescent="0.25">
      <c r="A62" t="s">
        <v>282</v>
      </c>
      <c r="B62" t="s">
        <v>296</v>
      </c>
      <c r="C62" t="s">
        <v>117</v>
      </c>
      <c r="D62" t="s">
        <v>134</v>
      </c>
      <c r="E62">
        <v>11</v>
      </c>
      <c r="F62">
        <v>19</v>
      </c>
      <c r="G62">
        <v>6</v>
      </c>
      <c r="H62">
        <v>7</v>
      </c>
      <c r="K62" t="b">
        <v>1</v>
      </c>
      <c r="Q62" t="b">
        <v>1</v>
      </c>
    </row>
    <row r="63" spans="1:18" x14ac:dyDescent="0.25">
      <c r="A63" t="s">
        <v>282</v>
      </c>
      <c r="B63" t="s">
        <v>297</v>
      </c>
      <c r="C63" t="s">
        <v>117</v>
      </c>
      <c r="D63" t="s">
        <v>134</v>
      </c>
      <c r="E63">
        <v>18</v>
      </c>
      <c r="F63">
        <v>18</v>
      </c>
      <c r="G63">
        <v>7</v>
      </c>
      <c r="H63">
        <v>8</v>
      </c>
      <c r="K63" t="b">
        <v>1</v>
      </c>
      <c r="Q63" t="b">
        <v>1</v>
      </c>
    </row>
    <row r="64" spans="1:18" x14ac:dyDescent="0.25">
      <c r="A64" t="s">
        <v>282</v>
      </c>
      <c r="B64" t="s">
        <v>127</v>
      </c>
      <c r="C64" t="s">
        <v>129</v>
      </c>
      <c r="D64" t="s">
        <v>140</v>
      </c>
      <c r="E64">
        <v>1</v>
      </c>
      <c r="F64">
        <v>1</v>
      </c>
      <c r="G64">
        <v>26</v>
      </c>
      <c r="H64">
        <v>26</v>
      </c>
    </row>
    <row r="65" spans="1:18" x14ac:dyDescent="0.25">
      <c r="A65" t="s">
        <v>368</v>
      </c>
      <c r="B65" t="s">
        <v>125</v>
      </c>
      <c r="C65" t="s">
        <v>129</v>
      </c>
      <c r="D65" t="s">
        <v>298</v>
      </c>
      <c r="E65">
        <v>1</v>
      </c>
      <c r="F65">
        <v>1</v>
      </c>
      <c r="G65">
        <v>26</v>
      </c>
      <c r="H65">
        <v>26</v>
      </c>
      <c r="Q65" t="b">
        <v>1</v>
      </c>
    </row>
    <row r="66" spans="1:18" x14ac:dyDescent="0.25">
      <c r="A66" t="s">
        <v>368</v>
      </c>
      <c r="B66" t="s">
        <v>68</v>
      </c>
      <c r="C66" t="s">
        <v>117</v>
      </c>
      <c r="D66" t="s">
        <v>134</v>
      </c>
      <c r="E66">
        <v>1</v>
      </c>
      <c r="F66">
        <v>1</v>
      </c>
      <c r="G66">
        <v>6</v>
      </c>
      <c r="H66">
        <v>17</v>
      </c>
      <c r="J66">
        <v>8</v>
      </c>
      <c r="K66" t="b">
        <v>1</v>
      </c>
      <c r="O66" t="s">
        <v>294</v>
      </c>
      <c r="R66" t="b">
        <v>1</v>
      </c>
    </row>
    <row r="67" spans="1:18" x14ac:dyDescent="0.25">
      <c r="A67" t="s">
        <v>368</v>
      </c>
      <c r="B67" t="s">
        <v>370</v>
      </c>
      <c r="C67" t="s">
        <v>129</v>
      </c>
      <c r="D67" t="s">
        <v>134</v>
      </c>
      <c r="E67">
        <v>2</v>
      </c>
      <c r="F67">
        <v>3</v>
      </c>
      <c r="G67">
        <v>22</v>
      </c>
      <c r="H67">
        <v>22</v>
      </c>
    </row>
    <row r="68" spans="1:18" x14ac:dyDescent="0.25">
      <c r="A68" t="s">
        <v>368</v>
      </c>
      <c r="B68" t="s">
        <v>126</v>
      </c>
      <c r="C68" t="s">
        <v>117</v>
      </c>
      <c r="D68" t="s">
        <v>134</v>
      </c>
      <c r="E68">
        <v>3</v>
      </c>
      <c r="F68">
        <v>18</v>
      </c>
      <c r="G68">
        <v>6</v>
      </c>
      <c r="H68">
        <v>8</v>
      </c>
      <c r="J68">
        <v>10</v>
      </c>
      <c r="K68" t="b">
        <v>1</v>
      </c>
      <c r="R68" t="b">
        <v>1</v>
      </c>
    </row>
    <row r="69" spans="1:18" x14ac:dyDescent="0.25">
      <c r="A69" t="s">
        <v>368</v>
      </c>
      <c r="B69" t="s">
        <v>296</v>
      </c>
      <c r="C69" t="s">
        <v>117</v>
      </c>
      <c r="D69" t="s">
        <v>134</v>
      </c>
      <c r="E69">
        <v>11</v>
      </c>
      <c r="F69">
        <v>18</v>
      </c>
      <c r="G69">
        <v>6</v>
      </c>
      <c r="H69">
        <v>8</v>
      </c>
      <c r="J69">
        <v>10</v>
      </c>
      <c r="K69" t="b">
        <v>1</v>
      </c>
      <c r="R69" t="b">
        <v>1</v>
      </c>
    </row>
    <row r="70" spans="1:18" x14ac:dyDescent="0.25">
      <c r="A70" t="s">
        <v>368</v>
      </c>
      <c r="B70" t="s">
        <v>297</v>
      </c>
      <c r="C70" t="s">
        <v>117</v>
      </c>
      <c r="D70" t="s">
        <v>134</v>
      </c>
      <c r="E70">
        <v>19</v>
      </c>
      <c r="F70">
        <v>18</v>
      </c>
      <c r="G70">
        <v>6</v>
      </c>
      <c r="H70">
        <v>8</v>
      </c>
      <c r="J70">
        <v>10</v>
      </c>
      <c r="K70" t="b">
        <v>1</v>
      </c>
      <c r="R70" t="b">
        <v>1</v>
      </c>
    </row>
    <row r="71" spans="1:18" x14ac:dyDescent="0.25">
      <c r="A71" t="s">
        <v>369</v>
      </c>
      <c r="B71" t="s">
        <v>68</v>
      </c>
      <c r="C71" t="s">
        <v>117</v>
      </c>
      <c r="D71" t="s">
        <v>298</v>
      </c>
      <c r="E71">
        <v>1</v>
      </c>
      <c r="F71">
        <v>1</v>
      </c>
      <c r="G71">
        <v>26</v>
      </c>
      <c r="H71">
        <v>5</v>
      </c>
      <c r="J71">
        <v>6</v>
      </c>
      <c r="K71" t="b">
        <v>1</v>
      </c>
      <c r="P71" t="s">
        <v>297</v>
      </c>
      <c r="R71" t="b">
        <v>1</v>
      </c>
    </row>
    <row r="72" spans="1:18" x14ac:dyDescent="0.25">
      <c r="A72" t="s">
        <v>369</v>
      </c>
      <c r="B72" t="s">
        <v>371</v>
      </c>
      <c r="C72" t="s">
        <v>117</v>
      </c>
      <c r="D72" t="s">
        <v>140</v>
      </c>
      <c r="E72">
        <v>1</v>
      </c>
      <c r="F72">
        <v>12</v>
      </c>
      <c r="G72">
        <v>26</v>
      </c>
      <c r="H72">
        <v>5</v>
      </c>
      <c r="J72">
        <v>6</v>
      </c>
      <c r="R72" t="b">
        <v>1</v>
      </c>
    </row>
    <row r="73" spans="1:18" x14ac:dyDescent="0.25">
      <c r="A73" t="s">
        <v>369</v>
      </c>
      <c r="B73" t="s">
        <v>372</v>
      </c>
      <c r="C73" t="s">
        <v>117</v>
      </c>
      <c r="D73" t="s">
        <v>298</v>
      </c>
      <c r="E73">
        <v>2</v>
      </c>
      <c r="F73">
        <v>6</v>
      </c>
      <c r="G73">
        <v>3</v>
      </c>
      <c r="H73">
        <v>3</v>
      </c>
      <c r="J73">
        <v>6</v>
      </c>
      <c r="K73" t="b">
        <v>1</v>
      </c>
      <c r="Q73" t="b">
        <v>1</v>
      </c>
    </row>
    <row r="74" spans="1:18" x14ac:dyDescent="0.25">
      <c r="A74" t="s">
        <v>369</v>
      </c>
      <c r="B74" t="s">
        <v>144</v>
      </c>
      <c r="C74" t="s">
        <v>129</v>
      </c>
      <c r="D74" t="s">
        <v>298</v>
      </c>
      <c r="E74">
        <v>8</v>
      </c>
      <c r="F74">
        <v>6</v>
      </c>
      <c r="G74">
        <v>15</v>
      </c>
      <c r="H74">
        <v>17</v>
      </c>
    </row>
    <row r="75" spans="1:18" x14ac:dyDescent="0.25">
      <c r="A75" t="s">
        <v>369</v>
      </c>
      <c r="B75" t="s">
        <v>373</v>
      </c>
      <c r="C75" t="s">
        <v>129</v>
      </c>
      <c r="D75" t="s">
        <v>298</v>
      </c>
      <c r="E75">
        <v>2</v>
      </c>
      <c r="F75">
        <v>10</v>
      </c>
      <c r="G75">
        <v>3</v>
      </c>
      <c r="H75">
        <v>3</v>
      </c>
    </row>
    <row r="76" spans="1:18" x14ac:dyDescent="0.25">
      <c r="A76" t="s">
        <v>369</v>
      </c>
      <c r="B76" t="s">
        <v>374</v>
      </c>
      <c r="C76" t="s">
        <v>117</v>
      </c>
      <c r="D76" t="s">
        <v>298</v>
      </c>
      <c r="E76">
        <v>2</v>
      </c>
      <c r="F76">
        <v>14</v>
      </c>
      <c r="G76">
        <v>3</v>
      </c>
      <c r="H76">
        <v>3</v>
      </c>
      <c r="J76">
        <v>6</v>
      </c>
      <c r="K76" t="b">
        <v>1</v>
      </c>
      <c r="Q76" t="b">
        <v>1</v>
      </c>
    </row>
    <row r="77" spans="1:18" x14ac:dyDescent="0.25">
      <c r="A77" t="s">
        <v>369</v>
      </c>
      <c r="B77" t="s">
        <v>388</v>
      </c>
      <c r="C77" t="s">
        <v>117</v>
      </c>
      <c r="D77" t="s">
        <v>134</v>
      </c>
      <c r="E77">
        <v>2</v>
      </c>
      <c r="F77">
        <v>18</v>
      </c>
      <c r="G77">
        <v>7</v>
      </c>
      <c r="H77">
        <v>8</v>
      </c>
      <c r="K77" t="b">
        <v>1</v>
      </c>
      <c r="Q77" t="b">
        <v>1</v>
      </c>
    </row>
    <row r="78" spans="1:18" x14ac:dyDescent="0.25">
      <c r="A78" t="s">
        <v>369</v>
      </c>
      <c r="B78" t="s">
        <v>389</v>
      </c>
      <c r="C78" t="s">
        <v>117</v>
      </c>
      <c r="D78" t="s">
        <v>134</v>
      </c>
      <c r="E78">
        <v>14</v>
      </c>
      <c r="F78">
        <v>18</v>
      </c>
      <c r="G78">
        <v>6</v>
      </c>
      <c r="H78">
        <v>8</v>
      </c>
      <c r="K78" t="b">
        <v>1</v>
      </c>
      <c r="Q78" t="b">
        <v>1</v>
      </c>
    </row>
    <row r="79" spans="1:18" x14ac:dyDescent="0.25">
      <c r="A79" t="s">
        <v>369</v>
      </c>
      <c r="B79" t="s">
        <v>390</v>
      </c>
      <c r="C79" t="s">
        <v>117</v>
      </c>
      <c r="D79" t="s">
        <v>134</v>
      </c>
      <c r="E79">
        <v>19</v>
      </c>
      <c r="F79">
        <v>18</v>
      </c>
      <c r="G79">
        <v>7</v>
      </c>
      <c r="H79">
        <v>8</v>
      </c>
      <c r="K79" t="b">
        <v>1</v>
      </c>
      <c r="Q79" t="b">
        <v>1</v>
      </c>
    </row>
    <row r="80" spans="1:18" x14ac:dyDescent="0.25">
      <c r="A80" t="s">
        <v>369</v>
      </c>
      <c r="B80" t="s">
        <v>375</v>
      </c>
      <c r="C80" t="s">
        <v>117</v>
      </c>
      <c r="D80" t="s">
        <v>134</v>
      </c>
      <c r="E80">
        <v>20</v>
      </c>
      <c r="F80">
        <v>8</v>
      </c>
      <c r="G80">
        <v>6</v>
      </c>
      <c r="H80">
        <v>7</v>
      </c>
      <c r="K80" t="b">
        <v>1</v>
      </c>
      <c r="Q80" t="b">
        <v>1</v>
      </c>
    </row>
    <row r="81" spans="1:18" x14ac:dyDescent="0.25">
      <c r="A81" t="s">
        <v>369</v>
      </c>
      <c r="B81" t="s">
        <v>385</v>
      </c>
      <c r="C81" t="s">
        <v>117</v>
      </c>
      <c r="D81" t="s">
        <v>140</v>
      </c>
      <c r="E81">
        <v>2</v>
      </c>
      <c r="F81">
        <v>18</v>
      </c>
      <c r="G81">
        <v>7</v>
      </c>
      <c r="H81">
        <v>8</v>
      </c>
      <c r="K81" t="b">
        <v>1</v>
      </c>
      <c r="Q81" t="b">
        <v>1</v>
      </c>
    </row>
    <row r="82" spans="1:18" x14ac:dyDescent="0.25">
      <c r="A82" t="s">
        <v>369</v>
      </c>
      <c r="B82" t="s">
        <v>386</v>
      </c>
      <c r="C82" t="s">
        <v>117</v>
      </c>
      <c r="D82" t="s">
        <v>140</v>
      </c>
      <c r="E82">
        <v>14</v>
      </c>
      <c r="F82">
        <v>18</v>
      </c>
      <c r="G82">
        <v>6</v>
      </c>
      <c r="H82">
        <v>8</v>
      </c>
      <c r="K82" t="b">
        <v>1</v>
      </c>
      <c r="Q82" t="b">
        <v>1</v>
      </c>
    </row>
    <row r="83" spans="1:18" x14ac:dyDescent="0.25">
      <c r="A83" t="s">
        <v>369</v>
      </c>
      <c r="B83" t="s">
        <v>387</v>
      </c>
      <c r="C83" t="s">
        <v>117</v>
      </c>
      <c r="D83" t="s">
        <v>140</v>
      </c>
      <c r="E83">
        <v>19</v>
      </c>
      <c r="F83">
        <v>18</v>
      </c>
      <c r="G83">
        <v>7</v>
      </c>
      <c r="H83">
        <v>8</v>
      </c>
      <c r="K83" t="b">
        <v>1</v>
      </c>
      <c r="Q83" t="b">
        <v>1</v>
      </c>
    </row>
    <row r="84" spans="1:18" x14ac:dyDescent="0.25">
      <c r="A84" t="s">
        <v>367</v>
      </c>
      <c r="B84" t="s">
        <v>125</v>
      </c>
      <c r="C84" t="s">
        <v>129</v>
      </c>
      <c r="D84" t="s">
        <v>298</v>
      </c>
      <c r="E84">
        <v>1</v>
      </c>
      <c r="F84">
        <v>1</v>
      </c>
      <c r="G84">
        <v>26</v>
      </c>
      <c r="H84">
        <v>26</v>
      </c>
      <c r="Q84" t="b">
        <v>1</v>
      </c>
    </row>
    <row r="85" spans="1:18" x14ac:dyDescent="0.25">
      <c r="A85" t="s">
        <v>367</v>
      </c>
      <c r="B85" t="s">
        <v>68</v>
      </c>
      <c r="C85" t="s">
        <v>117</v>
      </c>
      <c r="D85" t="s">
        <v>134</v>
      </c>
      <c r="E85">
        <v>1</v>
      </c>
      <c r="F85">
        <v>1</v>
      </c>
      <c r="G85">
        <v>6</v>
      </c>
      <c r="H85">
        <v>17</v>
      </c>
      <c r="J85">
        <v>8</v>
      </c>
      <c r="K85" t="b">
        <v>1</v>
      </c>
      <c r="O85" t="s">
        <v>294</v>
      </c>
      <c r="R85" t="b">
        <v>1</v>
      </c>
    </row>
    <row r="86" spans="1:18" x14ac:dyDescent="0.25">
      <c r="A86" t="s">
        <v>367</v>
      </c>
      <c r="B86" t="s">
        <v>126</v>
      </c>
      <c r="C86" t="s">
        <v>117</v>
      </c>
      <c r="D86" t="s">
        <v>134</v>
      </c>
      <c r="E86">
        <v>3</v>
      </c>
      <c r="F86">
        <v>18</v>
      </c>
      <c r="G86">
        <v>6</v>
      </c>
      <c r="H86">
        <v>8</v>
      </c>
      <c r="J86">
        <v>10</v>
      </c>
      <c r="K86" t="b">
        <v>1</v>
      </c>
      <c r="R86" t="b">
        <v>1</v>
      </c>
    </row>
    <row r="87" spans="1:18" x14ac:dyDescent="0.25">
      <c r="A87" t="s">
        <v>367</v>
      </c>
      <c r="B87" t="s">
        <v>297</v>
      </c>
      <c r="C87" t="s">
        <v>117</v>
      </c>
      <c r="D87" t="s">
        <v>134</v>
      </c>
      <c r="E87">
        <v>19</v>
      </c>
      <c r="F87">
        <v>18</v>
      </c>
      <c r="G87">
        <v>6</v>
      </c>
      <c r="H87">
        <v>8</v>
      </c>
      <c r="J87">
        <v>10</v>
      </c>
      <c r="K87" t="b">
        <v>1</v>
      </c>
      <c r="R87" t="b">
        <v>1</v>
      </c>
    </row>
    <row r="88" spans="1:18" x14ac:dyDescent="0.25">
      <c r="A88" t="s">
        <v>384</v>
      </c>
      <c r="B88" t="s">
        <v>68</v>
      </c>
      <c r="C88" t="s">
        <v>117</v>
      </c>
      <c r="D88" t="s">
        <v>298</v>
      </c>
      <c r="E88">
        <v>1</v>
      </c>
      <c r="F88">
        <v>1</v>
      </c>
      <c r="G88">
        <v>26</v>
      </c>
      <c r="H88">
        <v>5</v>
      </c>
      <c r="J88">
        <v>6</v>
      </c>
      <c r="K88" t="b">
        <v>1</v>
      </c>
      <c r="P88" t="s">
        <v>297</v>
      </c>
      <c r="R88" t="b">
        <v>1</v>
      </c>
    </row>
    <row r="89" spans="1:18" x14ac:dyDescent="0.25">
      <c r="A89" t="s">
        <v>384</v>
      </c>
      <c r="B89" t="s">
        <v>371</v>
      </c>
      <c r="C89" t="s">
        <v>117</v>
      </c>
      <c r="D89" t="s">
        <v>140</v>
      </c>
      <c r="E89">
        <v>1</v>
      </c>
      <c r="F89">
        <v>12</v>
      </c>
      <c r="G89">
        <v>26</v>
      </c>
      <c r="H89">
        <v>5</v>
      </c>
      <c r="J89">
        <v>6</v>
      </c>
      <c r="R89" t="b">
        <v>1</v>
      </c>
    </row>
    <row r="90" spans="1:18" x14ac:dyDescent="0.25">
      <c r="A90" t="s">
        <v>384</v>
      </c>
      <c r="B90" t="s">
        <v>372</v>
      </c>
      <c r="C90" t="s">
        <v>117</v>
      </c>
      <c r="D90" t="s">
        <v>298</v>
      </c>
      <c r="E90">
        <v>2</v>
      </c>
      <c r="F90">
        <v>6</v>
      </c>
      <c r="G90">
        <v>3</v>
      </c>
      <c r="H90">
        <v>3</v>
      </c>
      <c r="J90">
        <v>6</v>
      </c>
      <c r="K90" t="b">
        <v>1</v>
      </c>
      <c r="Q90" t="b">
        <v>1</v>
      </c>
    </row>
    <row r="91" spans="1:18" x14ac:dyDescent="0.25">
      <c r="A91" t="s">
        <v>384</v>
      </c>
      <c r="B91" t="s">
        <v>144</v>
      </c>
      <c r="C91" t="s">
        <v>129</v>
      </c>
      <c r="D91" t="s">
        <v>298</v>
      </c>
      <c r="E91">
        <v>6</v>
      </c>
      <c r="F91">
        <v>6</v>
      </c>
      <c r="G91">
        <v>15</v>
      </c>
      <c r="H91">
        <v>17</v>
      </c>
    </row>
    <row r="92" spans="1:18" x14ac:dyDescent="0.25">
      <c r="A92" t="s">
        <v>384</v>
      </c>
      <c r="B92" t="s">
        <v>373</v>
      </c>
      <c r="C92" t="s">
        <v>129</v>
      </c>
      <c r="D92" t="s">
        <v>298</v>
      </c>
      <c r="E92">
        <v>2</v>
      </c>
      <c r="F92">
        <v>10</v>
      </c>
      <c r="G92">
        <v>3</v>
      </c>
      <c r="H92">
        <v>3</v>
      </c>
    </row>
    <row r="93" spans="1:18" x14ac:dyDescent="0.25">
      <c r="A93" t="s">
        <v>384</v>
      </c>
      <c r="B93" t="s">
        <v>374</v>
      </c>
      <c r="C93" t="s">
        <v>117</v>
      </c>
      <c r="D93" t="s">
        <v>298</v>
      </c>
      <c r="E93">
        <v>2</v>
      </c>
      <c r="F93">
        <v>14</v>
      </c>
      <c r="G93">
        <v>3</v>
      </c>
      <c r="H93">
        <v>3</v>
      </c>
      <c r="J93">
        <v>6</v>
      </c>
      <c r="K93" t="b">
        <v>1</v>
      </c>
      <c r="Q93" t="b">
        <v>1</v>
      </c>
    </row>
    <row r="94" spans="1:18" x14ac:dyDescent="0.25">
      <c r="A94" t="s">
        <v>384</v>
      </c>
      <c r="B94" t="s">
        <v>388</v>
      </c>
      <c r="C94" t="s">
        <v>117</v>
      </c>
      <c r="D94" t="s">
        <v>134</v>
      </c>
      <c r="E94">
        <v>2</v>
      </c>
      <c r="F94">
        <v>18</v>
      </c>
      <c r="G94">
        <v>7</v>
      </c>
      <c r="H94">
        <v>8</v>
      </c>
      <c r="K94" t="b">
        <v>1</v>
      </c>
      <c r="Q94" t="b">
        <v>1</v>
      </c>
    </row>
    <row r="95" spans="1:18" x14ac:dyDescent="0.25">
      <c r="A95" t="s">
        <v>384</v>
      </c>
      <c r="B95" t="s">
        <v>389</v>
      </c>
      <c r="C95" t="s">
        <v>117</v>
      </c>
      <c r="D95" t="s">
        <v>134</v>
      </c>
      <c r="E95">
        <v>12</v>
      </c>
      <c r="F95">
        <v>19</v>
      </c>
      <c r="G95">
        <v>6</v>
      </c>
      <c r="H95">
        <v>8</v>
      </c>
      <c r="K95" t="b">
        <v>1</v>
      </c>
      <c r="Q95" t="b">
        <v>1</v>
      </c>
    </row>
    <row r="96" spans="1:18" x14ac:dyDescent="0.25">
      <c r="A96" t="s">
        <v>384</v>
      </c>
      <c r="B96" t="s">
        <v>390</v>
      </c>
      <c r="C96" t="s">
        <v>117</v>
      </c>
      <c r="D96" t="s">
        <v>134</v>
      </c>
      <c r="E96">
        <v>18</v>
      </c>
      <c r="F96">
        <v>18</v>
      </c>
      <c r="G96">
        <v>7</v>
      </c>
      <c r="H96">
        <v>8</v>
      </c>
      <c r="K96" t="b">
        <v>1</v>
      </c>
      <c r="Q96" t="b">
        <v>1</v>
      </c>
    </row>
    <row r="97" spans="1:17" x14ac:dyDescent="0.25">
      <c r="A97" t="s">
        <v>384</v>
      </c>
      <c r="B97" t="s">
        <v>375</v>
      </c>
      <c r="C97" t="s">
        <v>117</v>
      </c>
      <c r="D97" t="s">
        <v>134</v>
      </c>
      <c r="E97">
        <v>20</v>
      </c>
      <c r="F97">
        <v>8</v>
      </c>
      <c r="G97">
        <v>6</v>
      </c>
      <c r="H97">
        <v>7</v>
      </c>
      <c r="K97" t="b">
        <v>1</v>
      </c>
      <c r="Q97" t="b">
        <v>1</v>
      </c>
    </row>
    <row r="98" spans="1:17" x14ac:dyDescent="0.25">
      <c r="A98" t="s">
        <v>384</v>
      </c>
      <c r="B98" t="s">
        <v>385</v>
      </c>
      <c r="C98" t="s">
        <v>117</v>
      </c>
      <c r="D98" t="s">
        <v>140</v>
      </c>
      <c r="E98">
        <v>2</v>
      </c>
      <c r="F98">
        <v>18</v>
      </c>
      <c r="G98">
        <v>7</v>
      </c>
      <c r="H98">
        <v>8</v>
      </c>
      <c r="K98" t="b">
        <v>1</v>
      </c>
      <c r="Q98" t="b">
        <v>1</v>
      </c>
    </row>
    <row r="99" spans="1:17" x14ac:dyDescent="0.25">
      <c r="A99" t="s">
        <v>384</v>
      </c>
      <c r="B99" t="s">
        <v>386</v>
      </c>
      <c r="C99" t="s">
        <v>117</v>
      </c>
      <c r="D99" t="s">
        <v>140</v>
      </c>
      <c r="E99">
        <v>12</v>
      </c>
      <c r="F99">
        <v>19</v>
      </c>
      <c r="G99">
        <v>6</v>
      </c>
      <c r="H99">
        <v>8</v>
      </c>
      <c r="K99" t="b">
        <v>1</v>
      </c>
      <c r="Q99" t="b">
        <v>1</v>
      </c>
    </row>
    <row r="100" spans="1:17" x14ac:dyDescent="0.25">
      <c r="A100" t="s">
        <v>384</v>
      </c>
      <c r="B100" t="s">
        <v>387</v>
      </c>
      <c r="C100" t="s">
        <v>117</v>
      </c>
      <c r="D100" t="s">
        <v>140</v>
      </c>
      <c r="E100">
        <v>18</v>
      </c>
      <c r="F100">
        <v>18</v>
      </c>
      <c r="G100">
        <v>7</v>
      </c>
      <c r="H100">
        <v>8</v>
      </c>
      <c r="K100" t="b">
        <v>1</v>
      </c>
      <c r="Q100" t="b">
        <v>1</v>
      </c>
    </row>
  </sheetData>
  <phoneticPr fontId="1" type="noConversion"/>
  <conditionalFormatting sqref="I9:P9 R9 I18:P18 R18 I26:P26 R26">
    <cfRule type="expression" dxfId="16" priority="5" stopIfTrue="1">
      <formula>($A9&lt;&gt;$B10)</formula>
    </cfRule>
  </conditionalFormatting>
  <conditionalFormatting sqref="A1:R1">
    <cfRule type="expression" dxfId="15" priority="6" stopIfTrue="1">
      <formula>($A1&lt;&gt;#REF!)</formula>
    </cfRule>
  </conditionalFormatting>
  <conditionalFormatting sqref="Q2:Q4 A2:H4 A7:H12 Q7:Q18 A15:H18 A19:R25 Q26 A26:H26 A27:R63 A87:R87 A65:R84">
    <cfRule type="expression" dxfId="14" priority="7" stopIfTrue="1">
      <formula>($A2&lt;&gt;$A3)</formula>
    </cfRule>
  </conditionalFormatting>
  <conditionalFormatting sqref="A5:H6 Q5:Q6 A13:H14">
    <cfRule type="expression" dxfId="13" priority="8" stopIfTrue="1">
      <formula>($A5&lt;&gt;$A7)</formula>
    </cfRule>
  </conditionalFormatting>
  <conditionalFormatting sqref="A85:R86">
    <cfRule type="expression" dxfId="12" priority="9" stopIfTrue="1">
      <formula>($A85&lt;&gt;#REF!)</formula>
    </cfRule>
  </conditionalFormatting>
  <conditionalFormatting sqref="A64:R64">
    <cfRule type="expression" dxfId="11" priority="2" stopIfTrue="1">
      <formula>($A64&lt;&gt;$A65)</formula>
    </cfRule>
  </conditionalFormatting>
  <conditionalFormatting sqref="A88:R100">
    <cfRule type="expression" dxfId="10" priority="1" stopIfTrue="1">
      <formula>($A88&lt;&gt;$A89)</formula>
    </cfRule>
  </conditionalFormatting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54"/>
  <sheetViews>
    <sheetView topLeftCell="A36" workbookViewId="0">
      <selection activeCell="A54" sqref="A54"/>
    </sheetView>
  </sheetViews>
  <sheetFormatPr defaultRowHeight="13.2" x14ac:dyDescent="0.25"/>
  <cols>
    <col min="1" max="1" width="10.5546875" bestFit="1" customWidth="1"/>
  </cols>
  <sheetData>
    <row r="1" spans="1:3" x14ac:dyDescent="0.25">
      <c r="A1" s="5" t="s">
        <v>0</v>
      </c>
    </row>
    <row r="2" spans="1:3" x14ac:dyDescent="0.25">
      <c r="A2" t="s">
        <v>235</v>
      </c>
      <c r="C2" t="s">
        <v>353</v>
      </c>
    </row>
    <row r="3" spans="1:3" x14ac:dyDescent="0.25">
      <c r="A3" t="s">
        <v>236</v>
      </c>
      <c r="C3" t="s">
        <v>354</v>
      </c>
    </row>
    <row r="4" spans="1:3" x14ac:dyDescent="0.25">
      <c r="A4" t="s">
        <v>242</v>
      </c>
    </row>
    <row r="5" spans="1:3" x14ac:dyDescent="0.25">
      <c r="A5" t="s">
        <v>243</v>
      </c>
    </row>
    <row r="6" spans="1:3" x14ac:dyDescent="0.25">
      <c r="A6" t="s">
        <v>326</v>
      </c>
      <c r="C6" t="s">
        <v>355</v>
      </c>
    </row>
    <row r="7" spans="1:3" x14ac:dyDescent="0.25">
      <c r="A7" t="s">
        <v>301</v>
      </c>
    </row>
    <row r="8" spans="1:3" x14ac:dyDescent="0.25">
      <c r="A8" t="s">
        <v>302</v>
      </c>
      <c r="C8" t="s">
        <v>356</v>
      </c>
    </row>
    <row r="9" spans="1:3" x14ac:dyDescent="0.25">
      <c r="A9" t="s">
        <v>283</v>
      </c>
    </row>
    <row r="10" spans="1:3" x14ac:dyDescent="0.25">
      <c r="A10" t="s">
        <v>343</v>
      </c>
    </row>
    <row r="11" spans="1:3" x14ac:dyDescent="0.25">
      <c r="A11" t="s">
        <v>344</v>
      </c>
      <c r="C11" t="s">
        <v>357</v>
      </c>
    </row>
    <row r="12" spans="1:3" x14ac:dyDescent="0.25">
      <c r="A12" t="s">
        <v>303</v>
      </c>
    </row>
    <row r="13" spans="1:3" x14ac:dyDescent="0.25">
      <c r="A13" t="s">
        <v>304</v>
      </c>
    </row>
    <row r="14" spans="1:3" x14ac:dyDescent="0.25">
      <c r="A14" t="s">
        <v>300</v>
      </c>
    </row>
    <row r="15" spans="1:3" x14ac:dyDescent="0.25">
      <c r="A15" t="s">
        <v>305</v>
      </c>
      <c r="C15" t="s">
        <v>358</v>
      </c>
    </row>
    <row r="16" spans="1:3" x14ac:dyDescent="0.25">
      <c r="A16" t="s">
        <v>306</v>
      </c>
      <c r="C16" t="s">
        <v>359</v>
      </c>
    </row>
    <row r="17" spans="1:3" x14ac:dyDescent="0.25">
      <c r="A17" t="s">
        <v>307</v>
      </c>
      <c r="C17" t="s">
        <v>360</v>
      </c>
    </row>
    <row r="18" spans="1:3" x14ac:dyDescent="0.25">
      <c r="A18" t="s">
        <v>308</v>
      </c>
      <c r="C18" t="s">
        <v>361</v>
      </c>
    </row>
    <row r="19" spans="1:3" x14ac:dyDescent="0.25">
      <c r="A19" t="s">
        <v>309</v>
      </c>
      <c r="C19" t="s">
        <v>362</v>
      </c>
    </row>
    <row r="20" spans="1:3" x14ac:dyDescent="0.25">
      <c r="A20" t="s">
        <v>310</v>
      </c>
    </row>
    <row r="21" spans="1:3" x14ac:dyDescent="0.25">
      <c r="A21" t="s">
        <v>311</v>
      </c>
    </row>
    <row r="22" spans="1:3" x14ac:dyDescent="0.25">
      <c r="A22" t="s">
        <v>312</v>
      </c>
    </row>
    <row r="23" spans="1:3" x14ac:dyDescent="0.25">
      <c r="A23" t="s">
        <v>313</v>
      </c>
      <c r="C23" t="s">
        <v>363</v>
      </c>
    </row>
    <row r="24" spans="1:3" x14ac:dyDescent="0.25">
      <c r="A24" t="s">
        <v>314</v>
      </c>
    </row>
    <row r="25" spans="1:3" x14ac:dyDescent="0.25">
      <c r="A25" t="s">
        <v>315</v>
      </c>
    </row>
    <row r="26" spans="1:3" x14ac:dyDescent="0.25">
      <c r="A26" t="s">
        <v>316</v>
      </c>
    </row>
    <row r="27" spans="1:3" x14ac:dyDescent="0.25">
      <c r="A27" t="s">
        <v>317</v>
      </c>
      <c r="C27" t="s">
        <v>364</v>
      </c>
    </row>
    <row r="28" spans="1:3" x14ac:dyDescent="0.25">
      <c r="A28" t="s">
        <v>318</v>
      </c>
    </row>
    <row r="29" spans="1:3" x14ac:dyDescent="0.25">
      <c r="A29" t="s">
        <v>319</v>
      </c>
    </row>
    <row r="30" spans="1:3" x14ac:dyDescent="0.25">
      <c r="A30" t="s">
        <v>320</v>
      </c>
    </row>
    <row r="31" spans="1:3" x14ac:dyDescent="0.25">
      <c r="A31" t="s">
        <v>327</v>
      </c>
    </row>
    <row r="32" spans="1:3" x14ac:dyDescent="0.25">
      <c r="A32" t="s">
        <v>328</v>
      </c>
    </row>
    <row r="33" spans="1:3" x14ac:dyDescent="0.25">
      <c r="A33" t="s">
        <v>329</v>
      </c>
    </row>
    <row r="34" spans="1:3" x14ac:dyDescent="0.25">
      <c r="A34" t="s">
        <v>330</v>
      </c>
    </row>
    <row r="35" spans="1:3" x14ac:dyDescent="0.25">
      <c r="A35" t="s">
        <v>331</v>
      </c>
    </row>
    <row r="36" spans="1:3" x14ac:dyDescent="0.25">
      <c r="A36" t="s">
        <v>332</v>
      </c>
    </row>
    <row r="37" spans="1:3" x14ac:dyDescent="0.25">
      <c r="A37" t="s">
        <v>333</v>
      </c>
    </row>
    <row r="38" spans="1:3" x14ac:dyDescent="0.25">
      <c r="A38" t="s">
        <v>334</v>
      </c>
    </row>
    <row r="39" spans="1:3" x14ac:dyDescent="0.25">
      <c r="A39" t="s">
        <v>335</v>
      </c>
    </row>
    <row r="40" spans="1:3" x14ac:dyDescent="0.25">
      <c r="A40" t="s">
        <v>336</v>
      </c>
    </row>
    <row r="41" spans="1:3" x14ac:dyDescent="0.25">
      <c r="A41" t="s">
        <v>337</v>
      </c>
    </row>
    <row r="42" spans="1:3" x14ac:dyDescent="0.25">
      <c r="A42" t="s">
        <v>338</v>
      </c>
    </row>
    <row r="43" spans="1:3" x14ac:dyDescent="0.25">
      <c r="A43" t="s">
        <v>339</v>
      </c>
    </row>
    <row r="44" spans="1:3" x14ac:dyDescent="0.25">
      <c r="A44" t="s">
        <v>340</v>
      </c>
    </row>
    <row r="45" spans="1:3" x14ac:dyDescent="0.25">
      <c r="A45" t="s">
        <v>341</v>
      </c>
    </row>
    <row r="46" spans="1:3" x14ac:dyDescent="0.25">
      <c r="A46" t="s">
        <v>342</v>
      </c>
    </row>
    <row r="47" spans="1:3" x14ac:dyDescent="0.25">
      <c r="A47" t="s">
        <v>321</v>
      </c>
    </row>
    <row r="48" spans="1:3" x14ac:dyDescent="0.25">
      <c r="A48" t="s">
        <v>322</v>
      </c>
      <c r="C48" t="s">
        <v>365</v>
      </c>
    </row>
    <row r="49" spans="1:10" x14ac:dyDescent="0.25">
      <c r="A49" t="s">
        <v>323</v>
      </c>
    </row>
    <row r="50" spans="1:10" x14ac:dyDescent="0.25">
      <c r="A50" t="s">
        <v>324</v>
      </c>
      <c r="J50" s="1"/>
    </row>
    <row r="51" spans="1:10" x14ac:dyDescent="0.25">
      <c r="A51" t="s">
        <v>325</v>
      </c>
      <c r="J51" s="1"/>
    </row>
    <row r="52" spans="1:10" x14ac:dyDescent="0.25">
      <c r="A52" t="s">
        <v>376</v>
      </c>
      <c r="J52" s="1"/>
    </row>
    <row r="53" spans="1:10" x14ac:dyDescent="0.25">
      <c r="A53" t="s">
        <v>377</v>
      </c>
      <c r="J53" s="1"/>
    </row>
    <row r="54" spans="1:10" x14ac:dyDescent="0.25">
      <c r="A54" s="1" t="s">
        <v>378</v>
      </c>
      <c r="J54" s="1"/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05"/>
  <sheetViews>
    <sheetView topLeftCell="A478" workbookViewId="0">
      <selection activeCell="G494" sqref="G494"/>
    </sheetView>
  </sheetViews>
  <sheetFormatPr defaultRowHeight="13.2" x14ac:dyDescent="0.25"/>
  <cols>
    <col min="1" max="1" width="15.6640625" bestFit="1" customWidth="1"/>
    <col min="2" max="2" width="9" bestFit="1" customWidth="1"/>
    <col min="3" max="4" width="14.88671875" style="44" bestFit="1" customWidth="1"/>
  </cols>
  <sheetData>
    <row r="1" spans="1:4" x14ac:dyDescent="0.25">
      <c r="A1" s="5" t="s">
        <v>121</v>
      </c>
      <c r="B1" s="5" t="s">
        <v>120</v>
      </c>
      <c r="C1" s="43" t="s">
        <v>122</v>
      </c>
      <c r="D1" s="43" t="s">
        <v>123</v>
      </c>
    </row>
    <row r="2" spans="1:4" x14ac:dyDescent="0.25">
      <c r="A2" t="s">
        <v>235</v>
      </c>
      <c r="B2" t="s">
        <v>275</v>
      </c>
      <c r="C2" s="44" t="s">
        <v>8</v>
      </c>
      <c r="D2" s="44" t="s">
        <v>8</v>
      </c>
    </row>
    <row r="3" spans="1:4" x14ac:dyDescent="0.25">
      <c r="A3" t="s">
        <v>235</v>
      </c>
      <c r="B3" t="s">
        <v>274</v>
      </c>
      <c r="C3" s="44" t="s">
        <v>8</v>
      </c>
      <c r="D3" s="44" t="s">
        <v>8</v>
      </c>
    </row>
    <row r="4" spans="1:4" x14ac:dyDescent="0.25">
      <c r="A4" t="s">
        <v>235</v>
      </c>
      <c r="B4" t="s">
        <v>215</v>
      </c>
      <c r="C4" s="44" t="s">
        <v>2</v>
      </c>
      <c r="D4" s="44" t="s">
        <v>8</v>
      </c>
    </row>
    <row r="5" spans="1:4" x14ac:dyDescent="0.25">
      <c r="A5" t="s">
        <v>235</v>
      </c>
      <c r="B5" t="s">
        <v>216</v>
      </c>
      <c r="C5" s="44" t="s">
        <v>2</v>
      </c>
      <c r="D5" s="44" t="s">
        <v>8</v>
      </c>
    </row>
    <row r="6" spans="1:4" x14ac:dyDescent="0.25">
      <c r="A6" t="s">
        <v>235</v>
      </c>
      <c r="B6" t="s">
        <v>217</v>
      </c>
      <c r="C6" s="44" t="s">
        <v>2</v>
      </c>
      <c r="D6" s="44" t="s">
        <v>8</v>
      </c>
    </row>
    <row r="7" spans="1:4" x14ac:dyDescent="0.25">
      <c r="A7" t="s">
        <v>235</v>
      </c>
      <c r="B7" t="s">
        <v>218</v>
      </c>
      <c r="C7" s="44" t="s">
        <v>2</v>
      </c>
      <c r="D7" s="44" t="s">
        <v>8</v>
      </c>
    </row>
    <row r="8" spans="1:4" x14ac:dyDescent="0.25">
      <c r="A8" t="s">
        <v>235</v>
      </c>
      <c r="B8" t="s">
        <v>233</v>
      </c>
      <c r="C8" s="44" t="s">
        <v>2</v>
      </c>
      <c r="D8" s="44" t="s">
        <v>8</v>
      </c>
    </row>
    <row r="9" spans="1:4" x14ac:dyDescent="0.25">
      <c r="A9" t="s">
        <v>235</v>
      </c>
      <c r="B9" t="s">
        <v>149</v>
      </c>
      <c r="C9" s="44" t="s">
        <v>2</v>
      </c>
      <c r="D9" s="44" t="s">
        <v>8</v>
      </c>
    </row>
    <row r="10" spans="1:4" x14ac:dyDescent="0.25">
      <c r="A10" t="s">
        <v>235</v>
      </c>
      <c r="B10" t="s">
        <v>68</v>
      </c>
      <c r="C10" s="44" t="s">
        <v>2</v>
      </c>
      <c r="D10" s="44" t="s">
        <v>8</v>
      </c>
    </row>
    <row r="11" spans="1:4" x14ac:dyDescent="0.25">
      <c r="A11" t="s">
        <v>235</v>
      </c>
      <c r="B11" t="s">
        <v>219</v>
      </c>
      <c r="C11" s="44" t="s">
        <v>2</v>
      </c>
      <c r="D11" s="44" t="s">
        <v>8</v>
      </c>
    </row>
    <row r="12" spans="1:4" x14ac:dyDescent="0.25">
      <c r="A12" t="s">
        <v>236</v>
      </c>
      <c r="B12" t="s">
        <v>275</v>
      </c>
      <c r="C12" s="44" t="s">
        <v>45</v>
      </c>
      <c r="D12" s="44" t="s">
        <v>45</v>
      </c>
    </row>
    <row r="13" spans="1:4" x14ac:dyDescent="0.25">
      <c r="A13" t="s">
        <v>236</v>
      </c>
      <c r="B13" t="s">
        <v>274</v>
      </c>
      <c r="C13" s="44" t="s">
        <v>45</v>
      </c>
      <c r="D13" s="44" t="s">
        <v>45</v>
      </c>
    </row>
    <row r="14" spans="1:4" x14ac:dyDescent="0.25">
      <c r="A14" t="s">
        <v>236</v>
      </c>
      <c r="B14" t="s">
        <v>215</v>
      </c>
      <c r="C14" s="44" t="s">
        <v>2</v>
      </c>
      <c r="D14" s="44" t="s">
        <v>45</v>
      </c>
    </row>
    <row r="15" spans="1:4" x14ac:dyDescent="0.25">
      <c r="A15" t="s">
        <v>236</v>
      </c>
      <c r="B15" t="s">
        <v>216</v>
      </c>
      <c r="C15" s="44" t="s">
        <v>2</v>
      </c>
      <c r="D15" s="44" t="s">
        <v>45</v>
      </c>
    </row>
    <row r="16" spans="1:4" x14ac:dyDescent="0.25">
      <c r="A16" t="s">
        <v>236</v>
      </c>
      <c r="B16" t="s">
        <v>217</v>
      </c>
      <c r="C16" s="44" t="s">
        <v>2</v>
      </c>
      <c r="D16" s="44" t="s">
        <v>45</v>
      </c>
    </row>
    <row r="17" spans="1:4" x14ac:dyDescent="0.25">
      <c r="A17" t="s">
        <v>236</v>
      </c>
      <c r="B17" t="s">
        <v>218</v>
      </c>
      <c r="C17" s="44" t="s">
        <v>2</v>
      </c>
      <c r="D17" s="44" t="s">
        <v>45</v>
      </c>
    </row>
    <row r="18" spans="1:4" x14ac:dyDescent="0.25">
      <c r="A18" t="s">
        <v>236</v>
      </c>
      <c r="B18" t="s">
        <v>233</v>
      </c>
      <c r="C18" s="44" t="s">
        <v>2</v>
      </c>
      <c r="D18" s="44" t="s">
        <v>45</v>
      </c>
    </row>
    <row r="19" spans="1:4" x14ac:dyDescent="0.25">
      <c r="A19" t="s">
        <v>236</v>
      </c>
      <c r="B19" t="s">
        <v>144</v>
      </c>
      <c r="C19" s="44" t="s">
        <v>2</v>
      </c>
      <c r="D19" s="44" t="s">
        <v>45</v>
      </c>
    </row>
    <row r="20" spans="1:4" x14ac:dyDescent="0.25">
      <c r="A20" t="s">
        <v>236</v>
      </c>
      <c r="B20" t="s">
        <v>109</v>
      </c>
      <c r="C20" s="44" t="s">
        <v>2</v>
      </c>
      <c r="D20" s="44" t="s">
        <v>45</v>
      </c>
    </row>
    <row r="21" spans="1:4" x14ac:dyDescent="0.25">
      <c r="A21" t="s">
        <v>236</v>
      </c>
      <c r="B21" t="s">
        <v>68</v>
      </c>
      <c r="C21" s="44" t="s">
        <v>2</v>
      </c>
      <c r="D21" s="44" t="s">
        <v>45</v>
      </c>
    </row>
    <row r="22" spans="1:4" x14ac:dyDescent="0.25">
      <c r="A22" t="s">
        <v>236</v>
      </c>
      <c r="B22" t="s">
        <v>219</v>
      </c>
      <c r="C22" s="44" t="s">
        <v>2</v>
      </c>
      <c r="D22" s="44" t="s">
        <v>45</v>
      </c>
    </row>
    <row r="23" spans="1:4" x14ac:dyDescent="0.25">
      <c r="A23" t="s">
        <v>242</v>
      </c>
      <c r="B23" t="s">
        <v>275</v>
      </c>
      <c r="C23" s="44" t="s">
        <v>7</v>
      </c>
      <c r="D23" s="44" t="s">
        <v>7</v>
      </c>
    </row>
    <row r="24" spans="1:4" x14ac:dyDescent="0.25">
      <c r="A24" t="s">
        <v>242</v>
      </c>
      <c r="B24" t="s">
        <v>274</v>
      </c>
      <c r="C24" s="44" t="s">
        <v>7</v>
      </c>
      <c r="D24" s="44" t="s">
        <v>220</v>
      </c>
    </row>
    <row r="25" spans="1:4" x14ac:dyDescent="0.25">
      <c r="A25" t="s">
        <v>242</v>
      </c>
      <c r="B25" t="s">
        <v>215</v>
      </c>
      <c r="C25" s="44" t="s">
        <v>2</v>
      </c>
      <c r="D25" s="44" t="s">
        <v>244</v>
      </c>
    </row>
    <row r="26" spans="1:4" x14ac:dyDescent="0.25">
      <c r="A26" t="s">
        <v>242</v>
      </c>
      <c r="B26" t="s">
        <v>216</v>
      </c>
      <c r="C26" s="44" t="s">
        <v>2</v>
      </c>
      <c r="D26" s="44" t="s">
        <v>245</v>
      </c>
    </row>
    <row r="27" spans="1:4" x14ac:dyDescent="0.25">
      <c r="A27" t="s">
        <v>242</v>
      </c>
      <c r="B27" t="s">
        <v>217</v>
      </c>
      <c r="C27" s="44" t="s">
        <v>2</v>
      </c>
      <c r="D27" s="44" t="s">
        <v>246</v>
      </c>
    </row>
    <row r="28" spans="1:4" x14ac:dyDescent="0.25">
      <c r="A28" t="s">
        <v>242</v>
      </c>
      <c r="B28" t="s">
        <v>218</v>
      </c>
      <c r="C28" s="44" t="s">
        <v>2</v>
      </c>
      <c r="D28" s="44" t="s">
        <v>247</v>
      </c>
    </row>
    <row r="29" spans="1:4" x14ac:dyDescent="0.25">
      <c r="A29" t="s">
        <v>242</v>
      </c>
      <c r="B29" t="s">
        <v>233</v>
      </c>
      <c r="C29" s="44" t="s">
        <v>2</v>
      </c>
      <c r="D29" s="44" t="s">
        <v>248</v>
      </c>
    </row>
    <row r="30" spans="1:4" x14ac:dyDescent="0.25">
      <c r="A30" t="s">
        <v>242</v>
      </c>
      <c r="B30" t="s">
        <v>149</v>
      </c>
      <c r="C30" s="44" t="s">
        <v>2</v>
      </c>
      <c r="D30" s="44" t="s">
        <v>249</v>
      </c>
    </row>
    <row r="31" spans="1:4" x14ac:dyDescent="0.25">
      <c r="A31" t="s">
        <v>242</v>
      </c>
      <c r="B31" t="s">
        <v>68</v>
      </c>
      <c r="C31" s="44" t="s">
        <v>2</v>
      </c>
      <c r="D31" s="44" t="s">
        <v>250</v>
      </c>
    </row>
    <row r="32" spans="1:4" x14ac:dyDescent="0.25">
      <c r="A32" t="s">
        <v>242</v>
      </c>
      <c r="B32" t="s">
        <v>219</v>
      </c>
      <c r="C32" s="44" t="s">
        <v>2</v>
      </c>
      <c r="D32" s="44" t="s">
        <v>251</v>
      </c>
    </row>
    <row r="33" spans="1:4" x14ac:dyDescent="0.25">
      <c r="A33" t="s">
        <v>243</v>
      </c>
      <c r="B33" t="s">
        <v>275</v>
      </c>
      <c r="C33" s="44" t="s">
        <v>12</v>
      </c>
      <c r="D33" s="44" t="s">
        <v>12</v>
      </c>
    </row>
    <row r="34" spans="1:4" x14ac:dyDescent="0.25">
      <c r="A34" t="s">
        <v>243</v>
      </c>
      <c r="B34" t="s">
        <v>274</v>
      </c>
      <c r="C34" s="44" t="s">
        <v>12</v>
      </c>
      <c r="D34" s="44" t="s">
        <v>12</v>
      </c>
    </row>
    <row r="35" spans="1:4" x14ac:dyDescent="0.25">
      <c r="A35" t="s">
        <v>243</v>
      </c>
      <c r="B35" t="s">
        <v>215</v>
      </c>
      <c r="C35" s="44" t="s">
        <v>2</v>
      </c>
      <c r="D35" s="44" t="s">
        <v>12</v>
      </c>
    </row>
    <row r="36" spans="1:4" x14ac:dyDescent="0.25">
      <c r="A36" t="s">
        <v>243</v>
      </c>
      <c r="B36" t="s">
        <v>216</v>
      </c>
      <c r="C36" s="44" t="s">
        <v>2</v>
      </c>
      <c r="D36" s="44" t="s">
        <v>12</v>
      </c>
    </row>
    <row r="37" spans="1:4" x14ac:dyDescent="0.25">
      <c r="A37" t="s">
        <v>243</v>
      </c>
      <c r="B37" t="s">
        <v>217</v>
      </c>
      <c r="C37" s="44" t="s">
        <v>2</v>
      </c>
      <c r="D37" s="44" t="s">
        <v>12</v>
      </c>
    </row>
    <row r="38" spans="1:4" x14ac:dyDescent="0.25">
      <c r="A38" t="s">
        <v>243</v>
      </c>
      <c r="B38" t="s">
        <v>218</v>
      </c>
      <c r="C38" s="44" t="s">
        <v>2</v>
      </c>
      <c r="D38" s="44" t="s">
        <v>12</v>
      </c>
    </row>
    <row r="39" spans="1:4" x14ac:dyDescent="0.25">
      <c r="A39" t="s">
        <v>243</v>
      </c>
      <c r="B39" t="s">
        <v>233</v>
      </c>
      <c r="C39" s="44" t="s">
        <v>2</v>
      </c>
      <c r="D39" s="44" t="s">
        <v>12</v>
      </c>
    </row>
    <row r="40" spans="1:4" x14ac:dyDescent="0.25">
      <c r="A40" t="s">
        <v>243</v>
      </c>
      <c r="B40" t="s">
        <v>144</v>
      </c>
      <c r="C40" s="44" t="s">
        <v>2</v>
      </c>
      <c r="D40" s="44" t="s">
        <v>12</v>
      </c>
    </row>
    <row r="41" spans="1:4" x14ac:dyDescent="0.25">
      <c r="A41" t="s">
        <v>243</v>
      </c>
      <c r="B41" t="s">
        <v>109</v>
      </c>
      <c r="C41" s="44" t="s">
        <v>2</v>
      </c>
      <c r="D41" s="44" t="s">
        <v>12</v>
      </c>
    </row>
    <row r="42" spans="1:4" x14ac:dyDescent="0.25">
      <c r="A42" t="s">
        <v>243</v>
      </c>
      <c r="B42" t="s">
        <v>68</v>
      </c>
      <c r="C42" s="44" t="s">
        <v>2</v>
      </c>
      <c r="D42" s="44" t="s">
        <v>12</v>
      </c>
    </row>
    <row r="43" spans="1:4" x14ac:dyDescent="0.25">
      <c r="A43" t="s">
        <v>243</v>
      </c>
      <c r="B43" t="s">
        <v>219</v>
      </c>
      <c r="C43" s="44" t="s">
        <v>2</v>
      </c>
      <c r="D43" s="44" t="s">
        <v>12</v>
      </c>
    </row>
    <row r="44" spans="1:4" x14ac:dyDescent="0.25">
      <c r="A44" t="s">
        <v>326</v>
      </c>
      <c r="B44" t="s">
        <v>151</v>
      </c>
      <c r="C44" s="44" t="s">
        <v>1</v>
      </c>
      <c r="D44" s="44" t="s">
        <v>1</v>
      </c>
    </row>
    <row r="45" spans="1:4" x14ac:dyDescent="0.25">
      <c r="A45" t="s">
        <v>326</v>
      </c>
      <c r="B45" t="s">
        <v>127</v>
      </c>
      <c r="C45" s="44" t="s">
        <v>1</v>
      </c>
      <c r="D45" s="44" t="s">
        <v>1</v>
      </c>
    </row>
    <row r="46" spans="1:4" x14ac:dyDescent="0.25">
      <c r="A46" t="s">
        <v>326</v>
      </c>
      <c r="B46" t="s">
        <v>68</v>
      </c>
      <c r="C46" s="44" t="s">
        <v>2</v>
      </c>
      <c r="D46" s="44" t="s">
        <v>23</v>
      </c>
    </row>
    <row r="47" spans="1:4" x14ac:dyDescent="0.25">
      <c r="A47" t="s">
        <v>326</v>
      </c>
      <c r="B47" t="s">
        <v>125</v>
      </c>
      <c r="C47" s="44" t="s">
        <v>1</v>
      </c>
      <c r="D47" s="44" t="s">
        <v>1</v>
      </c>
    </row>
    <row r="48" spans="1:4" x14ac:dyDescent="0.25">
      <c r="A48" t="s">
        <v>326</v>
      </c>
      <c r="B48" t="s">
        <v>128</v>
      </c>
      <c r="C48" s="44" t="s">
        <v>1</v>
      </c>
      <c r="D48" s="44" t="s">
        <v>1</v>
      </c>
    </row>
    <row r="49" spans="1:4" x14ac:dyDescent="0.25">
      <c r="A49" t="s">
        <v>326</v>
      </c>
      <c r="B49" t="s">
        <v>295</v>
      </c>
      <c r="C49" s="44" t="s">
        <v>2</v>
      </c>
      <c r="D49" s="44" t="s">
        <v>23</v>
      </c>
    </row>
    <row r="50" spans="1:4" x14ac:dyDescent="0.25">
      <c r="A50" t="s">
        <v>326</v>
      </c>
      <c r="B50" t="s">
        <v>126</v>
      </c>
      <c r="C50" s="44" t="s">
        <v>2</v>
      </c>
      <c r="D50" s="44" t="s">
        <v>35</v>
      </c>
    </row>
    <row r="51" spans="1:4" x14ac:dyDescent="0.25">
      <c r="A51" t="s">
        <v>326</v>
      </c>
      <c r="B51" t="s">
        <v>296</v>
      </c>
      <c r="C51" s="44" t="s">
        <v>23</v>
      </c>
      <c r="D51" s="44" t="s">
        <v>35</v>
      </c>
    </row>
    <row r="52" spans="1:4" x14ac:dyDescent="0.25">
      <c r="A52" t="s">
        <v>326</v>
      </c>
      <c r="B52" t="s">
        <v>297</v>
      </c>
      <c r="C52" s="44" t="s">
        <v>2</v>
      </c>
      <c r="D52" s="44" t="s">
        <v>35</v>
      </c>
    </row>
    <row r="53" spans="1:4" x14ac:dyDescent="0.25">
      <c r="A53" t="s">
        <v>326</v>
      </c>
      <c r="B53" t="s">
        <v>127</v>
      </c>
      <c r="C53" s="44" t="s">
        <v>1</v>
      </c>
      <c r="D53" s="44" t="s">
        <v>1</v>
      </c>
    </row>
    <row r="54" spans="1:4" x14ac:dyDescent="0.25">
      <c r="A54" t="s">
        <v>301</v>
      </c>
      <c r="B54" t="s">
        <v>151</v>
      </c>
      <c r="C54" s="44" t="s">
        <v>1</v>
      </c>
      <c r="D54" s="44" t="s">
        <v>1</v>
      </c>
    </row>
    <row r="55" spans="1:4" x14ac:dyDescent="0.25">
      <c r="A55" t="s">
        <v>301</v>
      </c>
      <c r="B55" t="s">
        <v>127</v>
      </c>
      <c r="C55" s="44" t="s">
        <v>1</v>
      </c>
      <c r="D55" s="44" t="s">
        <v>1</v>
      </c>
    </row>
    <row r="56" spans="1:4" x14ac:dyDescent="0.25">
      <c r="A56" t="s">
        <v>301</v>
      </c>
      <c r="B56" t="s">
        <v>68</v>
      </c>
      <c r="C56" s="44" t="s">
        <v>2</v>
      </c>
      <c r="D56" s="44" t="s">
        <v>23</v>
      </c>
    </row>
    <row r="57" spans="1:4" x14ac:dyDescent="0.25">
      <c r="A57" t="s">
        <v>301</v>
      </c>
      <c r="B57" t="s">
        <v>143</v>
      </c>
      <c r="C57" s="44" t="s">
        <v>2</v>
      </c>
      <c r="D57" s="44" t="s">
        <v>23</v>
      </c>
    </row>
    <row r="58" spans="1:4" x14ac:dyDescent="0.25">
      <c r="A58" t="s">
        <v>301</v>
      </c>
      <c r="B58" t="s">
        <v>144</v>
      </c>
      <c r="C58" s="44" t="s">
        <v>1</v>
      </c>
      <c r="D58" s="44" t="s">
        <v>1</v>
      </c>
    </row>
    <row r="59" spans="1:4" x14ac:dyDescent="0.25">
      <c r="A59" t="s">
        <v>301</v>
      </c>
      <c r="B59" t="s">
        <v>295</v>
      </c>
      <c r="C59" s="44" t="s">
        <v>2</v>
      </c>
      <c r="D59" s="44" t="s">
        <v>23</v>
      </c>
    </row>
    <row r="60" spans="1:4" x14ac:dyDescent="0.25">
      <c r="A60" t="s">
        <v>301</v>
      </c>
      <c r="B60" t="s">
        <v>126</v>
      </c>
      <c r="C60" s="44" t="s">
        <v>2</v>
      </c>
      <c r="D60" s="44" t="s">
        <v>5</v>
      </c>
    </row>
    <row r="61" spans="1:4" x14ac:dyDescent="0.25">
      <c r="A61" t="s">
        <v>301</v>
      </c>
      <c r="B61" t="s">
        <v>296</v>
      </c>
      <c r="C61" s="44" t="s">
        <v>14</v>
      </c>
      <c r="D61" s="44" t="s">
        <v>5</v>
      </c>
    </row>
    <row r="62" spans="1:4" x14ac:dyDescent="0.25">
      <c r="A62" t="s">
        <v>301</v>
      </c>
      <c r="B62" t="s">
        <v>297</v>
      </c>
      <c r="C62" s="44" t="s">
        <v>2</v>
      </c>
      <c r="D62" s="44" t="s">
        <v>5</v>
      </c>
    </row>
    <row r="63" spans="1:4" x14ac:dyDescent="0.25">
      <c r="A63" t="s">
        <v>301</v>
      </c>
      <c r="B63" t="s">
        <v>127</v>
      </c>
      <c r="C63" s="44" t="s">
        <v>1</v>
      </c>
      <c r="D63" s="44" t="s">
        <v>1</v>
      </c>
    </row>
    <row r="64" spans="1:4" x14ac:dyDescent="0.25">
      <c r="A64" t="s">
        <v>302</v>
      </c>
      <c r="B64" t="s">
        <v>151</v>
      </c>
      <c r="C64" s="44" t="s">
        <v>1</v>
      </c>
      <c r="D64" s="44" t="s">
        <v>47</v>
      </c>
    </row>
    <row r="65" spans="1:4" x14ac:dyDescent="0.25">
      <c r="A65" t="s">
        <v>302</v>
      </c>
      <c r="B65" t="s">
        <v>127</v>
      </c>
      <c r="C65" s="44" t="s">
        <v>1</v>
      </c>
      <c r="D65" s="44" t="s">
        <v>47</v>
      </c>
    </row>
    <row r="66" spans="1:4" x14ac:dyDescent="0.25">
      <c r="A66" t="s">
        <v>302</v>
      </c>
      <c r="B66" t="s">
        <v>68</v>
      </c>
      <c r="C66" s="44" t="s">
        <v>2</v>
      </c>
      <c r="D66" s="44" t="s">
        <v>18</v>
      </c>
    </row>
    <row r="67" spans="1:4" x14ac:dyDescent="0.25">
      <c r="A67" t="s">
        <v>302</v>
      </c>
      <c r="B67" t="s">
        <v>143</v>
      </c>
      <c r="C67" s="44" t="s">
        <v>2</v>
      </c>
      <c r="D67" s="44" t="s">
        <v>18</v>
      </c>
    </row>
    <row r="68" spans="1:4" x14ac:dyDescent="0.25">
      <c r="A68" t="s">
        <v>302</v>
      </c>
      <c r="B68" t="s">
        <v>144</v>
      </c>
      <c r="C68" s="44" t="s">
        <v>1</v>
      </c>
      <c r="D68" s="44" t="s">
        <v>47</v>
      </c>
    </row>
    <row r="69" spans="1:4" x14ac:dyDescent="0.25">
      <c r="A69" t="s">
        <v>302</v>
      </c>
      <c r="B69" t="s">
        <v>295</v>
      </c>
      <c r="C69" s="44" t="s">
        <v>2</v>
      </c>
      <c r="D69" s="44" t="s">
        <v>18</v>
      </c>
    </row>
    <row r="70" spans="1:4" x14ac:dyDescent="0.25">
      <c r="A70" t="s">
        <v>302</v>
      </c>
      <c r="B70" t="s">
        <v>126</v>
      </c>
      <c r="C70" s="44" t="s">
        <v>2</v>
      </c>
      <c r="D70" s="44" t="s">
        <v>47</v>
      </c>
    </row>
    <row r="71" spans="1:4" x14ac:dyDescent="0.25">
      <c r="A71" t="s">
        <v>302</v>
      </c>
      <c r="B71" t="s">
        <v>296</v>
      </c>
      <c r="C71" s="44" t="s">
        <v>14</v>
      </c>
      <c r="D71" s="44" t="s">
        <v>47</v>
      </c>
    </row>
    <row r="72" spans="1:4" x14ac:dyDescent="0.25">
      <c r="A72" t="s">
        <v>302</v>
      </c>
      <c r="B72" t="s">
        <v>297</v>
      </c>
      <c r="C72" s="44" t="s">
        <v>2</v>
      </c>
      <c r="D72" s="44" t="s">
        <v>47</v>
      </c>
    </row>
    <row r="73" spans="1:4" x14ac:dyDescent="0.25">
      <c r="A73" t="s">
        <v>302</v>
      </c>
      <c r="B73" t="s">
        <v>127</v>
      </c>
      <c r="C73" s="44" t="s">
        <v>1</v>
      </c>
      <c r="D73" s="44" t="s">
        <v>47</v>
      </c>
    </row>
    <row r="74" spans="1:4" x14ac:dyDescent="0.25">
      <c r="A74" t="s">
        <v>283</v>
      </c>
      <c r="B74" t="s">
        <v>151</v>
      </c>
      <c r="C74" s="44" t="s">
        <v>1</v>
      </c>
      <c r="D74" s="44" t="s">
        <v>1</v>
      </c>
    </row>
    <row r="75" spans="1:4" x14ac:dyDescent="0.25">
      <c r="A75" t="s">
        <v>283</v>
      </c>
      <c r="B75" t="s">
        <v>127</v>
      </c>
      <c r="C75" s="44" t="s">
        <v>1</v>
      </c>
      <c r="D75" s="44" t="s">
        <v>1</v>
      </c>
    </row>
    <row r="76" spans="1:4" x14ac:dyDescent="0.25">
      <c r="A76" t="s">
        <v>283</v>
      </c>
      <c r="B76" t="s">
        <v>150</v>
      </c>
      <c r="C76" s="44" t="s">
        <v>1</v>
      </c>
      <c r="D76" s="44" t="s">
        <v>1</v>
      </c>
    </row>
    <row r="77" spans="1:4" x14ac:dyDescent="0.25">
      <c r="A77" t="s">
        <v>283</v>
      </c>
      <c r="B77" t="s">
        <v>125</v>
      </c>
      <c r="C77" s="44" t="s">
        <v>1</v>
      </c>
      <c r="D77" s="44" t="s">
        <v>1</v>
      </c>
    </row>
    <row r="78" spans="1:4" x14ac:dyDescent="0.25">
      <c r="A78" t="s">
        <v>283</v>
      </c>
      <c r="B78" t="s">
        <v>151</v>
      </c>
      <c r="C78" s="44" t="s">
        <v>2</v>
      </c>
      <c r="D78" s="44" t="s">
        <v>1</v>
      </c>
    </row>
    <row r="79" spans="1:4" x14ac:dyDescent="0.25">
      <c r="A79" t="s">
        <v>283</v>
      </c>
      <c r="B79" t="s">
        <v>127</v>
      </c>
      <c r="C79" s="44" t="s">
        <v>2</v>
      </c>
      <c r="D79" s="44" t="s">
        <v>1</v>
      </c>
    </row>
    <row r="80" spans="1:4" x14ac:dyDescent="0.25">
      <c r="A80" t="s">
        <v>343</v>
      </c>
      <c r="B80" t="s">
        <v>151</v>
      </c>
      <c r="C80" s="44" t="s">
        <v>1</v>
      </c>
      <c r="D80" s="44" t="s">
        <v>1</v>
      </c>
    </row>
    <row r="81" spans="1:4" x14ac:dyDescent="0.25">
      <c r="A81" t="s">
        <v>343</v>
      </c>
      <c r="B81" t="s">
        <v>127</v>
      </c>
      <c r="C81" s="44" t="s">
        <v>5</v>
      </c>
      <c r="D81" s="44" t="s">
        <v>1</v>
      </c>
    </row>
    <row r="82" spans="1:4" x14ac:dyDescent="0.25">
      <c r="A82" t="s">
        <v>343</v>
      </c>
      <c r="B82" t="s">
        <v>299</v>
      </c>
      <c r="C82" s="44" t="s">
        <v>31</v>
      </c>
      <c r="D82" s="44" t="s">
        <v>31</v>
      </c>
    </row>
    <row r="83" spans="1:4" x14ac:dyDescent="0.25">
      <c r="A83" t="s">
        <v>343</v>
      </c>
      <c r="B83" t="s">
        <v>149</v>
      </c>
      <c r="C83" s="44" t="s">
        <v>5</v>
      </c>
      <c r="D83" s="44" t="s">
        <v>1</v>
      </c>
    </row>
    <row r="84" spans="1:4" x14ac:dyDescent="0.25">
      <c r="A84" t="s">
        <v>343</v>
      </c>
      <c r="B84" t="s">
        <v>154</v>
      </c>
      <c r="C84" s="44" t="s">
        <v>5</v>
      </c>
      <c r="D84" s="44" t="s">
        <v>1</v>
      </c>
    </row>
    <row r="85" spans="1:4" x14ac:dyDescent="0.25">
      <c r="A85" t="s">
        <v>343</v>
      </c>
      <c r="B85" t="s">
        <v>127</v>
      </c>
      <c r="C85" s="44" t="s">
        <v>5</v>
      </c>
      <c r="D85" s="44" t="s">
        <v>1</v>
      </c>
    </row>
    <row r="86" spans="1:4" x14ac:dyDescent="0.25">
      <c r="A86" t="s">
        <v>303</v>
      </c>
      <c r="B86" t="s">
        <v>151</v>
      </c>
      <c r="C86" s="44" t="s">
        <v>1</v>
      </c>
      <c r="D86" s="44" t="s">
        <v>1</v>
      </c>
    </row>
    <row r="87" spans="1:4" x14ac:dyDescent="0.25">
      <c r="A87" t="s">
        <v>303</v>
      </c>
      <c r="B87" t="s">
        <v>127</v>
      </c>
      <c r="C87" s="44" t="s">
        <v>5</v>
      </c>
      <c r="D87" s="44" t="s">
        <v>1</v>
      </c>
    </row>
    <row r="88" spans="1:4" x14ac:dyDescent="0.25">
      <c r="A88" t="s">
        <v>303</v>
      </c>
      <c r="B88" t="s">
        <v>149</v>
      </c>
      <c r="C88" s="44" t="s">
        <v>5</v>
      </c>
      <c r="D88" s="44" t="s">
        <v>1</v>
      </c>
    </row>
    <row r="89" spans="1:4" x14ac:dyDescent="0.25">
      <c r="A89" t="s">
        <v>303</v>
      </c>
      <c r="B89" t="s">
        <v>154</v>
      </c>
      <c r="C89" s="44" t="s">
        <v>5</v>
      </c>
      <c r="D89" s="44" t="s">
        <v>1</v>
      </c>
    </row>
    <row r="90" spans="1:4" x14ac:dyDescent="0.25">
      <c r="A90" t="s">
        <v>303</v>
      </c>
      <c r="B90" t="s">
        <v>127</v>
      </c>
      <c r="C90" s="44" t="s">
        <v>5</v>
      </c>
      <c r="D90" s="44" t="s">
        <v>1</v>
      </c>
    </row>
    <row r="91" spans="1:4" x14ac:dyDescent="0.25">
      <c r="A91" t="s">
        <v>344</v>
      </c>
      <c r="B91" t="s">
        <v>151</v>
      </c>
      <c r="D91" s="44" t="s">
        <v>4</v>
      </c>
    </row>
    <row r="92" spans="1:4" x14ac:dyDescent="0.25">
      <c r="A92" t="s">
        <v>344</v>
      </c>
      <c r="B92" t="s">
        <v>127</v>
      </c>
    </row>
    <row r="93" spans="1:4" x14ac:dyDescent="0.25">
      <c r="A93" t="s">
        <v>344</v>
      </c>
      <c r="B93" t="s">
        <v>299</v>
      </c>
      <c r="D93" s="44" t="s">
        <v>45</v>
      </c>
    </row>
    <row r="94" spans="1:4" x14ac:dyDescent="0.25">
      <c r="A94" t="s">
        <v>344</v>
      </c>
      <c r="B94" t="s">
        <v>149</v>
      </c>
    </row>
    <row r="95" spans="1:4" x14ac:dyDescent="0.25">
      <c r="A95" t="s">
        <v>344</v>
      </c>
      <c r="B95" t="s">
        <v>154</v>
      </c>
      <c r="C95" s="44" t="s">
        <v>43</v>
      </c>
      <c r="D95" s="44" t="s">
        <v>4</v>
      </c>
    </row>
    <row r="96" spans="1:4" x14ac:dyDescent="0.25">
      <c r="A96" t="s">
        <v>344</v>
      </c>
      <c r="B96" t="s">
        <v>127</v>
      </c>
    </row>
    <row r="97" spans="1:4" x14ac:dyDescent="0.25">
      <c r="A97" t="s">
        <v>304</v>
      </c>
      <c r="B97" t="s">
        <v>151</v>
      </c>
      <c r="D97" s="44" t="s">
        <v>4</v>
      </c>
    </row>
    <row r="98" spans="1:4" x14ac:dyDescent="0.25">
      <c r="A98" t="s">
        <v>304</v>
      </c>
      <c r="B98" t="s">
        <v>127</v>
      </c>
    </row>
    <row r="99" spans="1:4" x14ac:dyDescent="0.25">
      <c r="A99" t="s">
        <v>304</v>
      </c>
      <c r="B99" t="s">
        <v>149</v>
      </c>
    </row>
    <row r="100" spans="1:4" x14ac:dyDescent="0.25">
      <c r="A100" t="s">
        <v>304</v>
      </c>
      <c r="B100" t="s">
        <v>154</v>
      </c>
      <c r="C100" s="44" t="s">
        <v>43</v>
      </c>
      <c r="D100" s="44" t="s">
        <v>4</v>
      </c>
    </row>
    <row r="101" spans="1:4" x14ac:dyDescent="0.25">
      <c r="A101" t="s">
        <v>304</v>
      </c>
      <c r="B101" t="s">
        <v>127</v>
      </c>
    </row>
    <row r="102" spans="1:4" x14ac:dyDescent="0.25">
      <c r="A102" t="s">
        <v>300</v>
      </c>
      <c r="B102" t="s">
        <v>151</v>
      </c>
      <c r="C102" s="44" t="s">
        <v>5</v>
      </c>
      <c r="D102" s="44" t="s">
        <v>1</v>
      </c>
    </row>
    <row r="103" spans="1:4" x14ac:dyDescent="0.25">
      <c r="A103" t="s">
        <v>300</v>
      </c>
      <c r="B103" t="s">
        <v>127</v>
      </c>
      <c r="C103" s="44" t="s">
        <v>5</v>
      </c>
      <c r="D103" s="44" t="s">
        <v>1</v>
      </c>
    </row>
    <row r="104" spans="1:4" x14ac:dyDescent="0.25">
      <c r="A104" t="s">
        <v>300</v>
      </c>
      <c r="B104" t="s">
        <v>129</v>
      </c>
      <c r="C104" s="44" t="s">
        <v>5</v>
      </c>
      <c r="D104" s="44" t="s">
        <v>1</v>
      </c>
    </row>
    <row r="105" spans="1:4" x14ac:dyDescent="0.25">
      <c r="A105" t="s">
        <v>300</v>
      </c>
      <c r="B105" t="s">
        <v>151</v>
      </c>
      <c r="C105" s="44" t="s">
        <v>2</v>
      </c>
      <c r="D105" s="44" t="s">
        <v>1</v>
      </c>
    </row>
    <row r="106" spans="1:4" x14ac:dyDescent="0.25">
      <c r="A106" t="s">
        <v>300</v>
      </c>
      <c r="B106" t="s">
        <v>127</v>
      </c>
      <c r="C106" s="44" t="s">
        <v>2</v>
      </c>
      <c r="D106" s="44" t="s">
        <v>1</v>
      </c>
    </row>
    <row r="107" spans="1:4" x14ac:dyDescent="0.25">
      <c r="A107" t="s">
        <v>305</v>
      </c>
      <c r="B107" t="s">
        <v>151</v>
      </c>
      <c r="C107" s="44" t="s">
        <v>47</v>
      </c>
      <c r="D107" s="44" t="s">
        <v>47</v>
      </c>
    </row>
    <row r="108" spans="1:4" x14ac:dyDescent="0.25">
      <c r="A108" t="s">
        <v>305</v>
      </c>
      <c r="B108" t="s">
        <v>127</v>
      </c>
      <c r="C108" s="44" t="s">
        <v>47</v>
      </c>
      <c r="D108" s="44" t="s">
        <v>47</v>
      </c>
    </row>
    <row r="109" spans="1:4" x14ac:dyDescent="0.25">
      <c r="A109" t="s">
        <v>305</v>
      </c>
      <c r="B109" t="s">
        <v>68</v>
      </c>
      <c r="C109" s="44" t="s">
        <v>23</v>
      </c>
      <c r="D109" s="44" t="s">
        <v>34</v>
      </c>
    </row>
    <row r="110" spans="1:4" x14ac:dyDescent="0.25">
      <c r="A110" t="s">
        <v>305</v>
      </c>
      <c r="B110" t="s">
        <v>143</v>
      </c>
      <c r="C110" s="44" t="s">
        <v>23</v>
      </c>
      <c r="D110" s="44" t="s">
        <v>34</v>
      </c>
    </row>
    <row r="111" spans="1:4" x14ac:dyDescent="0.25">
      <c r="A111" t="s">
        <v>305</v>
      </c>
      <c r="B111" t="s">
        <v>144</v>
      </c>
      <c r="C111" s="44" t="s">
        <v>47</v>
      </c>
      <c r="D111" s="44" t="s">
        <v>47</v>
      </c>
    </row>
    <row r="112" spans="1:4" x14ac:dyDescent="0.25">
      <c r="A112" t="s">
        <v>305</v>
      </c>
      <c r="B112" t="s">
        <v>295</v>
      </c>
      <c r="C112" s="44" t="s">
        <v>2</v>
      </c>
      <c r="D112" s="44" t="s">
        <v>47</v>
      </c>
    </row>
    <row r="113" spans="1:4" x14ac:dyDescent="0.25">
      <c r="A113" t="s">
        <v>305</v>
      </c>
      <c r="B113" t="s">
        <v>126</v>
      </c>
      <c r="C113" s="44" t="s">
        <v>2</v>
      </c>
      <c r="D113" s="44" t="s">
        <v>47</v>
      </c>
    </row>
    <row r="114" spans="1:4" x14ac:dyDescent="0.25">
      <c r="A114" t="s">
        <v>305</v>
      </c>
      <c r="B114" t="s">
        <v>296</v>
      </c>
      <c r="C114" s="44" t="s">
        <v>14</v>
      </c>
      <c r="D114" s="44" t="s">
        <v>47</v>
      </c>
    </row>
    <row r="115" spans="1:4" x14ac:dyDescent="0.25">
      <c r="A115" t="s">
        <v>305</v>
      </c>
      <c r="B115" t="s">
        <v>297</v>
      </c>
      <c r="C115" s="44" t="s">
        <v>2</v>
      </c>
      <c r="D115" s="44" t="s">
        <v>47</v>
      </c>
    </row>
    <row r="116" spans="1:4" x14ac:dyDescent="0.25">
      <c r="A116" t="s">
        <v>305</v>
      </c>
      <c r="B116" t="s">
        <v>127</v>
      </c>
      <c r="C116" s="44" t="s">
        <v>47</v>
      </c>
      <c r="D116" s="44" t="s">
        <v>47</v>
      </c>
    </row>
    <row r="117" spans="1:4" x14ac:dyDescent="0.25">
      <c r="A117" t="s">
        <v>306</v>
      </c>
      <c r="B117" t="s">
        <v>151</v>
      </c>
      <c r="C117" s="44" t="s">
        <v>47</v>
      </c>
      <c r="D117" s="44" t="s">
        <v>47</v>
      </c>
    </row>
    <row r="118" spans="1:4" x14ac:dyDescent="0.25">
      <c r="A118" t="s">
        <v>306</v>
      </c>
      <c r="B118" t="s">
        <v>127</v>
      </c>
      <c r="C118" s="44" t="s">
        <v>47</v>
      </c>
      <c r="D118" s="44" t="s">
        <v>47</v>
      </c>
    </row>
    <row r="119" spans="1:4" x14ac:dyDescent="0.25">
      <c r="A119" t="s">
        <v>306</v>
      </c>
      <c r="B119" t="s">
        <v>68</v>
      </c>
      <c r="C119" s="44" t="s">
        <v>2</v>
      </c>
      <c r="D119" s="44" t="s">
        <v>45</v>
      </c>
    </row>
    <row r="120" spans="1:4" x14ac:dyDescent="0.25">
      <c r="A120" t="s">
        <v>306</v>
      </c>
      <c r="B120" t="s">
        <v>143</v>
      </c>
      <c r="C120" s="44" t="s">
        <v>2</v>
      </c>
      <c r="D120" s="44" t="s">
        <v>45</v>
      </c>
    </row>
    <row r="121" spans="1:4" x14ac:dyDescent="0.25">
      <c r="A121" t="s">
        <v>306</v>
      </c>
      <c r="B121" t="s">
        <v>144</v>
      </c>
      <c r="C121" s="44" t="s">
        <v>47</v>
      </c>
      <c r="D121" s="44" t="s">
        <v>47</v>
      </c>
    </row>
    <row r="122" spans="1:4" x14ac:dyDescent="0.25">
      <c r="A122" t="s">
        <v>306</v>
      </c>
      <c r="B122" t="s">
        <v>295</v>
      </c>
      <c r="C122" s="44" t="s">
        <v>2</v>
      </c>
      <c r="D122" s="44" t="s">
        <v>47</v>
      </c>
    </row>
    <row r="123" spans="1:4" x14ac:dyDescent="0.25">
      <c r="A123" t="s">
        <v>306</v>
      </c>
      <c r="B123" t="s">
        <v>126</v>
      </c>
      <c r="C123" s="44" t="s">
        <v>2</v>
      </c>
      <c r="D123" s="44" t="s">
        <v>47</v>
      </c>
    </row>
    <row r="124" spans="1:4" x14ac:dyDescent="0.25">
      <c r="A124" t="s">
        <v>306</v>
      </c>
      <c r="B124" t="s">
        <v>296</v>
      </c>
      <c r="C124" s="44" t="s">
        <v>14</v>
      </c>
      <c r="D124" s="44" t="s">
        <v>47</v>
      </c>
    </row>
    <row r="125" spans="1:4" x14ac:dyDescent="0.25">
      <c r="A125" t="s">
        <v>306</v>
      </c>
      <c r="B125" t="s">
        <v>297</v>
      </c>
      <c r="C125" s="44" t="s">
        <v>2</v>
      </c>
      <c r="D125" s="44" t="s">
        <v>47</v>
      </c>
    </row>
    <row r="126" spans="1:4" x14ac:dyDescent="0.25">
      <c r="A126" t="s">
        <v>306</v>
      </c>
      <c r="B126" t="s">
        <v>127</v>
      </c>
      <c r="C126" s="44" t="s">
        <v>47</v>
      </c>
      <c r="D126" s="44" t="s">
        <v>47</v>
      </c>
    </row>
    <row r="127" spans="1:4" x14ac:dyDescent="0.25">
      <c r="A127" t="s">
        <v>307</v>
      </c>
      <c r="B127" t="s">
        <v>151</v>
      </c>
      <c r="C127" s="44" t="s">
        <v>47</v>
      </c>
      <c r="D127" s="44" t="s">
        <v>47</v>
      </c>
    </row>
    <row r="128" spans="1:4" x14ac:dyDescent="0.25">
      <c r="A128" t="s">
        <v>307</v>
      </c>
      <c r="B128" t="s">
        <v>127</v>
      </c>
      <c r="C128" s="44" t="s">
        <v>47</v>
      </c>
      <c r="D128" s="44" t="s">
        <v>47</v>
      </c>
    </row>
    <row r="129" spans="1:4" x14ac:dyDescent="0.25">
      <c r="A129" t="s">
        <v>307</v>
      </c>
      <c r="B129" t="s">
        <v>68</v>
      </c>
      <c r="C129" s="44" t="s">
        <v>2</v>
      </c>
      <c r="D129" s="44" t="s">
        <v>12</v>
      </c>
    </row>
    <row r="130" spans="1:4" x14ac:dyDescent="0.25">
      <c r="A130" t="s">
        <v>307</v>
      </c>
      <c r="B130" t="s">
        <v>143</v>
      </c>
      <c r="C130" s="44" t="s">
        <v>2</v>
      </c>
      <c r="D130" s="44" t="s">
        <v>12</v>
      </c>
    </row>
    <row r="131" spans="1:4" x14ac:dyDescent="0.25">
      <c r="A131" t="s">
        <v>307</v>
      </c>
      <c r="B131" t="s">
        <v>144</v>
      </c>
      <c r="C131" s="44" t="s">
        <v>47</v>
      </c>
      <c r="D131" s="44" t="s">
        <v>47</v>
      </c>
    </row>
    <row r="132" spans="1:4" x14ac:dyDescent="0.25">
      <c r="A132" t="s">
        <v>307</v>
      </c>
      <c r="B132" t="s">
        <v>295</v>
      </c>
      <c r="C132" s="44" t="s">
        <v>2</v>
      </c>
      <c r="D132" s="44" t="s">
        <v>47</v>
      </c>
    </row>
    <row r="133" spans="1:4" x14ac:dyDescent="0.25">
      <c r="A133" t="s">
        <v>307</v>
      </c>
      <c r="B133" t="s">
        <v>126</v>
      </c>
      <c r="C133" s="44" t="s">
        <v>2</v>
      </c>
      <c r="D133" s="44" t="s">
        <v>47</v>
      </c>
    </row>
    <row r="134" spans="1:4" x14ac:dyDescent="0.25">
      <c r="A134" t="s">
        <v>307</v>
      </c>
      <c r="B134" t="s">
        <v>296</v>
      </c>
      <c r="C134" s="44" t="s">
        <v>14</v>
      </c>
      <c r="D134" s="44" t="s">
        <v>47</v>
      </c>
    </row>
    <row r="135" spans="1:4" x14ac:dyDescent="0.25">
      <c r="A135" t="s">
        <v>307</v>
      </c>
      <c r="B135" t="s">
        <v>297</v>
      </c>
      <c r="C135" s="44" t="s">
        <v>2</v>
      </c>
      <c r="D135" s="44" t="s">
        <v>47</v>
      </c>
    </row>
    <row r="136" spans="1:4" x14ac:dyDescent="0.25">
      <c r="A136" t="s">
        <v>307</v>
      </c>
      <c r="B136" t="s">
        <v>127</v>
      </c>
      <c r="C136" s="44" t="s">
        <v>47</v>
      </c>
      <c r="D136" s="44" t="s">
        <v>47</v>
      </c>
    </row>
    <row r="137" spans="1:4" x14ac:dyDescent="0.25">
      <c r="A137" t="s">
        <v>308</v>
      </c>
      <c r="B137" t="s">
        <v>151</v>
      </c>
      <c r="C137" s="44" t="s">
        <v>47</v>
      </c>
      <c r="D137" s="44" t="s">
        <v>47</v>
      </c>
    </row>
    <row r="138" spans="1:4" x14ac:dyDescent="0.25">
      <c r="A138" t="s">
        <v>308</v>
      </c>
      <c r="B138" t="s">
        <v>127</v>
      </c>
      <c r="C138" s="44" t="s">
        <v>47</v>
      </c>
      <c r="D138" s="44" t="s">
        <v>47</v>
      </c>
    </row>
    <row r="139" spans="1:4" x14ac:dyDescent="0.25">
      <c r="A139" t="s">
        <v>308</v>
      </c>
      <c r="B139" t="s">
        <v>68</v>
      </c>
      <c r="C139" s="44" t="s">
        <v>23</v>
      </c>
      <c r="D139" s="44" t="s">
        <v>26</v>
      </c>
    </row>
    <row r="140" spans="1:4" x14ac:dyDescent="0.25">
      <c r="A140" t="s">
        <v>308</v>
      </c>
      <c r="B140" t="s">
        <v>143</v>
      </c>
      <c r="C140" s="44" t="s">
        <v>23</v>
      </c>
      <c r="D140" s="44" t="s">
        <v>26</v>
      </c>
    </row>
    <row r="141" spans="1:4" x14ac:dyDescent="0.25">
      <c r="A141" t="s">
        <v>308</v>
      </c>
      <c r="B141" t="s">
        <v>144</v>
      </c>
      <c r="C141" s="44" t="s">
        <v>47</v>
      </c>
      <c r="D141" s="44" t="s">
        <v>47</v>
      </c>
    </row>
    <row r="142" spans="1:4" x14ac:dyDescent="0.25">
      <c r="A142" t="s">
        <v>308</v>
      </c>
      <c r="B142" t="s">
        <v>295</v>
      </c>
      <c r="C142" s="44" t="s">
        <v>2</v>
      </c>
      <c r="D142" s="44" t="s">
        <v>47</v>
      </c>
    </row>
    <row r="143" spans="1:4" x14ac:dyDescent="0.25">
      <c r="A143" t="s">
        <v>308</v>
      </c>
      <c r="B143" t="s">
        <v>126</v>
      </c>
      <c r="C143" s="44" t="s">
        <v>2</v>
      </c>
      <c r="D143" s="44" t="s">
        <v>47</v>
      </c>
    </row>
    <row r="144" spans="1:4" x14ac:dyDescent="0.25">
      <c r="A144" t="s">
        <v>308</v>
      </c>
      <c r="B144" t="s">
        <v>296</v>
      </c>
      <c r="C144" s="44" t="s">
        <v>14</v>
      </c>
      <c r="D144" s="44" t="s">
        <v>47</v>
      </c>
    </row>
    <row r="145" spans="1:4" x14ac:dyDescent="0.25">
      <c r="A145" t="s">
        <v>308</v>
      </c>
      <c r="B145" t="s">
        <v>297</v>
      </c>
      <c r="C145" s="44" t="s">
        <v>2</v>
      </c>
      <c r="D145" s="44" t="s">
        <v>47</v>
      </c>
    </row>
    <row r="146" spans="1:4" x14ac:dyDescent="0.25">
      <c r="A146" t="s">
        <v>308</v>
      </c>
      <c r="B146" t="s">
        <v>127</v>
      </c>
      <c r="C146" s="44" t="s">
        <v>47</v>
      </c>
      <c r="D146" s="44" t="s">
        <v>47</v>
      </c>
    </row>
    <row r="147" spans="1:4" x14ac:dyDescent="0.25">
      <c r="A147" t="s">
        <v>309</v>
      </c>
      <c r="B147" t="s">
        <v>151</v>
      </c>
      <c r="C147" s="44" t="s">
        <v>46</v>
      </c>
      <c r="D147" s="44" t="s">
        <v>46</v>
      </c>
    </row>
    <row r="148" spans="1:4" x14ac:dyDescent="0.25">
      <c r="A148" t="s">
        <v>309</v>
      </c>
      <c r="B148" t="s">
        <v>127</v>
      </c>
      <c r="C148" s="44" t="s">
        <v>46</v>
      </c>
      <c r="D148" s="44" t="s">
        <v>46</v>
      </c>
    </row>
    <row r="149" spans="1:4" x14ac:dyDescent="0.25">
      <c r="A149" t="s">
        <v>309</v>
      </c>
      <c r="B149" t="s">
        <v>68</v>
      </c>
      <c r="C149" s="44" t="s">
        <v>23</v>
      </c>
      <c r="D149" s="44" t="s">
        <v>34</v>
      </c>
    </row>
    <row r="150" spans="1:4" x14ac:dyDescent="0.25">
      <c r="A150" t="s">
        <v>309</v>
      </c>
      <c r="B150" t="s">
        <v>143</v>
      </c>
      <c r="C150" s="44" t="s">
        <v>23</v>
      </c>
      <c r="D150" s="44" t="s">
        <v>34</v>
      </c>
    </row>
    <row r="151" spans="1:4" x14ac:dyDescent="0.25">
      <c r="A151" t="s">
        <v>309</v>
      </c>
      <c r="B151" t="s">
        <v>144</v>
      </c>
      <c r="C151" s="44" t="s">
        <v>46</v>
      </c>
      <c r="D151" s="44" t="s">
        <v>46</v>
      </c>
    </row>
    <row r="152" spans="1:4" x14ac:dyDescent="0.25">
      <c r="A152" t="s">
        <v>309</v>
      </c>
      <c r="B152" t="s">
        <v>295</v>
      </c>
      <c r="C152" s="44" t="s">
        <v>2</v>
      </c>
      <c r="D152" s="44" t="s">
        <v>46</v>
      </c>
    </row>
    <row r="153" spans="1:4" x14ac:dyDescent="0.25">
      <c r="A153" t="s">
        <v>309</v>
      </c>
      <c r="B153" t="s">
        <v>126</v>
      </c>
      <c r="C153" s="44" t="s">
        <v>2</v>
      </c>
      <c r="D153" s="44" t="s">
        <v>46</v>
      </c>
    </row>
    <row r="154" spans="1:4" x14ac:dyDescent="0.25">
      <c r="A154" t="s">
        <v>309</v>
      </c>
      <c r="B154" t="s">
        <v>296</v>
      </c>
      <c r="C154" s="44" t="s">
        <v>14</v>
      </c>
      <c r="D154" s="44" t="s">
        <v>46</v>
      </c>
    </row>
    <row r="155" spans="1:4" x14ac:dyDescent="0.25">
      <c r="A155" t="s">
        <v>309</v>
      </c>
      <c r="B155" t="s">
        <v>297</v>
      </c>
      <c r="C155" s="44" t="s">
        <v>2</v>
      </c>
      <c r="D155" s="44" t="s">
        <v>46</v>
      </c>
    </row>
    <row r="156" spans="1:4" x14ac:dyDescent="0.25">
      <c r="A156" t="s">
        <v>309</v>
      </c>
      <c r="B156" t="s">
        <v>127</v>
      </c>
      <c r="C156" s="44" t="s">
        <v>46</v>
      </c>
      <c r="D156" s="44" t="s">
        <v>46</v>
      </c>
    </row>
    <row r="157" spans="1:4" x14ac:dyDescent="0.25">
      <c r="A157" t="s">
        <v>310</v>
      </c>
      <c r="B157" t="s">
        <v>151</v>
      </c>
      <c r="C157" s="44" t="s">
        <v>46</v>
      </c>
      <c r="D157" s="44" t="s">
        <v>46</v>
      </c>
    </row>
    <row r="158" spans="1:4" x14ac:dyDescent="0.25">
      <c r="A158" t="s">
        <v>310</v>
      </c>
      <c r="B158" t="s">
        <v>127</v>
      </c>
      <c r="C158" s="44" t="s">
        <v>46</v>
      </c>
      <c r="D158" s="44" t="s">
        <v>46</v>
      </c>
    </row>
    <row r="159" spans="1:4" x14ac:dyDescent="0.25">
      <c r="A159" t="s">
        <v>310</v>
      </c>
      <c r="B159" t="s">
        <v>68</v>
      </c>
      <c r="C159" s="44" t="s">
        <v>2</v>
      </c>
      <c r="D159" s="44" t="s">
        <v>45</v>
      </c>
    </row>
    <row r="160" spans="1:4" x14ac:dyDescent="0.25">
      <c r="A160" t="s">
        <v>310</v>
      </c>
      <c r="B160" t="s">
        <v>143</v>
      </c>
      <c r="C160" s="44" t="s">
        <v>2</v>
      </c>
      <c r="D160" s="44" t="s">
        <v>45</v>
      </c>
    </row>
    <row r="161" spans="1:4" x14ac:dyDescent="0.25">
      <c r="A161" t="s">
        <v>310</v>
      </c>
      <c r="B161" t="s">
        <v>144</v>
      </c>
      <c r="C161" s="44" t="s">
        <v>46</v>
      </c>
      <c r="D161" s="44" t="s">
        <v>46</v>
      </c>
    </row>
    <row r="162" spans="1:4" x14ac:dyDescent="0.25">
      <c r="A162" t="s">
        <v>310</v>
      </c>
      <c r="B162" t="s">
        <v>295</v>
      </c>
      <c r="C162" s="44" t="s">
        <v>2</v>
      </c>
      <c r="D162" s="44" t="s">
        <v>46</v>
      </c>
    </row>
    <row r="163" spans="1:4" x14ac:dyDescent="0.25">
      <c r="A163" t="s">
        <v>310</v>
      </c>
      <c r="B163" t="s">
        <v>126</v>
      </c>
      <c r="C163" s="44" t="s">
        <v>2</v>
      </c>
      <c r="D163" s="44" t="s">
        <v>46</v>
      </c>
    </row>
    <row r="164" spans="1:4" x14ac:dyDescent="0.25">
      <c r="A164" t="s">
        <v>310</v>
      </c>
      <c r="B164" t="s">
        <v>296</v>
      </c>
      <c r="C164" s="44" t="s">
        <v>14</v>
      </c>
      <c r="D164" s="44" t="s">
        <v>46</v>
      </c>
    </row>
    <row r="165" spans="1:4" x14ac:dyDescent="0.25">
      <c r="A165" t="s">
        <v>310</v>
      </c>
      <c r="B165" t="s">
        <v>297</v>
      </c>
      <c r="C165" s="44" t="s">
        <v>2</v>
      </c>
      <c r="D165" s="44" t="s">
        <v>46</v>
      </c>
    </row>
    <row r="166" spans="1:4" x14ac:dyDescent="0.25">
      <c r="A166" t="s">
        <v>310</v>
      </c>
      <c r="B166" t="s">
        <v>127</v>
      </c>
      <c r="C166" s="44" t="s">
        <v>46</v>
      </c>
      <c r="D166" s="44" t="s">
        <v>46</v>
      </c>
    </row>
    <row r="167" spans="1:4" x14ac:dyDescent="0.25">
      <c r="A167" t="s">
        <v>311</v>
      </c>
      <c r="B167" t="s">
        <v>151</v>
      </c>
      <c r="C167" s="44" t="s">
        <v>46</v>
      </c>
      <c r="D167" s="44" t="s">
        <v>46</v>
      </c>
    </row>
    <row r="168" spans="1:4" x14ac:dyDescent="0.25">
      <c r="A168" t="s">
        <v>311</v>
      </c>
      <c r="B168" t="s">
        <v>127</v>
      </c>
      <c r="C168" s="44" t="s">
        <v>46</v>
      </c>
      <c r="D168" s="44" t="s">
        <v>46</v>
      </c>
    </row>
    <row r="169" spans="1:4" x14ac:dyDescent="0.25">
      <c r="A169" t="s">
        <v>311</v>
      </c>
      <c r="B169" t="s">
        <v>68</v>
      </c>
      <c r="C169" s="44" t="s">
        <v>2</v>
      </c>
      <c r="D169" s="44" t="s">
        <v>12</v>
      </c>
    </row>
    <row r="170" spans="1:4" x14ac:dyDescent="0.25">
      <c r="A170" t="s">
        <v>311</v>
      </c>
      <c r="B170" t="s">
        <v>143</v>
      </c>
      <c r="C170" s="44" t="s">
        <v>2</v>
      </c>
      <c r="D170" s="44" t="s">
        <v>12</v>
      </c>
    </row>
    <row r="171" spans="1:4" x14ac:dyDescent="0.25">
      <c r="A171" t="s">
        <v>311</v>
      </c>
      <c r="B171" t="s">
        <v>144</v>
      </c>
      <c r="C171" s="44" t="s">
        <v>46</v>
      </c>
      <c r="D171" s="44" t="s">
        <v>46</v>
      </c>
    </row>
    <row r="172" spans="1:4" x14ac:dyDescent="0.25">
      <c r="A172" t="s">
        <v>311</v>
      </c>
      <c r="B172" t="s">
        <v>295</v>
      </c>
      <c r="C172" s="44" t="s">
        <v>2</v>
      </c>
      <c r="D172" s="44" t="s">
        <v>46</v>
      </c>
    </row>
    <row r="173" spans="1:4" x14ac:dyDescent="0.25">
      <c r="A173" t="s">
        <v>311</v>
      </c>
      <c r="B173" t="s">
        <v>126</v>
      </c>
      <c r="C173" s="44" t="s">
        <v>2</v>
      </c>
      <c r="D173" s="44" t="s">
        <v>46</v>
      </c>
    </row>
    <row r="174" spans="1:4" x14ac:dyDescent="0.25">
      <c r="A174" t="s">
        <v>311</v>
      </c>
      <c r="B174" t="s">
        <v>296</v>
      </c>
      <c r="C174" s="44" t="s">
        <v>14</v>
      </c>
      <c r="D174" s="44" t="s">
        <v>46</v>
      </c>
    </row>
    <row r="175" spans="1:4" x14ac:dyDescent="0.25">
      <c r="A175" t="s">
        <v>311</v>
      </c>
      <c r="B175" t="s">
        <v>297</v>
      </c>
      <c r="C175" s="44" t="s">
        <v>2</v>
      </c>
      <c r="D175" s="44" t="s">
        <v>46</v>
      </c>
    </row>
    <row r="176" spans="1:4" x14ac:dyDescent="0.25">
      <c r="A176" t="s">
        <v>311</v>
      </c>
      <c r="B176" t="s">
        <v>127</v>
      </c>
      <c r="C176" s="44" t="s">
        <v>46</v>
      </c>
      <c r="D176" s="44" t="s">
        <v>46</v>
      </c>
    </row>
    <row r="177" spans="1:4" x14ac:dyDescent="0.25">
      <c r="A177" t="s">
        <v>312</v>
      </c>
      <c r="B177" t="s">
        <v>151</v>
      </c>
      <c r="C177" s="44" t="s">
        <v>46</v>
      </c>
      <c r="D177" s="44" t="s">
        <v>46</v>
      </c>
    </row>
    <row r="178" spans="1:4" x14ac:dyDescent="0.25">
      <c r="A178" t="s">
        <v>312</v>
      </c>
      <c r="B178" t="s">
        <v>127</v>
      </c>
      <c r="C178" s="44" t="s">
        <v>46</v>
      </c>
      <c r="D178" s="44" t="s">
        <v>46</v>
      </c>
    </row>
    <row r="179" spans="1:4" x14ac:dyDescent="0.25">
      <c r="A179" t="s">
        <v>312</v>
      </c>
      <c r="B179" t="s">
        <v>68</v>
      </c>
      <c r="C179" s="44" t="s">
        <v>23</v>
      </c>
      <c r="D179" s="44" t="s">
        <v>26</v>
      </c>
    </row>
    <row r="180" spans="1:4" x14ac:dyDescent="0.25">
      <c r="A180" t="s">
        <v>312</v>
      </c>
      <c r="B180" t="s">
        <v>143</v>
      </c>
      <c r="C180" s="44" t="s">
        <v>23</v>
      </c>
      <c r="D180" s="44" t="s">
        <v>26</v>
      </c>
    </row>
    <row r="181" spans="1:4" x14ac:dyDescent="0.25">
      <c r="A181" t="s">
        <v>312</v>
      </c>
      <c r="B181" t="s">
        <v>144</v>
      </c>
      <c r="C181" s="44" t="s">
        <v>46</v>
      </c>
      <c r="D181" s="44" t="s">
        <v>46</v>
      </c>
    </row>
    <row r="182" spans="1:4" x14ac:dyDescent="0.25">
      <c r="A182" t="s">
        <v>312</v>
      </c>
      <c r="B182" t="s">
        <v>295</v>
      </c>
      <c r="C182" s="44" t="s">
        <v>2</v>
      </c>
      <c r="D182" s="44" t="s">
        <v>46</v>
      </c>
    </row>
    <row r="183" spans="1:4" x14ac:dyDescent="0.25">
      <c r="A183" t="s">
        <v>312</v>
      </c>
      <c r="B183" t="s">
        <v>126</v>
      </c>
      <c r="C183" s="44" t="s">
        <v>2</v>
      </c>
      <c r="D183" s="44" t="s">
        <v>46</v>
      </c>
    </row>
    <row r="184" spans="1:4" x14ac:dyDescent="0.25">
      <c r="A184" t="s">
        <v>312</v>
      </c>
      <c r="B184" t="s">
        <v>296</v>
      </c>
      <c r="C184" s="44" t="s">
        <v>14</v>
      </c>
      <c r="D184" s="44" t="s">
        <v>46</v>
      </c>
    </row>
    <row r="185" spans="1:4" x14ac:dyDescent="0.25">
      <c r="A185" t="s">
        <v>312</v>
      </c>
      <c r="B185" t="s">
        <v>297</v>
      </c>
      <c r="C185" s="44" t="s">
        <v>2</v>
      </c>
      <c r="D185" s="44" t="s">
        <v>46</v>
      </c>
    </row>
    <row r="186" spans="1:4" x14ac:dyDescent="0.25">
      <c r="A186" t="s">
        <v>312</v>
      </c>
      <c r="B186" t="s">
        <v>127</v>
      </c>
      <c r="C186" s="44" t="s">
        <v>46</v>
      </c>
      <c r="D186" s="44" t="s">
        <v>46</v>
      </c>
    </row>
    <row r="187" spans="1:4" x14ac:dyDescent="0.25">
      <c r="A187" t="s">
        <v>313</v>
      </c>
      <c r="B187" t="s">
        <v>151</v>
      </c>
      <c r="C187" s="44" t="s">
        <v>10</v>
      </c>
      <c r="D187" s="44" t="s">
        <v>10</v>
      </c>
    </row>
    <row r="188" spans="1:4" x14ac:dyDescent="0.25">
      <c r="A188" t="s">
        <v>313</v>
      </c>
      <c r="B188" t="s">
        <v>127</v>
      </c>
      <c r="C188" s="44" t="s">
        <v>10</v>
      </c>
      <c r="D188" s="44" t="s">
        <v>10</v>
      </c>
    </row>
    <row r="189" spans="1:4" x14ac:dyDescent="0.25">
      <c r="A189" t="s">
        <v>313</v>
      </c>
      <c r="B189" t="s">
        <v>68</v>
      </c>
      <c r="C189" s="44" t="s">
        <v>23</v>
      </c>
      <c r="D189" s="44" t="s">
        <v>34</v>
      </c>
    </row>
    <row r="190" spans="1:4" x14ac:dyDescent="0.25">
      <c r="A190" t="s">
        <v>313</v>
      </c>
      <c r="B190" t="s">
        <v>143</v>
      </c>
      <c r="C190" s="44" t="s">
        <v>23</v>
      </c>
      <c r="D190" s="44" t="s">
        <v>34</v>
      </c>
    </row>
    <row r="191" spans="1:4" x14ac:dyDescent="0.25">
      <c r="A191" t="s">
        <v>313</v>
      </c>
      <c r="B191" t="s">
        <v>144</v>
      </c>
      <c r="C191" s="44" t="s">
        <v>10</v>
      </c>
      <c r="D191" s="44" t="s">
        <v>10</v>
      </c>
    </row>
    <row r="192" spans="1:4" x14ac:dyDescent="0.25">
      <c r="A192" t="s">
        <v>313</v>
      </c>
      <c r="B192" t="s">
        <v>295</v>
      </c>
      <c r="C192" s="44" t="s">
        <v>2</v>
      </c>
      <c r="D192" s="44" t="s">
        <v>10</v>
      </c>
    </row>
    <row r="193" spans="1:4" x14ac:dyDescent="0.25">
      <c r="A193" t="s">
        <v>313</v>
      </c>
      <c r="B193" t="s">
        <v>126</v>
      </c>
      <c r="C193" s="44" t="s">
        <v>2</v>
      </c>
      <c r="D193" s="44" t="s">
        <v>10</v>
      </c>
    </row>
    <row r="194" spans="1:4" x14ac:dyDescent="0.25">
      <c r="A194" t="s">
        <v>313</v>
      </c>
      <c r="B194" t="s">
        <v>296</v>
      </c>
      <c r="C194" s="44" t="s">
        <v>14</v>
      </c>
      <c r="D194" s="44" t="s">
        <v>10</v>
      </c>
    </row>
    <row r="195" spans="1:4" x14ac:dyDescent="0.25">
      <c r="A195" t="s">
        <v>313</v>
      </c>
      <c r="B195" t="s">
        <v>297</v>
      </c>
      <c r="C195" s="44" t="s">
        <v>2</v>
      </c>
      <c r="D195" s="44" t="s">
        <v>10</v>
      </c>
    </row>
    <row r="196" spans="1:4" x14ac:dyDescent="0.25">
      <c r="A196" t="s">
        <v>313</v>
      </c>
      <c r="B196" t="s">
        <v>127</v>
      </c>
      <c r="C196" s="44" t="s">
        <v>10</v>
      </c>
      <c r="D196" s="44" t="s">
        <v>10</v>
      </c>
    </row>
    <row r="197" spans="1:4" x14ac:dyDescent="0.25">
      <c r="A197" t="s">
        <v>314</v>
      </c>
      <c r="B197" t="s">
        <v>151</v>
      </c>
      <c r="C197" s="44" t="s">
        <v>10</v>
      </c>
      <c r="D197" s="44" t="s">
        <v>10</v>
      </c>
    </row>
    <row r="198" spans="1:4" x14ac:dyDescent="0.25">
      <c r="A198" t="s">
        <v>314</v>
      </c>
      <c r="B198" t="s">
        <v>127</v>
      </c>
      <c r="C198" s="44" t="s">
        <v>10</v>
      </c>
      <c r="D198" s="44" t="s">
        <v>10</v>
      </c>
    </row>
    <row r="199" spans="1:4" x14ac:dyDescent="0.25">
      <c r="A199" t="s">
        <v>314</v>
      </c>
      <c r="B199" t="s">
        <v>68</v>
      </c>
      <c r="C199" s="44" t="s">
        <v>2</v>
      </c>
      <c r="D199" s="44" t="s">
        <v>45</v>
      </c>
    </row>
    <row r="200" spans="1:4" x14ac:dyDescent="0.25">
      <c r="A200" t="s">
        <v>314</v>
      </c>
      <c r="B200" t="s">
        <v>143</v>
      </c>
      <c r="C200" s="44" t="s">
        <v>2</v>
      </c>
      <c r="D200" s="44" t="s">
        <v>45</v>
      </c>
    </row>
    <row r="201" spans="1:4" x14ac:dyDescent="0.25">
      <c r="A201" t="s">
        <v>314</v>
      </c>
      <c r="B201" t="s">
        <v>144</v>
      </c>
      <c r="C201" s="44" t="s">
        <v>10</v>
      </c>
      <c r="D201" s="44" t="s">
        <v>10</v>
      </c>
    </row>
    <row r="202" spans="1:4" x14ac:dyDescent="0.25">
      <c r="A202" t="s">
        <v>314</v>
      </c>
      <c r="B202" t="s">
        <v>295</v>
      </c>
      <c r="C202" s="44" t="s">
        <v>2</v>
      </c>
      <c r="D202" s="44" t="s">
        <v>10</v>
      </c>
    </row>
    <row r="203" spans="1:4" x14ac:dyDescent="0.25">
      <c r="A203" t="s">
        <v>314</v>
      </c>
      <c r="B203" t="s">
        <v>126</v>
      </c>
      <c r="C203" s="44" t="s">
        <v>2</v>
      </c>
      <c r="D203" s="44" t="s">
        <v>10</v>
      </c>
    </row>
    <row r="204" spans="1:4" x14ac:dyDescent="0.25">
      <c r="A204" t="s">
        <v>314</v>
      </c>
      <c r="B204" t="s">
        <v>296</v>
      </c>
      <c r="C204" s="44" t="s">
        <v>14</v>
      </c>
      <c r="D204" s="44" t="s">
        <v>10</v>
      </c>
    </row>
    <row r="205" spans="1:4" x14ac:dyDescent="0.25">
      <c r="A205" t="s">
        <v>314</v>
      </c>
      <c r="B205" t="s">
        <v>297</v>
      </c>
      <c r="C205" s="44" t="s">
        <v>2</v>
      </c>
      <c r="D205" s="44" t="s">
        <v>10</v>
      </c>
    </row>
    <row r="206" spans="1:4" x14ac:dyDescent="0.25">
      <c r="A206" t="s">
        <v>314</v>
      </c>
      <c r="B206" t="s">
        <v>127</v>
      </c>
      <c r="C206" s="44" t="s">
        <v>10</v>
      </c>
      <c r="D206" s="44" t="s">
        <v>10</v>
      </c>
    </row>
    <row r="207" spans="1:4" x14ac:dyDescent="0.25">
      <c r="A207" t="s">
        <v>315</v>
      </c>
      <c r="B207" t="s">
        <v>151</v>
      </c>
      <c r="C207" s="44" t="s">
        <v>10</v>
      </c>
      <c r="D207" s="44" t="s">
        <v>10</v>
      </c>
    </row>
    <row r="208" spans="1:4" x14ac:dyDescent="0.25">
      <c r="A208" t="s">
        <v>315</v>
      </c>
      <c r="B208" t="s">
        <v>127</v>
      </c>
      <c r="C208" s="44" t="s">
        <v>10</v>
      </c>
      <c r="D208" s="44" t="s">
        <v>10</v>
      </c>
    </row>
    <row r="209" spans="1:4" x14ac:dyDescent="0.25">
      <c r="A209" t="s">
        <v>315</v>
      </c>
      <c r="B209" t="s">
        <v>68</v>
      </c>
      <c r="C209" s="44" t="s">
        <v>2</v>
      </c>
      <c r="D209" s="44" t="s">
        <v>12</v>
      </c>
    </row>
    <row r="210" spans="1:4" x14ac:dyDescent="0.25">
      <c r="A210" t="s">
        <v>315</v>
      </c>
      <c r="B210" t="s">
        <v>143</v>
      </c>
      <c r="C210" s="44" t="s">
        <v>2</v>
      </c>
      <c r="D210" s="44" t="s">
        <v>12</v>
      </c>
    </row>
    <row r="211" spans="1:4" x14ac:dyDescent="0.25">
      <c r="A211" t="s">
        <v>315</v>
      </c>
      <c r="B211" t="s">
        <v>144</v>
      </c>
      <c r="C211" s="44" t="s">
        <v>10</v>
      </c>
      <c r="D211" s="44" t="s">
        <v>10</v>
      </c>
    </row>
    <row r="212" spans="1:4" x14ac:dyDescent="0.25">
      <c r="A212" t="s">
        <v>315</v>
      </c>
      <c r="B212" t="s">
        <v>295</v>
      </c>
      <c r="C212" s="44" t="s">
        <v>2</v>
      </c>
      <c r="D212" s="44" t="s">
        <v>10</v>
      </c>
    </row>
    <row r="213" spans="1:4" x14ac:dyDescent="0.25">
      <c r="A213" t="s">
        <v>315</v>
      </c>
      <c r="B213" t="s">
        <v>126</v>
      </c>
      <c r="C213" s="44" t="s">
        <v>2</v>
      </c>
      <c r="D213" s="44" t="s">
        <v>10</v>
      </c>
    </row>
    <row r="214" spans="1:4" x14ac:dyDescent="0.25">
      <c r="A214" t="s">
        <v>315</v>
      </c>
      <c r="B214" t="s">
        <v>296</v>
      </c>
      <c r="C214" s="44" t="s">
        <v>14</v>
      </c>
      <c r="D214" s="44" t="s">
        <v>10</v>
      </c>
    </row>
    <row r="215" spans="1:4" x14ac:dyDescent="0.25">
      <c r="A215" t="s">
        <v>315</v>
      </c>
      <c r="B215" t="s">
        <v>297</v>
      </c>
      <c r="C215" s="44" t="s">
        <v>2</v>
      </c>
      <c r="D215" s="44" t="s">
        <v>10</v>
      </c>
    </row>
    <row r="216" spans="1:4" x14ac:dyDescent="0.25">
      <c r="A216" t="s">
        <v>315</v>
      </c>
      <c r="B216" t="s">
        <v>127</v>
      </c>
      <c r="C216" s="44" t="s">
        <v>10</v>
      </c>
      <c r="D216" s="44" t="s">
        <v>10</v>
      </c>
    </row>
    <row r="217" spans="1:4" x14ac:dyDescent="0.25">
      <c r="A217" t="s">
        <v>316</v>
      </c>
      <c r="B217" t="s">
        <v>151</v>
      </c>
      <c r="C217" s="44" t="s">
        <v>10</v>
      </c>
      <c r="D217" s="44" t="s">
        <v>10</v>
      </c>
    </row>
    <row r="218" spans="1:4" x14ac:dyDescent="0.25">
      <c r="A218" t="s">
        <v>316</v>
      </c>
      <c r="B218" t="s">
        <v>127</v>
      </c>
      <c r="C218" s="44" t="s">
        <v>10</v>
      </c>
      <c r="D218" s="44" t="s">
        <v>10</v>
      </c>
    </row>
    <row r="219" spans="1:4" x14ac:dyDescent="0.25">
      <c r="A219" t="s">
        <v>316</v>
      </c>
      <c r="B219" t="s">
        <v>68</v>
      </c>
      <c r="C219" s="44" t="s">
        <v>23</v>
      </c>
      <c r="D219" s="44" t="s">
        <v>26</v>
      </c>
    </row>
    <row r="220" spans="1:4" x14ac:dyDescent="0.25">
      <c r="A220" t="s">
        <v>316</v>
      </c>
      <c r="B220" t="s">
        <v>143</v>
      </c>
      <c r="C220" s="44" t="s">
        <v>23</v>
      </c>
      <c r="D220" s="44" t="s">
        <v>26</v>
      </c>
    </row>
    <row r="221" spans="1:4" x14ac:dyDescent="0.25">
      <c r="A221" t="s">
        <v>316</v>
      </c>
      <c r="B221" t="s">
        <v>144</v>
      </c>
      <c r="C221" s="44" t="s">
        <v>10</v>
      </c>
      <c r="D221" s="44" t="s">
        <v>10</v>
      </c>
    </row>
    <row r="222" spans="1:4" x14ac:dyDescent="0.25">
      <c r="A222" t="s">
        <v>316</v>
      </c>
      <c r="B222" t="s">
        <v>295</v>
      </c>
      <c r="C222" s="44" t="s">
        <v>2</v>
      </c>
      <c r="D222" s="44" t="s">
        <v>10</v>
      </c>
    </row>
    <row r="223" spans="1:4" x14ac:dyDescent="0.25">
      <c r="A223" t="s">
        <v>316</v>
      </c>
      <c r="B223" t="s">
        <v>126</v>
      </c>
      <c r="C223" s="44" t="s">
        <v>2</v>
      </c>
      <c r="D223" s="44" t="s">
        <v>10</v>
      </c>
    </row>
    <row r="224" spans="1:4" x14ac:dyDescent="0.25">
      <c r="A224" t="s">
        <v>316</v>
      </c>
      <c r="B224" t="s">
        <v>296</v>
      </c>
      <c r="C224" s="44" t="s">
        <v>14</v>
      </c>
      <c r="D224" s="44" t="s">
        <v>10</v>
      </c>
    </row>
    <row r="225" spans="1:4" x14ac:dyDescent="0.25">
      <c r="A225" t="s">
        <v>316</v>
      </c>
      <c r="B225" t="s">
        <v>297</v>
      </c>
      <c r="C225" s="44" t="s">
        <v>2</v>
      </c>
      <c r="D225" s="44" t="s">
        <v>10</v>
      </c>
    </row>
    <row r="226" spans="1:4" x14ac:dyDescent="0.25">
      <c r="A226" t="s">
        <v>316</v>
      </c>
      <c r="B226" t="s">
        <v>127</v>
      </c>
      <c r="C226" s="44" t="s">
        <v>10</v>
      </c>
      <c r="D226" s="44" t="s">
        <v>10</v>
      </c>
    </row>
    <row r="227" spans="1:4" x14ac:dyDescent="0.25">
      <c r="A227" t="s">
        <v>317</v>
      </c>
      <c r="B227" t="s">
        <v>151</v>
      </c>
      <c r="C227" s="44" t="s">
        <v>66</v>
      </c>
      <c r="D227" s="44" t="s">
        <v>66</v>
      </c>
    </row>
    <row r="228" spans="1:4" x14ac:dyDescent="0.25">
      <c r="A228" t="s">
        <v>317</v>
      </c>
      <c r="B228" t="s">
        <v>127</v>
      </c>
      <c r="C228" s="44" t="s">
        <v>66</v>
      </c>
      <c r="D228" s="44" t="s">
        <v>66</v>
      </c>
    </row>
    <row r="229" spans="1:4" x14ac:dyDescent="0.25">
      <c r="A229" t="s">
        <v>317</v>
      </c>
      <c r="B229" t="s">
        <v>68</v>
      </c>
      <c r="C229" s="44" t="s">
        <v>23</v>
      </c>
      <c r="D229" s="44" t="s">
        <v>34</v>
      </c>
    </row>
    <row r="230" spans="1:4" x14ac:dyDescent="0.25">
      <c r="A230" t="s">
        <v>317</v>
      </c>
      <c r="B230" t="s">
        <v>143</v>
      </c>
      <c r="C230" s="44" t="s">
        <v>23</v>
      </c>
      <c r="D230" s="44" t="s">
        <v>34</v>
      </c>
    </row>
    <row r="231" spans="1:4" x14ac:dyDescent="0.25">
      <c r="A231" t="s">
        <v>317</v>
      </c>
      <c r="B231" t="s">
        <v>144</v>
      </c>
      <c r="C231" s="44" t="s">
        <v>66</v>
      </c>
      <c r="D231" s="44" t="s">
        <v>66</v>
      </c>
    </row>
    <row r="232" spans="1:4" x14ac:dyDescent="0.25">
      <c r="A232" t="s">
        <v>317</v>
      </c>
      <c r="B232" t="s">
        <v>295</v>
      </c>
      <c r="C232" s="44" t="s">
        <v>2</v>
      </c>
      <c r="D232" s="44" t="s">
        <v>66</v>
      </c>
    </row>
    <row r="233" spans="1:4" x14ac:dyDescent="0.25">
      <c r="A233" t="s">
        <v>317</v>
      </c>
      <c r="B233" t="s">
        <v>126</v>
      </c>
      <c r="C233" s="44" t="s">
        <v>2</v>
      </c>
      <c r="D233" s="44" t="s">
        <v>66</v>
      </c>
    </row>
    <row r="234" spans="1:4" x14ac:dyDescent="0.25">
      <c r="A234" t="s">
        <v>317</v>
      </c>
      <c r="B234" t="s">
        <v>296</v>
      </c>
      <c r="C234" s="44" t="s">
        <v>14</v>
      </c>
      <c r="D234" s="44" t="s">
        <v>66</v>
      </c>
    </row>
    <row r="235" spans="1:4" x14ac:dyDescent="0.25">
      <c r="A235" t="s">
        <v>317</v>
      </c>
      <c r="B235" t="s">
        <v>297</v>
      </c>
      <c r="C235" s="44" t="s">
        <v>2</v>
      </c>
      <c r="D235" s="44" t="s">
        <v>66</v>
      </c>
    </row>
    <row r="236" spans="1:4" x14ac:dyDescent="0.25">
      <c r="A236" t="s">
        <v>317</v>
      </c>
      <c r="B236" t="s">
        <v>127</v>
      </c>
      <c r="C236" s="44" t="s">
        <v>66</v>
      </c>
      <c r="D236" s="44" t="s">
        <v>66</v>
      </c>
    </row>
    <row r="237" spans="1:4" x14ac:dyDescent="0.25">
      <c r="A237" t="s">
        <v>318</v>
      </c>
      <c r="B237" t="s">
        <v>151</v>
      </c>
      <c r="C237" s="44" t="s">
        <v>66</v>
      </c>
      <c r="D237" s="44" t="s">
        <v>66</v>
      </c>
    </row>
    <row r="238" spans="1:4" x14ac:dyDescent="0.25">
      <c r="A238" t="s">
        <v>318</v>
      </c>
      <c r="B238" t="s">
        <v>127</v>
      </c>
      <c r="C238" s="44" t="s">
        <v>66</v>
      </c>
      <c r="D238" s="44" t="s">
        <v>66</v>
      </c>
    </row>
    <row r="239" spans="1:4" x14ac:dyDescent="0.25">
      <c r="A239" t="s">
        <v>318</v>
      </c>
      <c r="B239" t="s">
        <v>68</v>
      </c>
      <c r="C239" s="44" t="s">
        <v>2</v>
      </c>
      <c r="D239" s="44" t="s">
        <v>45</v>
      </c>
    </row>
    <row r="240" spans="1:4" x14ac:dyDescent="0.25">
      <c r="A240" t="s">
        <v>318</v>
      </c>
      <c r="B240" t="s">
        <v>143</v>
      </c>
      <c r="C240" s="44" t="s">
        <v>2</v>
      </c>
      <c r="D240" s="44" t="s">
        <v>45</v>
      </c>
    </row>
    <row r="241" spans="1:4" x14ac:dyDescent="0.25">
      <c r="A241" t="s">
        <v>318</v>
      </c>
      <c r="B241" t="s">
        <v>144</v>
      </c>
      <c r="C241" s="44" t="s">
        <v>66</v>
      </c>
      <c r="D241" s="44" t="s">
        <v>66</v>
      </c>
    </row>
    <row r="242" spans="1:4" x14ac:dyDescent="0.25">
      <c r="A242" t="s">
        <v>318</v>
      </c>
      <c r="B242" t="s">
        <v>295</v>
      </c>
      <c r="C242" s="44" t="s">
        <v>2</v>
      </c>
      <c r="D242" s="44" t="s">
        <v>66</v>
      </c>
    </row>
    <row r="243" spans="1:4" x14ac:dyDescent="0.25">
      <c r="A243" t="s">
        <v>318</v>
      </c>
      <c r="B243" t="s">
        <v>126</v>
      </c>
      <c r="C243" s="44" t="s">
        <v>2</v>
      </c>
      <c r="D243" s="44" t="s">
        <v>66</v>
      </c>
    </row>
    <row r="244" spans="1:4" x14ac:dyDescent="0.25">
      <c r="A244" t="s">
        <v>318</v>
      </c>
      <c r="B244" t="s">
        <v>296</v>
      </c>
      <c r="C244" s="44" t="s">
        <v>14</v>
      </c>
      <c r="D244" s="44" t="s">
        <v>66</v>
      </c>
    </row>
    <row r="245" spans="1:4" x14ac:dyDescent="0.25">
      <c r="A245" t="s">
        <v>318</v>
      </c>
      <c r="B245" t="s">
        <v>297</v>
      </c>
      <c r="C245" s="44" t="s">
        <v>2</v>
      </c>
      <c r="D245" s="44" t="s">
        <v>66</v>
      </c>
    </row>
    <row r="246" spans="1:4" x14ac:dyDescent="0.25">
      <c r="A246" t="s">
        <v>318</v>
      </c>
      <c r="B246" t="s">
        <v>127</v>
      </c>
      <c r="C246" s="44" t="s">
        <v>66</v>
      </c>
      <c r="D246" s="44" t="s">
        <v>66</v>
      </c>
    </row>
    <row r="247" spans="1:4" x14ac:dyDescent="0.25">
      <c r="A247" t="s">
        <v>319</v>
      </c>
      <c r="B247" t="s">
        <v>151</v>
      </c>
      <c r="C247" s="44" t="s">
        <v>66</v>
      </c>
      <c r="D247" s="44" t="s">
        <v>66</v>
      </c>
    </row>
    <row r="248" spans="1:4" x14ac:dyDescent="0.25">
      <c r="A248" t="s">
        <v>319</v>
      </c>
      <c r="B248" t="s">
        <v>127</v>
      </c>
      <c r="C248" s="44" t="s">
        <v>66</v>
      </c>
      <c r="D248" s="44" t="s">
        <v>66</v>
      </c>
    </row>
    <row r="249" spans="1:4" x14ac:dyDescent="0.25">
      <c r="A249" t="s">
        <v>319</v>
      </c>
      <c r="B249" t="s">
        <v>68</v>
      </c>
      <c r="C249" s="44" t="s">
        <v>2</v>
      </c>
      <c r="D249" s="44" t="s">
        <v>12</v>
      </c>
    </row>
    <row r="250" spans="1:4" x14ac:dyDescent="0.25">
      <c r="A250" t="s">
        <v>319</v>
      </c>
      <c r="B250" t="s">
        <v>143</v>
      </c>
      <c r="C250" s="44" t="s">
        <v>2</v>
      </c>
      <c r="D250" s="44" t="s">
        <v>12</v>
      </c>
    </row>
    <row r="251" spans="1:4" x14ac:dyDescent="0.25">
      <c r="A251" t="s">
        <v>319</v>
      </c>
      <c r="B251" t="s">
        <v>144</v>
      </c>
      <c r="C251" s="44" t="s">
        <v>66</v>
      </c>
      <c r="D251" s="44" t="s">
        <v>66</v>
      </c>
    </row>
    <row r="252" spans="1:4" x14ac:dyDescent="0.25">
      <c r="A252" t="s">
        <v>319</v>
      </c>
      <c r="B252" t="s">
        <v>295</v>
      </c>
      <c r="C252" s="44" t="s">
        <v>2</v>
      </c>
      <c r="D252" s="44" t="s">
        <v>66</v>
      </c>
    </row>
    <row r="253" spans="1:4" x14ac:dyDescent="0.25">
      <c r="A253" t="s">
        <v>319</v>
      </c>
      <c r="B253" t="s">
        <v>126</v>
      </c>
      <c r="C253" s="44" t="s">
        <v>2</v>
      </c>
      <c r="D253" s="44" t="s">
        <v>66</v>
      </c>
    </row>
    <row r="254" spans="1:4" x14ac:dyDescent="0.25">
      <c r="A254" t="s">
        <v>319</v>
      </c>
      <c r="B254" t="s">
        <v>296</v>
      </c>
      <c r="C254" s="44" t="s">
        <v>14</v>
      </c>
      <c r="D254" s="44" t="s">
        <v>66</v>
      </c>
    </row>
    <row r="255" spans="1:4" x14ac:dyDescent="0.25">
      <c r="A255" t="s">
        <v>319</v>
      </c>
      <c r="B255" t="s">
        <v>297</v>
      </c>
      <c r="C255" s="44" t="s">
        <v>2</v>
      </c>
      <c r="D255" s="44" t="s">
        <v>66</v>
      </c>
    </row>
    <row r="256" spans="1:4" x14ac:dyDescent="0.25">
      <c r="A256" t="s">
        <v>319</v>
      </c>
      <c r="B256" t="s">
        <v>127</v>
      </c>
      <c r="C256" s="44" t="s">
        <v>66</v>
      </c>
      <c r="D256" s="44" t="s">
        <v>66</v>
      </c>
    </row>
    <row r="257" spans="1:4" x14ac:dyDescent="0.25">
      <c r="A257" t="s">
        <v>320</v>
      </c>
      <c r="B257" t="s">
        <v>151</v>
      </c>
      <c r="C257" s="44" t="s">
        <v>66</v>
      </c>
      <c r="D257" s="44" t="s">
        <v>66</v>
      </c>
    </row>
    <row r="258" spans="1:4" x14ac:dyDescent="0.25">
      <c r="A258" t="s">
        <v>320</v>
      </c>
      <c r="B258" t="s">
        <v>127</v>
      </c>
      <c r="C258" s="44" t="s">
        <v>66</v>
      </c>
      <c r="D258" s="44" t="s">
        <v>66</v>
      </c>
    </row>
    <row r="259" spans="1:4" x14ac:dyDescent="0.25">
      <c r="A259" t="s">
        <v>320</v>
      </c>
      <c r="B259" t="s">
        <v>68</v>
      </c>
      <c r="C259" s="44" t="s">
        <v>23</v>
      </c>
      <c r="D259" s="44" t="s">
        <v>26</v>
      </c>
    </row>
    <row r="260" spans="1:4" x14ac:dyDescent="0.25">
      <c r="A260" t="s">
        <v>320</v>
      </c>
      <c r="B260" t="s">
        <v>143</v>
      </c>
      <c r="C260" s="44" t="s">
        <v>23</v>
      </c>
      <c r="D260" s="44" t="s">
        <v>26</v>
      </c>
    </row>
    <row r="261" spans="1:4" x14ac:dyDescent="0.25">
      <c r="A261" t="s">
        <v>320</v>
      </c>
      <c r="B261" t="s">
        <v>144</v>
      </c>
      <c r="C261" s="44" t="s">
        <v>66</v>
      </c>
      <c r="D261" s="44" t="s">
        <v>66</v>
      </c>
    </row>
    <row r="262" spans="1:4" x14ac:dyDescent="0.25">
      <c r="A262" t="s">
        <v>320</v>
      </c>
      <c r="B262" t="s">
        <v>295</v>
      </c>
      <c r="C262" s="44" t="s">
        <v>2</v>
      </c>
      <c r="D262" s="44" t="s">
        <v>66</v>
      </c>
    </row>
    <row r="263" spans="1:4" x14ac:dyDescent="0.25">
      <c r="A263" t="s">
        <v>320</v>
      </c>
      <c r="B263" t="s">
        <v>126</v>
      </c>
      <c r="C263" s="44" t="s">
        <v>2</v>
      </c>
      <c r="D263" s="44" t="s">
        <v>66</v>
      </c>
    </row>
    <row r="264" spans="1:4" x14ac:dyDescent="0.25">
      <c r="A264" t="s">
        <v>320</v>
      </c>
      <c r="B264" t="s">
        <v>296</v>
      </c>
      <c r="C264" s="44" t="s">
        <v>14</v>
      </c>
      <c r="D264" s="44" t="s">
        <v>66</v>
      </c>
    </row>
    <row r="265" spans="1:4" x14ac:dyDescent="0.25">
      <c r="A265" t="s">
        <v>320</v>
      </c>
      <c r="B265" t="s">
        <v>297</v>
      </c>
      <c r="C265" s="44" t="s">
        <v>2</v>
      </c>
      <c r="D265" s="44" t="s">
        <v>66</v>
      </c>
    </row>
    <row r="266" spans="1:4" x14ac:dyDescent="0.25">
      <c r="A266" t="s">
        <v>320</v>
      </c>
      <c r="B266" t="s">
        <v>127</v>
      </c>
      <c r="C266" s="44" t="s">
        <v>66</v>
      </c>
      <c r="D266" s="44" t="s">
        <v>66</v>
      </c>
    </row>
    <row r="267" spans="1:4" x14ac:dyDescent="0.25">
      <c r="A267" t="s">
        <v>327</v>
      </c>
      <c r="B267" t="s">
        <v>151</v>
      </c>
      <c r="C267" s="44" t="s">
        <v>47</v>
      </c>
      <c r="D267" s="44" t="s">
        <v>47</v>
      </c>
    </row>
    <row r="268" spans="1:4" x14ac:dyDescent="0.25">
      <c r="A268" t="s">
        <v>327</v>
      </c>
      <c r="B268" t="s">
        <v>127</v>
      </c>
      <c r="C268" s="44" t="s">
        <v>47</v>
      </c>
      <c r="D268" s="44" t="s">
        <v>47</v>
      </c>
    </row>
    <row r="269" spans="1:4" x14ac:dyDescent="0.25">
      <c r="A269" t="s">
        <v>327</v>
      </c>
      <c r="B269" t="s">
        <v>68</v>
      </c>
      <c r="C269" s="44" t="s">
        <v>23</v>
      </c>
      <c r="D269" s="44" t="s">
        <v>34</v>
      </c>
    </row>
    <row r="270" spans="1:4" x14ac:dyDescent="0.25">
      <c r="A270" t="s">
        <v>327</v>
      </c>
      <c r="B270" t="s">
        <v>125</v>
      </c>
      <c r="C270" s="44" t="s">
        <v>23</v>
      </c>
      <c r="D270" s="44" t="s">
        <v>34</v>
      </c>
    </row>
    <row r="271" spans="1:4" x14ac:dyDescent="0.25">
      <c r="A271" t="s">
        <v>327</v>
      </c>
      <c r="B271" t="s">
        <v>128</v>
      </c>
      <c r="C271" s="44" t="s">
        <v>47</v>
      </c>
      <c r="D271" s="44" t="s">
        <v>47</v>
      </c>
    </row>
    <row r="272" spans="1:4" x14ac:dyDescent="0.25">
      <c r="A272" t="s">
        <v>327</v>
      </c>
      <c r="B272" t="s">
        <v>295</v>
      </c>
      <c r="C272" s="44" t="s">
        <v>2</v>
      </c>
      <c r="D272" s="44" t="s">
        <v>47</v>
      </c>
    </row>
    <row r="273" spans="1:4" x14ac:dyDescent="0.25">
      <c r="A273" t="s">
        <v>327</v>
      </c>
      <c r="B273" t="s">
        <v>126</v>
      </c>
      <c r="C273" s="44" t="s">
        <v>2</v>
      </c>
      <c r="D273" s="44" t="s">
        <v>35</v>
      </c>
    </row>
    <row r="274" spans="1:4" x14ac:dyDescent="0.25">
      <c r="A274" t="s">
        <v>327</v>
      </c>
      <c r="B274" t="s">
        <v>296</v>
      </c>
      <c r="C274" s="44" t="s">
        <v>23</v>
      </c>
      <c r="D274" s="44" t="s">
        <v>35</v>
      </c>
    </row>
    <row r="275" spans="1:4" x14ac:dyDescent="0.25">
      <c r="A275" t="s">
        <v>327</v>
      </c>
      <c r="B275" t="s">
        <v>297</v>
      </c>
      <c r="C275" s="44" t="s">
        <v>2</v>
      </c>
      <c r="D275" s="44" t="s">
        <v>35</v>
      </c>
    </row>
    <row r="276" spans="1:4" x14ac:dyDescent="0.25">
      <c r="A276" t="s">
        <v>327</v>
      </c>
      <c r="B276" t="s">
        <v>127</v>
      </c>
      <c r="C276" s="44" t="s">
        <v>47</v>
      </c>
      <c r="D276" s="44" t="s">
        <v>47</v>
      </c>
    </row>
    <row r="277" spans="1:4" x14ac:dyDescent="0.25">
      <c r="A277" t="s">
        <v>328</v>
      </c>
      <c r="B277" t="s">
        <v>151</v>
      </c>
      <c r="C277" s="44" t="s">
        <v>47</v>
      </c>
      <c r="D277" s="44" t="s">
        <v>47</v>
      </c>
    </row>
    <row r="278" spans="1:4" x14ac:dyDescent="0.25">
      <c r="A278" t="s">
        <v>328</v>
      </c>
      <c r="B278" t="s">
        <v>127</v>
      </c>
      <c r="C278" s="44" t="s">
        <v>47</v>
      </c>
      <c r="D278" s="44" t="s">
        <v>47</v>
      </c>
    </row>
    <row r="279" spans="1:4" x14ac:dyDescent="0.25">
      <c r="A279" t="s">
        <v>328</v>
      </c>
      <c r="B279" t="s">
        <v>68</v>
      </c>
      <c r="C279" s="44" t="s">
        <v>2</v>
      </c>
      <c r="D279" s="44" t="s">
        <v>45</v>
      </c>
    </row>
    <row r="280" spans="1:4" x14ac:dyDescent="0.25">
      <c r="A280" t="s">
        <v>328</v>
      </c>
      <c r="B280" t="s">
        <v>125</v>
      </c>
      <c r="C280" s="44" t="s">
        <v>2</v>
      </c>
      <c r="D280" s="44" t="s">
        <v>45</v>
      </c>
    </row>
    <row r="281" spans="1:4" x14ac:dyDescent="0.25">
      <c r="A281" t="s">
        <v>328</v>
      </c>
      <c r="B281" t="s">
        <v>128</v>
      </c>
      <c r="C281" s="44" t="s">
        <v>47</v>
      </c>
      <c r="D281" s="44" t="s">
        <v>47</v>
      </c>
    </row>
    <row r="282" spans="1:4" x14ac:dyDescent="0.25">
      <c r="A282" t="s">
        <v>328</v>
      </c>
      <c r="B282" t="s">
        <v>295</v>
      </c>
      <c r="C282" s="44" t="s">
        <v>2</v>
      </c>
      <c r="D282" s="44" t="s">
        <v>47</v>
      </c>
    </row>
    <row r="283" spans="1:4" x14ac:dyDescent="0.25">
      <c r="A283" t="s">
        <v>328</v>
      </c>
      <c r="B283" t="s">
        <v>126</v>
      </c>
      <c r="C283" s="44" t="s">
        <v>2</v>
      </c>
      <c r="D283" s="44" t="s">
        <v>35</v>
      </c>
    </row>
    <row r="284" spans="1:4" x14ac:dyDescent="0.25">
      <c r="A284" t="s">
        <v>328</v>
      </c>
      <c r="B284" t="s">
        <v>296</v>
      </c>
      <c r="C284" s="44" t="s">
        <v>23</v>
      </c>
      <c r="D284" s="44" t="s">
        <v>35</v>
      </c>
    </row>
    <row r="285" spans="1:4" x14ac:dyDescent="0.25">
      <c r="A285" t="s">
        <v>328</v>
      </c>
      <c r="B285" t="s">
        <v>297</v>
      </c>
      <c r="C285" s="44" t="s">
        <v>2</v>
      </c>
      <c r="D285" s="44" t="s">
        <v>35</v>
      </c>
    </row>
    <row r="286" spans="1:4" x14ac:dyDescent="0.25">
      <c r="A286" t="s">
        <v>328</v>
      </c>
      <c r="B286" t="s">
        <v>127</v>
      </c>
      <c r="C286" s="44" t="s">
        <v>47</v>
      </c>
      <c r="D286" s="44" t="s">
        <v>47</v>
      </c>
    </row>
    <row r="287" spans="1:4" x14ac:dyDescent="0.25">
      <c r="A287" t="s">
        <v>329</v>
      </c>
      <c r="B287" t="s">
        <v>151</v>
      </c>
      <c r="C287" s="44" t="s">
        <v>47</v>
      </c>
      <c r="D287" s="44" t="s">
        <v>47</v>
      </c>
    </row>
    <row r="288" spans="1:4" x14ac:dyDescent="0.25">
      <c r="A288" t="s">
        <v>329</v>
      </c>
      <c r="B288" t="s">
        <v>127</v>
      </c>
      <c r="C288" s="44" t="s">
        <v>47</v>
      </c>
      <c r="D288" s="44" t="s">
        <v>47</v>
      </c>
    </row>
    <row r="289" spans="1:4" x14ac:dyDescent="0.25">
      <c r="A289" t="s">
        <v>329</v>
      </c>
      <c r="B289" t="s">
        <v>68</v>
      </c>
      <c r="C289" s="44" t="s">
        <v>2</v>
      </c>
      <c r="D289" s="44" t="s">
        <v>12</v>
      </c>
    </row>
    <row r="290" spans="1:4" x14ac:dyDescent="0.25">
      <c r="A290" t="s">
        <v>329</v>
      </c>
      <c r="B290" t="s">
        <v>125</v>
      </c>
      <c r="C290" s="44" t="s">
        <v>2</v>
      </c>
      <c r="D290" s="44" t="s">
        <v>12</v>
      </c>
    </row>
    <row r="291" spans="1:4" x14ac:dyDescent="0.25">
      <c r="A291" t="s">
        <v>329</v>
      </c>
      <c r="B291" t="s">
        <v>128</v>
      </c>
      <c r="C291" s="44" t="s">
        <v>47</v>
      </c>
      <c r="D291" s="44" t="s">
        <v>47</v>
      </c>
    </row>
    <row r="292" spans="1:4" x14ac:dyDescent="0.25">
      <c r="A292" t="s">
        <v>329</v>
      </c>
      <c r="B292" t="s">
        <v>295</v>
      </c>
      <c r="C292" s="44" t="s">
        <v>2</v>
      </c>
      <c r="D292" s="44" t="s">
        <v>47</v>
      </c>
    </row>
    <row r="293" spans="1:4" x14ac:dyDescent="0.25">
      <c r="A293" t="s">
        <v>329</v>
      </c>
      <c r="B293" t="s">
        <v>126</v>
      </c>
      <c r="C293" s="44" t="s">
        <v>2</v>
      </c>
      <c r="D293" s="44" t="s">
        <v>35</v>
      </c>
    </row>
    <row r="294" spans="1:4" x14ac:dyDescent="0.25">
      <c r="A294" t="s">
        <v>329</v>
      </c>
      <c r="B294" t="s">
        <v>296</v>
      </c>
      <c r="C294" s="44" t="s">
        <v>23</v>
      </c>
      <c r="D294" s="44" t="s">
        <v>35</v>
      </c>
    </row>
    <row r="295" spans="1:4" x14ac:dyDescent="0.25">
      <c r="A295" t="s">
        <v>329</v>
      </c>
      <c r="B295" t="s">
        <v>297</v>
      </c>
      <c r="C295" s="44" t="s">
        <v>2</v>
      </c>
      <c r="D295" s="44" t="s">
        <v>35</v>
      </c>
    </row>
    <row r="296" spans="1:4" x14ac:dyDescent="0.25">
      <c r="A296" t="s">
        <v>329</v>
      </c>
      <c r="B296" t="s">
        <v>127</v>
      </c>
      <c r="C296" s="44" t="s">
        <v>47</v>
      </c>
      <c r="D296" s="44" t="s">
        <v>47</v>
      </c>
    </row>
    <row r="297" spans="1:4" x14ac:dyDescent="0.25">
      <c r="A297" t="s">
        <v>330</v>
      </c>
      <c r="B297" t="s">
        <v>151</v>
      </c>
      <c r="C297" s="44" t="s">
        <v>47</v>
      </c>
      <c r="D297" s="44" t="s">
        <v>47</v>
      </c>
    </row>
    <row r="298" spans="1:4" x14ac:dyDescent="0.25">
      <c r="A298" t="s">
        <v>330</v>
      </c>
      <c r="B298" t="s">
        <v>127</v>
      </c>
      <c r="C298" s="44" t="s">
        <v>47</v>
      </c>
      <c r="D298" s="44" t="s">
        <v>47</v>
      </c>
    </row>
    <row r="299" spans="1:4" x14ac:dyDescent="0.25">
      <c r="A299" t="s">
        <v>330</v>
      </c>
      <c r="B299" t="s">
        <v>68</v>
      </c>
      <c r="C299" s="44" t="s">
        <v>23</v>
      </c>
      <c r="D299" s="44" t="s">
        <v>26</v>
      </c>
    </row>
    <row r="300" spans="1:4" x14ac:dyDescent="0.25">
      <c r="A300" t="s">
        <v>330</v>
      </c>
      <c r="B300" t="s">
        <v>125</v>
      </c>
      <c r="C300" s="44" t="s">
        <v>23</v>
      </c>
      <c r="D300" s="44" t="s">
        <v>26</v>
      </c>
    </row>
    <row r="301" spans="1:4" x14ac:dyDescent="0.25">
      <c r="A301" t="s">
        <v>330</v>
      </c>
      <c r="B301" t="s">
        <v>128</v>
      </c>
      <c r="C301" s="44" t="s">
        <v>47</v>
      </c>
      <c r="D301" s="44" t="s">
        <v>47</v>
      </c>
    </row>
    <row r="302" spans="1:4" x14ac:dyDescent="0.25">
      <c r="A302" t="s">
        <v>330</v>
      </c>
      <c r="B302" t="s">
        <v>295</v>
      </c>
      <c r="C302" s="44" t="s">
        <v>2</v>
      </c>
      <c r="D302" s="44" t="s">
        <v>47</v>
      </c>
    </row>
    <row r="303" spans="1:4" x14ac:dyDescent="0.25">
      <c r="A303" t="s">
        <v>330</v>
      </c>
      <c r="B303" t="s">
        <v>126</v>
      </c>
      <c r="C303" s="44" t="s">
        <v>2</v>
      </c>
      <c r="D303" s="44" t="s">
        <v>35</v>
      </c>
    </row>
    <row r="304" spans="1:4" x14ac:dyDescent="0.25">
      <c r="A304" t="s">
        <v>330</v>
      </c>
      <c r="B304" t="s">
        <v>296</v>
      </c>
      <c r="C304" s="44" t="s">
        <v>23</v>
      </c>
      <c r="D304" s="44" t="s">
        <v>35</v>
      </c>
    </row>
    <row r="305" spans="1:4" x14ac:dyDescent="0.25">
      <c r="A305" t="s">
        <v>330</v>
      </c>
      <c r="B305" t="s">
        <v>297</v>
      </c>
      <c r="C305" s="44" t="s">
        <v>2</v>
      </c>
      <c r="D305" s="44" t="s">
        <v>35</v>
      </c>
    </row>
    <row r="306" spans="1:4" x14ac:dyDescent="0.25">
      <c r="A306" t="s">
        <v>330</v>
      </c>
      <c r="B306" t="s">
        <v>127</v>
      </c>
      <c r="C306" s="44" t="s">
        <v>47</v>
      </c>
      <c r="D306" s="44" t="s">
        <v>47</v>
      </c>
    </row>
    <row r="307" spans="1:4" x14ac:dyDescent="0.25">
      <c r="A307" t="s">
        <v>331</v>
      </c>
      <c r="B307" t="s">
        <v>151</v>
      </c>
      <c r="C307" s="44" t="s">
        <v>46</v>
      </c>
      <c r="D307" s="44" t="s">
        <v>46</v>
      </c>
    </row>
    <row r="308" spans="1:4" x14ac:dyDescent="0.25">
      <c r="A308" t="s">
        <v>331</v>
      </c>
      <c r="B308" t="s">
        <v>127</v>
      </c>
      <c r="C308" s="44" t="s">
        <v>46</v>
      </c>
      <c r="D308" s="44" t="s">
        <v>46</v>
      </c>
    </row>
    <row r="309" spans="1:4" x14ac:dyDescent="0.25">
      <c r="A309" t="s">
        <v>331</v>
      </c>
      <c r="B309" t="s">
        <v>68</v>
      </c>
      <c r="C309" s="44" t="s">
        <v>23</v>
      </c>
      <c r="D309" s="44" t="s">
        <v>34</v>
      </c>
    </row>
    <row r="310" spans="1:4" x14ac:dyDescent="0.25">
      <c r="A310" t="s">
        <v>331</v>
      </c>
      <c r="B310" t="s">
        <v>125</v>
      </c>
      <c r="C310" s="44" t="s">
        <v>23</v>
      </c>
      <c r="D310" s="44" t="s">
        <v>34</v>
      </c>
    </row>
    <row r="311" spans="1:4" x14ac:dyDescent="0.25">
      <c r="A311" t="s">
        <v>331</v>
      </c>
      <c r="B311" t="s">
        <v>128</v>
      </c>
      <c r="C311" s="44" t="s">
        <v>46</v>
      </c>
      <c r="D311" s="44" t="s">
        <v>46</v>
      </c>
    </row>
    <row r="312" spans="1:4" x14ac:dyDescent="0.25">
      <c r="A312" t="s">
        <v>331</v>
      </c>
      <c r="B312" t="s">
        <v>295</v>
      </c>
      <c r="C312" s="44" t="s">
        <v>2</v>
      </c>
      <c r="D312" s="44" t="s">
        <v>46</v>
      </c>
    </row>
    <row r="313" spans="1:4" x14ac:dyDescent="0.25">
      <c r="A313" t="s">
        <v>331</v>
      </c>
      <c r="B313" t="s">
        <v>126</v>
      </c>
      <c r="C313" s="44" t="s">
        <v>2</v>
      </c>
      <c r="D313" s="44" t="s">
        <v>35</v>
      </c>
    </row>
    <row r="314" spans="1:4" x14ac:dyDescent="0.25">
      <c r="A314" t="s">
        <v>331</v>
      </c>
      <c r="B314" t="s">
        <v>296</v>
      </c>
      <c r="C314" s="44" t="s">
        <v>23</v>
      </c>
      <c r="D314" s="44" t="s">
        <v>35</v>
      </c>
    </row>
    <row r="315" spans="1:4" x14ac:dyDescent="0.25">
      <c r="A315" t="s">
        <v>331</v>
      </c>
      <c r="B315" t="s">
        <v>297</v>
      </c>
      <c r="C315" s="44" t="s">
        <v>2</v>
      </c>
      <c r="D315" s="44" t="s">
        <v>35</v>
      </c>
    </row>
    <row r="316" spans="1:4" x14ac:dyDescent="0.25">
      <c r="A316" t="s">
        <v>331</v>
      </c>
      <c r="B316" t="s">
        <v>127</v>
      </c>
      <c r="C316" s="44" t="s">
        <v>46</v>
      </c>
      <c r="D316" s="44" t="s">
        <v>46</v>
      </c>
    </row>
    <row r="317" spans="1:4" x14ac:dyDescent="0.25">
      <c r="A317" t="s">
        <v>332</v>
      </c>
      <c r="B317" t="s">
        <v>151</v>
      </c>
      <c r="C317" s="44" t="s">
        <v>46</v>
      </c>
      <c r="D317" s="44" t="s">
        <v>46</v>
      </c>
    </row>
    <row r="318" spans="1:4" x14ac:dyDescent="0.25">
      <c r="A318" t="s">
        <v>332</v>
      </c>
      <c r="B318" t="s">
        <v>127</v>
      </c>
      <c r="C318" s="44" t="s">
        <v>46</v>
      </c>
      <c r="D318" s="44" t="s">
        <v>46</v>
      </c>
    </row>
    <row r="319" spans="1:4" x14ac:dyDescent="0.25">
      <c r="A319" t="s">
        <v>332</v>
      </c>
      <c r="B319" t="s">
        <v>68</v>
      </c>
      <c r="C319" s="44" t="s">
        <v>2</v>
      </c>
      <c r="D319" s="44" t="s">
        <v>45</v>
      </c>
    </row>
    <row r="320" spans="1:4" x14ac:dyDescent="0.25">
      <c r="A320" t="s">
        <v>332</v>
      </c>
      <c r="B320" t="s">
        <v>125</v>
      </c>
      <c r="C320" s="44" t="s">
        <v>2</v>
      </c>
      <c r="D320" s="44" t="s">
        <v>45</v>
      </c>
    </row>
    <row r="321" spans="1:4" x14ac:dyDescent="0.25">
      <c r="A321" t="s">
        <v>332</v>
      </c>
      <c r="B321" t="s">
        <v>128</v>
      </c>
      <c r="C321" s="44" t="s">
        <v>46</v>
      </c>
      <c r="D321" s="44" t="s">
        <v>46</v>
      </c>
    </row>
    <row r="322" spans="1:4" x14ac:dyDescent="0.25">
      <c r="A322" t="s">
        <v>332</v>
      </c>
      <c r="B322" t="s">
        <v>295</v>
      </c>
      <c r="C322" s="44" t="s">
        <v>2</v>
      </c>
      <c r="D322" s="44" t="s">
        <v>46</v>
      </c>
    </row>
    <row r="323" spans="1:4" x14ac:dyDescent="0.25">
      <c r="A323" t="s">
        <v>332</v>
      </c>
      <c r="B323" t="s">
        <v>126</v>
      </c>
      <c r="C323" s="44" t="s">
        <v>2</v>
      </c>
      <c r="D323" s="44" t="s">
        <v>35</v>
      </c>
    </row>
    <row r="324" spans="1:4" x14ac:dyDescent="0.25">
      <c r="A324" t="s">
        <v>332</v>
      </c>
      <c r="B324" t="s">
        <v>296</v>
      </c>
      <c r="C324" s="44" t="s">
        <v>23</v>
      </c>
      <c r="D324" s="44" t="s">
        <v>35</v>
      </c>
    </row>
    <row r="325" spans="1:4" x14ac:dyDescent="0.25">
      <c r="A325" t="s">
        <v>332</v>
      </c>
      <c r="B325" t="s">
        <v>297</v>
      </c>
      <c r="C325" s="44" t="s">
        <v>2</v>
      </c>
      <c r="D325" s="44" t="s">
        <v>35</v>
      </c>
    </row>
    <row r="326" spans="1:4" x14ac:dyDescent="0.25">
      <c r="A326" t="s">
        <v>332</v>
      </c>
      <c r="B326" t="s">
        <v>127</v>
      </c>
      <c r="C326" s="44" t="s">
        <v>46</v>
      </c>
      <c r="D326" s="44" t="s">
        <v>46</v>
      </c>
    </row>
    <row r="327" spans="1:4" x14ac:dyDescent="0.25">
      <c r="A327" t="s">
        <v>333</v>
      </c>
      <c r="B327" t="s">
        <v>151</v>
      </c>
      <c r="C327" s="44" t="s">
        <v>46</v>
      </c>
      <c r="D327" s="44" t="s">
        <v>46</v>
      </c>
    </row>
    <row r="328" spans="1:4" x14ac:dyDescent="0.25">
      <c r="A328" t="s">
        <v>333</v>
      </c>
      <c r="B328" t="s">
        <v>127</v>
      </c>
      <c r="C328" s="44" t="s">
        <v>46</v>
      </c>
      <c r="D328" s="44" t="s">
        <v>46</v>
      </c>
    </row>
    <row r="329" spans="1:4" x14ac:dyDescent="0.25">
      <c r="A329" t="s">
        <v>333</v>
      </c>
      <c r="B329" t="s">
        <v>68</v>
      </c>
      <c r="C329" s="44" t="s">
        <v>2</v>
      </c>
      <c r="D329" s="44" t="s">
        <v>12</v>
      </c>
    </row>
    <row r="330" spans="1:4" x14ac:dyDescent="0.25">
      <c r="A330" t="s">
        <v>333</v>
      </c>
      <c r="B330" t="s">
        <v>125</v>
      </c>
      <c r="C330" s="44" t="s">
        <v>2</v>
      </c>
      <c r="D330" s="44" t="s">
        <v>12</v>
      </c>
    </row>
    <row r="331" spans="1:4" x14ac:dyDescent="0.25">
      <c r="A331" t="s">
        <v>333</v>
      </c>
      <c r="B331" t="s">
        <v>128</v>
      </c>
      <c r="C331" s="44" t="s">
        <v>46</v>
      </c>
      <c r="D331" s="44" t="s">
        <v>46</v>
      </c>
    </row>
    <row r="332" spans="1:4" x14ac:dyDescent="0.25">
      <c r="A332" t="s">
        <v>333</v>
      </c>
      <c r="B332" t="s">
        <v>295</v>
      </c>
      <c r="C332" s="44" t="s">
        <v>2</v>
      </c>
      <c r="D332" s="44" t="s">
        <v>46</v>
      </c>
    </row>
    <row r="333" spans="1:4" x14ac:dyDescent="0.25">
      <c r="A333" t="s">
        <v>333</v>
      </c>
      <c r="B333" t="s">
        <v>126</v>
      </c>
      <c r="C333" s="44" t="s">
        <v>2</v>
      </c>
      <c r="D333" s="44" t="s">
        <v>35</v>
      </c>
    </row>
    <row r="334" spans="1:4" x14ac:dyDescent="0.25">
      <c r="A334" t="s">
        <v>333</v>
      </c>
      <c r="B334" t="s">
        <v>296</v>
      </c>
      <c r="C334" s="44" t="s">
        <v>23</v>
      </c>
      <c r="D334" s="44" t="s">
        <v>35</v>
      </c>
    </row>
    <row r="335" spans="1:4" x14ac:dyDescent="0.25">
      <c r="A335" t="s">
        <v>333</v>
      </c>
      <c r="B335" t="s">
        <v>297</v>
      </c>
      <c r="C335" s="44" t="s">
        <v>2</v>
      </c>
      <c r="D335" s="44" t="s">
        <v>35</v>
      </c>
    </row>
    <row r="336" spans="1:4" x14ac:dyDescent="0.25">
      <c r="A336" t="s">
        <v>333</v>
      </c>
      <c r="B336" t="s">
        <v>127</v>
      </c>
      <c r="C336" s="44" t="s">
        <v>46</v>
      </c>
      <c r="D336" s="44" t="s">
        <v>46</v>
      </c>
    </row>
    <row r="337" spans="1:4" x14ac:dyDescent="0.25">
      <c r="A337" t="s">
        <v>334</v>
      </c>
      <c r="B337" t="s">
        <v>151</v>
      </c>
      <c r="C337" s="44" t="s">
        <v>46</v>
      </c>
      <c r="D337" s="44" t="s">
        <v>46</v>
      </c>
    </row>
    <row r="338" spans="1:4" x14ac:dyDescent="0.25">
      <c r="A338" t="s">
        <v>334</v>
      </c>
      <c r="B338" t="s">
        <v>127</v>
      </c>
      <c r="C338" s="44" t="s">
        <v>46</v>
      </c>
      <c r="D338" s="44" t="s">
        <v>46</v>
      </c>
    </row>
    <row r="339" spans="1:4" x14ac:dyDescent="0.25">
      <c r="A339" t="s">
        <v>334</v>
      </c>
      <c r="B339" t="s">
        <v>68</v>
      </c>
      <c r="C339" s="44" t="s">
        <v>23</v>
      </c>
      <c r="D339" s="44" t="s">
        <v>26</v>
      </c>
    </row>
    <row r="340" spans="1:4" x14ac:dyDescent="0.25">
      <c r="A340" t="s">
        <v>334</v>
      </c>
      <c r="B340" t="s">
        <v>125</v>
      </c>
      <c r="C340" s="44" t="s">
        <v>23</v>
      </c>
      <c r="D340" s="44" t="s">
        <v>26</v>
      </c>
    </row>
    <row r="341" spans="1:4" x14ac:dyDescent="0.25">
      <c r="A341" t="s">
        <v>334</v>
      </c>
      <c r="B341" t="s">
        <v>128</v>
      </c>
      <c r="C341" s="44" t="s">
        <v>46</v>
      </c>
      <c r="D341" s="44" t="s">
        <v>46</v>
      </c>
    </row>
    <row r="342" spans="1:4" x14ac:dyDescent="0.25">
      <c r="A342" t="s">
        <v>334</v>
      </c>
      <c r="B342" t="s">
        <v>295</v>
      </c>
      <c r="C342" s="44" t="s">
        <v>2</v>
      </c>
      <c r="D342" s="44" t="s">
        <v>46</v>
      </c>
    </row>
    <row r="343" spans="1:4" x14ac:dyDescent="0.25">
      <c r="A343" t="s">
        <v>334</v>
      </c>
      <c r="B343" t="s">
        <v>126</v>
      </c>
      <c r="C343" s="44" t="s">
        <v>2</v>
      </c>
      <c r="D343" s="44" t="s">
        <v>35</v>
      </c>
    </row>
    <row r="344" spans="1:4" x14ac:dyDescent="0.25">
      <c r="A344" t="s">
        <v>334</v>
      </c>
      <c r="B344" t="s">
        <v>296</v>
      </c>
      <c r="C344" s="44" t="s">
        <v>23</v>
      </c>
      <c r="D344" s="44" t="s">
        <v>35</v>
      </c>
    </row>
    <row r="345" spans="1:4" x14ac:dyDescent="0.25">
      <c r="A345" t="s">
        <v>334</v>
      </c>
      <c r="B345" t="s">
        <v>297</v>
      </c>
      <c r="C345" s="44" t="s">
        <v>2</v>
      </c>
      <c r="D345" s="44" t="s">
        <v>35</v>
      </c>
    </row>
    <row r="346" spans="1:4" x14ac:dyDescent="0.25">
      <c r="A346" t="s">
        <v>334</v>
      </c>
      <c r="B346" t="s">
        <v>127</v>
      </c>
      <c r="C346" s="44" t="s">
        <v>46</v>
      </c>
      <c r="D346" s="44" t="s">
        <v>46</v>
      </c>
    </row>
    <row r="347" spans="1:4" x14ac:dyDescent="0.25">
      <c r="A347" t="s">
        <v>335</v>
      </c>
      <c r="B347" t="s">
        <v>151</v>
      </c>
      <c r="C347" s="44" t="s">
        <v>10</v>
      </c>
      <c r="D347" s="44" t="s">
        <v>10</v>
      </c>
    </row>
    <row r="348" spans="1:4" x14ac:dyDescent="0.25">
      <c r="A348" t="s">
        <v>335</v>
      </c>
      <c r="B348" t="s">
        <v>127</v>
      </c>
      <c r="C348" s="44" t="s">
        <v>10</v>
      </c>
      <c r="D348" s="44" t="s">
        <v>10</v>
      </c>
    </row>
    <row r="349" spans="1:4" x14ac:dyDescent="0.25">
      <c r="A349" t="s">
        <v>335</v>
      </c>
      <c r="B349" t="s">
        <v>68</v>
      </c>
      <c r="C349" s="44" t="s">
        <v>23</v>
      </c>
      <c r="D349" s="44" t="s">
        <v>34</v>
      </c>
    </row>
    <row r="350" spans="1:4" x14ac:dyDescent="0.25">
      <c r="A350" t="s">
        <v>335</v>
      </c>
      <c r="B350" t="s">
        <v>125</v>
      </c>
      <c r="C350" s="44" t="s">
        <v>23</v>
      </c>
      <c r="D350" s="44" t="s">
        <v>34</v>
      </c>
    </row>
    <row r="351" spans="1:4" x14ac:dyDescent="0.25">
      <c r="A351" t="s">
        <v>335</v>
      </c>
      <c r="B351" t="s">
        <v>128</v>
      </c>
      <c r="C351" s="44" t="s">
        <v>10</v>
      </c>
      <c r="D351" s="44" t="s">
        <v>10</v>
      </c>
    </row>
    <row r="352" spans="1:4" x14ac:dyDescent="0.25">
      <c r="A352" t="s">
        <v>335</v>
      </c>
      <c r="B352" t="s">
        <v>295</v>
      </c>
      <c r="C352" s="44" t="s">
        <v>2</v>
      </c>
      <c r="D352" s="44" t="s">
        <v>10</v>
      </c>
    </row>
    <row r="353" spans="1:4" x14ac:dyDescent="0.25">
      <c r="A353" t="s">
        <v>335</v>
      </c>
      <c r="B353" t="s">
        <v>126</v>
      </c>
      <c r="C353" s="44" t="s">
        <v>2</v>
      </c>
      <c r="D353" s="44" t="s">
        <v>35</v>
      </c>
    </row>
    <row r="354" spans="1:4" x14ac:dyDescent="0.25">
      <c r="A354" t="s">
        <v>335</v>
      </c>
      <c r="B354" t="s">
        <v>296</v>
      </c>
      <c r="C354" s="44" t="s">
        <v>23</v>
      </c>
      <c r="D354" s="44" t="s">
        <v>35</v>
      </c>
    </row>
    <row r="355" spans="1:4" x14ac:dyDescent="0.25">
      <c r="A355" t="s">
        <v>335</v>
      </c>
      <c r="B355" t="s">
        <v>297</v>
      </c>
      <c r="C355" s="44" t="s">
        <v>2</v>
      </c>
      <c r="D355" s="44" t="s">
        <v>35</v>
      </c>
    </row>
    <row r="356" spans="1:4" x14ac:dyDescent="0.25">
      <c r="A356" t="s">
        <v>335</v>
      </c>
      <c r="B356" t="s">
        <v>127</v>
      </c>
      <c r="C356" s="44" t="s">
        <v>10</v>
      </c>
      <c r="D356" s="44" t="s">
        <v>10</v>
      </c>
    </row>
    <row r="357" spans="1:4" x14ac:dyDescent="0.25">
      <c r="A357" t="s">
        <v>336</v>
      </c>
      <c r="B357" t="s">
        <v>151</v>
      </c>
      <c r="C357" s="44" t="s">
        <v>10</v>
      </c>
      <c r="D357" s="44" t="s">
        <v>10</v>
      </c>
    </row>
    <row r="358" spans="1:4" x14ac:dyDescent="0.25">
      <c r="A358" t="s">
        <v>336</v>
      </c>
      <c r="B358" t="s">
        <v>127</v>
      </c>
      <c r="C358" s="44" t="s">
        <v>10</v>
      </c>
      <c r="D358" s="44" t="s">
        <v>10</v>
      </c>
    </row>
    <row r="359" spans="1:4" x14ac:dyDescent="0.25">
      <c r="A359" t="s">
        <v>336</v>
      </c>
      <c r="B359" t="s">
        <v>68</v>
      </c>
      <c r="C359" s="44" t="s">
        <v>2</v>
      </c>
      <c r="D359" s="44" t="s">
        <v>45</v>
      </c>
    </row>
    <row r="360" spans="1:4" x14ac:dyDescent="0.25">
      <c r="A360" t="s">
        <v>336</v>
      </c>
      <c r="B360" t="s">
        <v>125</v>
      </c>
      <c r="C360" s="44" t="s">
        <v>2</v>
      </c>
      <c r="D360" s="44" t="s">
        <v>45</v>
      </c>
    </row>
    <row r="361" spans="1:4" x14ac:dyDescent="0.25">
      <c r="A361" t="s">
        <v>336</v>
      </c>
      <c r="B361" t="s">
        <v>128</v>
      </c>
      <c r="C361" s="44" t="s">
        <v>10</v>
      </c>
      <c r="D361" s="44" t="s">
        <v>10</v>
      </c>
    </row>
    <row r="362" spans="1:4" x14ac:dyDescent="0.25">
      <c r="A362" t="s">
        <v>336</v>
      </c>
      <c r="B362" t="s">
        <v>295</v>
      </c>
      <c r="C362" s="44" t="s">
        <v>2</v>
      </c>
      <c r="D362" s="44" t="s">
        <v>10</v>
      </c>
    </row>
    <row r="363" spans="1:4" x14ac:dyDescent="0.25">
      <c r="A363" t="s">
        <v>336</v>
      </c>
      <c r="B363" t="s">
        <v>126</v>
      </c>
      <c r="C363" s="44" t="s">
        <v>2</v>
      </c>
      <c r="D363" s="44" t="s">
        <v>35</v>
      </c>
    </row>
    <row r="364" spans="1:4" x14ac:dyDescent="0.25">
      <c r="A364" t="s">
        <v>336</v>
      </c>
      <c r="B364" t="s">
        <v>296</v>
      </c>
      <c r="C364" s="44" t="s">
        <v>23</v>
      </c>
      <c r="D364" s="44" t="s">
        <v>35</v>
      </c>
    </row>
    <row r="365" spans="1:4" x14ac:dyDescent="0.25">
      <c r="A365" t="s">
        <v>336</v>
      </c>
      <c r="B365" t="s">
        <v>297</v>
      </c>
      <c r="C365" s="44" t="s">
        <v>2</v>
      </c>
      <c r="D365" s="44" t="s">
        <v>35</v>
      </c>
    </row>
    <row r="366" spans="1:4" x14ac:dyDescent="0.25">
      <c r="A366" t="s">
        <v>336</v>
      </c>
      <c r="B366" t="s">
        <v>127</v>
      </c>
      <c r="C366" s="44" t="s">
        <v>10</v>
      </c>
      <c r="D366" s="44" t="s">
        <v>10</v>
      </c>
    </row>
    <row r="367" spans="1:4" x14ac:dyDescent="0.25">
      <c r="A367" t="s">
        <v>337</v>
      </c>
      <c r="B367" t="s">
        <v>151</v>
      </c>
      <c r="C367" s="44" t="s">
        <v>10</v>
      </c>
      <c r="D367" s="44" t="s">
        <v>10</v>
      </c>
    </row>
    <row r="368" spans="1:4" x14ac:dyDescent="0.25">
      <c r="A368" t="s">
        <v>337</v>
      </c>
      <c r="B368" t="s">
        <v>127</v>
      </c>
      <c r="C368" s="44" t="s">
        <v>10</v>
      </c>
      <c r="D368" s="44" t="s">
        <v>10</v>
      </c>
    </row>
    <row r="369" spans="1:4" x14ac:dyDescent="0.25">
      <c r="A369" t="s">
        <v>337</v>
      </c>
      <c r="B369" t="s">
        <v>68</v>
      </c>
      <c r="C369" s="44" t="s">
        <v>2</v>
      </c>
      <c r="D369" s="44" t="s">
        <v>12</v>
      </c>
    </row>
    <row r="370" spans="1:4" x14ac:dyDescent="0.25">
      <c r="A370" t="s">
        <v>337</v>
      </c>
      <c r="B370" t="s">
        <v>125</v>
      </c>
      <c r="C370" s="44" t="s">
        <v>2</v>
      </c>
      <c r="D370" s="44" t="s">
        <v>12</v>
      </c>
    </row>
    <row r="371" spans="1:4" x14ac:dyDescent="0.25">
      <c r="A371" t="s">
        <v>337</v>
      </c>
      <c r="B371" t="s">
        <v>128</v>
      </c>
      <c r="C371" s="44" t="s">
        <v>10</v>
      </c>
      <c r="D371" s="44" t="s">
        <v>10</v>
      </c>
    </row>
    <row r="372" spans="1:4" x14ac:dyDescent="0.25">
      <c r="A372" t="s">
        <v>337</v>
      </c>
      <c r="B372" t="s">
        <v>295</v>
      </c>
      <c r="C372" s="44" t="s">
        <v>2</v>
      </c>
      <c r="D372" s="44" t="s">
        <v>10</v>
      </c>
    </row>
    <row r="373" spans="1:4" x14ac:dyDescent="0.25">
      <c r="A373" t="s">
        <v>337</v>
      </c>
      <c r="B373" t="s">
        <v>126</v>
      </c>
      <c r="C373" s="44" t="s">
        <v>2</v>
      </c>
      <c r="D373" s="44" t="s">
        <v>35</v>
      </c>
    </row>
    <row r="374" spans="1:4" x14ac:dyDescent="0.25">
      <c r="A374" t="s">
        <v>337</v>
      </c>
      <c r="B374" t="s">
        <v>296</v>
      </c>
      <c r="C374" s="44" t="s">
        <v>23</v>
      </c>
      <c r="D374" s="44" t="s">
        <v>35</v>
      </c>
    </row>
    <row r="375" spans="1:4" x14ac:dyDescent="0.25">
      <c r="A375" t="s">
        <v>337</v>
      </c>
      <c r="B375" t="s">
        <v>297</v>
      </c>
      <c r="C375" s="44" t="s">
        <v>2</v>
      </c>
      <c r="D375" s="44" t="s">
        <v>35</v>
      </c>
    </row>
    <row r="376" spans="1:4" x14ac:dyDescent="0.25">
      <c r="A376" t="s">
        <v>337</v>
      </c>
      <c r="B376" t="s">
        <v>127</v>
      </c>
      <c r="C376" s="44" t="s">
        <v>10</v>
      </c>
      <c r="D376" s="44" t="s">
        <v>10</v>
      </c>
    </row>
    <row r="377" spans="1:4" x14ac:dyDescent="0.25">
      <c r="A377" t="s">
        <v>338</v>
      </c>
      <c r="B377" t="s">
        <v>151</v>
      </c>
      <c r="C377" s="44" t="s">
        <v>10</v>
      </c>
      <c r="D377" s="44" t="s">
        <v>10</v>
      </c>
    </row>
    <row r="378" spans="1:4" x14ac:dyDescent="0.25">
      <c r="A378" t="s">
        <v>338</v>
      </c>
      <c r="B378" t="s">
        <v>127</v>
      </c>
      <c r="C378" s="44" t="s">
        <v>10</v>
      </c>
      <c r="D378" s="44" t="s">
        <v>10</v>
      </c>
    </row>
    <row r="379" spans="1:4" x14ac:dyDescent="0.25">
      <c r="A379" t="s">
        <v>338</v>
      </c>
      <c r="B379" t="s">
        <v>68</v>
      </c>
      <c r="C379" s="44" t="s">
        <v>23</v>
      </c>
      <c r="D379" s="44" t="s">
        <v>26</v>
      </c>
    </row>
    <row r="380" spans="1:4" x14ac:dyDescent="0.25">
      <c r="A380" t="s">
        <v>338</v>
      </c>
      <c r="B380" t="s">
        <v>125</v>
      </c>
      <c r="C380" s="44" t="s">
        <v>23</v>
      </c>
      <c r="D380" s="44" t="s">
        <v>26</v>
      </c>
    </row>
    <row r="381" spans="1:4" x14ac:dyDescent="0.25">
      <c r="A381" t="s">
        <v>338</v>
      </c>
      <c r="B381" t="s">
        <v>128</v>
      </c>
      <c r="C381" s="44" t="s">
        <v>10</v>
      </c>
      <c r="D381" s="44" t="s">
        <v>10</v>
      </c>
    </row>
    <row r="382" spans="1:4" x14ac:dyDescent="0.25">
      <c r="A382" t="s">
        <v>338</v>
      </c>
      <c r="B382" t="s">
        <v>295</v>
      </c>
      <c r="C382" s="44" t="s">
        <v>2</v>
      </c>
      <c r="D382" s="44" t="s">
        <v>10</v>
      </c>
    </row>
    <row r="383" spans="1:4" x14ac:dyDescent="0.25">
      <c r="A383" t="s">
        <v>338</v>
      </c>
      <c r="B383" t="s">
        <v>126</v>
      </c>
      <c r="C383" s="44" t="s">
        <v>2</v>
      </c>
      <c r="D383" s="44" t="s">
        <v>35</v>
      </c>
    </row>
    <row r="384" spans="1:4" x14ac:dyDescent="0.25">
      <c r="A384" t="s">
        <v>338</v>
      </c>
      <c r="B384" t="s">
        <v>296</v>
      </c>
      <c r="C384" s="44" t="s">
        <v>23</v>
      </c>
      <c r="D384" s="44" t="s">
        <v>35</v>
      </c>
    </row>
    <row r="385" spans="1:4" x14ac:dyDescent="0.25">
      <c r="A385" t="s">
        <v>338</v>
      </c>
      <c r="B385" t="s">
        <v>297</v>
      </c>
      <c r="C385" s="44" t="s">
        <v>2</v>
      </c>
      <c r="D385" s="44" t="s">
        <v>35</v>
      </c>
    </row>
    <row r="386" spans="1:4" x14ac:dyDescent="0.25">
      <c r="A386" t="s">
        <v>338</v>
      </c>
      <c r="B386" t="s">
        <v>127</v>
      </c>
      <c r="C386" s="44" t="s">
        <v>10</v>
      </c>
      <c r="D386" s="44" t="s">
        <v>10</v>
      </c>
    </row>
    <row r="387" spans="1:4" x14ac:dyDescent="0.25">
      <c r="A387" t="s">
        <v>339</v>
      </c>
      <c r="B387" t="s">
        <v>151</v>
      </c>
      <c r="C387" s="44" t="s">
        <v>66</v>
      </c>
      <c r="D387" s="44" t="s">
        <v>66</v>
      </c>
    </row>
    <row r="388" spans="1:4" x14ac:dyDescent="0.25">
      <c r="A388" t="s">
        <v>339</v>
      </c>
      <c r="B388" t="s">
        <v>127</v>
      </c>
      <c r="C388" s="44" t="s">
        <v>66</v>
      </c>
      <c r="D388" s="44" t="s">
        <v>66</v>
      </c>
    </row>
    <row r="389" spans="1:4" x14ac:dyDescent="0.25">
      <c r="A389" t="s">
        <v>339</v>
      </c>
      <c r="B389" t="s">
        <v>68</v>
      </c>
      <c r="C389" s="44" t="s">
        <v>23</v>
      </c>
      <c r="D389" s="44" t="s">
        <v>34</v>
      </c>
    </row>
    <row r="390" spans="1:4" x14ac:dyDescent="0.25">
      <c r="A390" t="s">
        <v>339</v>
      </c>
      <c r="B390" t="s">
        <v>125</v>
      </c>
      <c r="C390" s="44" t="s">
        <v>23</v>
      </c>
      <c r="D390" s="44" t="s">
        <v>34</v>
      </c>
    </row>
    <row r="391" spans="1:4" x14ac:dyDescent="0.25">
      <c r="A391" t="s">
        <v>339</v>
      </c>
      <c r="B391" t="s">
        <v>128</v>
      </c>
      <c r="C391" s="44" t="s">
        <v>66</v>
      </c>
      <c r="D391" s="44" t="s">
        <v>66</v>
      </c>
    </row>
    <row r="392" spans="1:4" x14ac:dyDescent="0.25">
      <c r="A392" t="s">
        <v>339</v>
      </c>
      <c r="B392" t="s">
        <v>295</v>
      </c>
      <c r="C392" s="44" t="s">
        <v>2</v>
      </c>
      <c r="D392" s="44" t="s">
        <v>66</v>
      </c>
    </row>
    <row r="393" spans="1:4" x14ac:dyDescent="0.25">
      <c r="A393" t="s">
        <v>339</v>
      </c>
      <c r="B393" t="s">
        <v>126</v>
      </c>
      <c r="C393" s="44" t="s">
        <v>2</v>
      </c>
      <c r="D393" s="44" t="s">
        <v>35</v>
      </c>
    </row>
    <row r="394" spans="1:4" x14ac:dyDescent="0.25">
      <c r="A394" t="s">
        <v>339</v>
      </c>
      <c r="B394" t="s">
        <v>296</v>
      </c>
      <c r="C394" s="44" t="s">
        <v>23</v>
      </c>
      <c r="D394" s="44" t="s">
        <v>35</v>
      </c>
    </row>
    <row r="395" spans="1:4" x14ac:dyDescent="0.25">
      <c r="A395" t="s">
        <v>339</v>
      </c>
      <c r="B395" t="s">
        <v>297</v>
      </c>
      <c r="C395" s="44" t="s">
        <v>2</v>
      </c>
      <c r="D395" s="44" t="s">
        <v>35</v>
      </c>
    </row>
    <row r="396" spans="1:4" x14ac:dyDescent="0.25">
      <c r="A396" t="s">
        <v>339</v>
      </c>
      <c r="B396" t="s">
        <v>127</v>
      </c>
      <c r="C396" s="44" t="s">
        <v>66</v>
      </c>
      <c r="D396" s="44" t="s">
        <v>66</v>
      </c>
    </row>
    <row r="397" spans="1:4" x14ac:dyDescent="0.25">
      <c r="A397" t="s">
        <v>340</v>
      </c>
      <c r="B397" t="s">
        <v>151</v>
      </c>
      <c r="C397" s="44" t="s">
        <v>66</v>
      </c>
      <c r="D397" s="44" t="s">
        <v>66</v>
      </c>
    </row>
    <row r="398" spans="1:4" x14ac:dyDescent="0.25">
      <c r="A398" t="s">
        <v>340</v>
      </c>
      <c r="B398" t="s">
        <v>127</v>
      </c>
      <c r="C398" s="44" t="s">
        <v>66</v>
      </c>
      <c r="D398" s="44" t="s">
        <v>66</v>
      </c>
    </row>
    <row r="399" spans="1:4" x14ac:dyDescent="0.25">
      <c r="A399" t="s">
        <v>340</v>
      </c>
      <c r="B399" t="s">
        <v>68</v>
      </c>
      <c r="C399" s="44" t="s">
        <v>2</v>
      </c>
      <c r="D399" s="44" t="s">
        <v>45</v>
      </c>
    </row>
    <row r="400" spans="1:4" x14ac:dyDescent="0.25">
      <c r="A400" t="s">
        <v>340</v>
      </c>
      <c r="B400" t="s">
        <v>125</v>
      </c>
      <c r="C400" s="44" t="s">
        <v>2</v>
      </c>
      <c r="D400" s="44" t="s">
        <v>45</v>
      </c>
    </row>
    <row r="401" spans="1:4" x14ac:dyDescent="0.25">
      <c r="A401" t="s">
        <v>340</v>
      </c>
      <c r="B401" t="s">
        <v>128</v>
      </c>
      <c r="C401" s="44" t="s">
        <v>66</v>
      </c>
      <c r="D401" s="44" t="s">
        <v>66</v>
      </c>
    </row>
    <row r="402" spans="1:4" x14ac:dyDescent="0.25">
      <c r="A402" t="s">
        <v>340</v>
      </c>
      <c r="B402" t="s">
        <v>295</v>
      </c>
      <c r="C402" s="44" t="s">
        <v>2</v>
      </c>
      <c r="D402" s="44" t="s">
        <v>66</v>
      </c>
    </row>
    <row r="403" spans="1:4" x14ac:dyDescent="0.25">
      <c r="A403" t="s">
        <v>340</v>
      </c>
      <c r="B403" t="s">
        <v>126</v>
      </c>
      <c r="C403" s="44" t="s">
        <v>2</v>
      </c>
      <c r="D403" s="44" t="s">
        <v>35</v>
      </c>
    </row>
    <row r="404" spans="1:4" x14ac:dyDescent="0.25">
      <c r="A404" t="s">
        <v>340</v>
      </c>
      <c r="B404" t="s">
        <v>296</v>
      </c>
      <c r="C404" s="44" t="s">
        <v>23</v>
      </c>
      <c r="D404" s="44" t="s">
        <v>35</v>
      </c>
    </row>
    <row r="405" spans="1:4" x14ac:dyDescent="0.25">
      <c r="A405" t="s">
        <v>340</v>
      </c>
      <c r="B405" t="s">
        <v>297</v>
      </c>
      <c r="C405" s="44" t="s">
        <v>2</v>
      </c>
      <c r="D405" s="44" t="s">
        <v>35</v>
      </c>
    </row>
    <row r="406" spans="1:4" x14ac:dyDescent="0.25">
      <c r="A406" t="s">
        <v>340</v>
      </c>
      <c r="B406" t="s">
        <v>127</v>
      </c>
      <c r="C406" s="44" t="s">
        <v>66</v>
      </c>
      <c r="D406" s="44" t="s">
        <v>66</v>
      </c>
    </row>
    <row r="407" spans="1:4" x14ac:dyDescent="0.25">
      <c r="A407" t="s">
        <v>341</v>
      </c>
      <c r="B407" t="s">
        <v>151</v>
      </c>
      <c r="C407" s="44" t="s">
        <v>66</v>
      </c>
      <c r="D407" s="44" t="s">
        <v>66</v>
      </c>
    </row>
    <row r="408" spans="1:4" x14ac:dyDescent="0.25">
      <c r="A408" t="s">
        <v>341</v>
      </c>
      <c r="B408" t="s">
        <v>127</v>
      </c>
      <c r="C408" s="44" t="s">
        <v>66</v>
      </c>
      <c r="D408" s="44" t="s">
        <v>66</v>
      </c>
    </row>
    <row r="409" spans="1:4" x14ac:dyDescent="0.25">
      <c r="A409" t="s">
        <v>341</v>
      </c>
      <c r="B409" t="s">
        <v>68</v>
      </c>
      <c r="C409" s="44" t="s">
        <v>2</v>
      </c>
      <c r="D409" s="44" t="s">
        <v>12</v>
      </c>
    </row>
    <row r="410" spans="1:4" x14ac:dyDescent="0.25">
      <c r="A410" t="s">
        <v>341</v>
      </c>
      <c r="B410" t="s">
        <v>125</v>
      </c>
      <c r="C410" s="44" t="s">
        <v>2</v>
      </c>
      <c r="D410" s="44" t="s">
        <v>12</v>
      </c>
    </row>
    <row r="411" spans="1:4" x14ac:dyDescent="0.25">
      <c r="A411" t="s">
        <v>341</v>
      </c>
      <c r="B411" t="s">
        <v>128</v>
      </c>
      <c r="C411" s="44" t="s">
        <v>66</v>
      </c>
      <c r="D411" s="44" t="s">
        <v>66</v>
      </c>
    </row>
    <row r="412" spans="1:4" x14ac:dyDescent="0.25">
      <c r="A412" t="s">
        <v>341</v>
      </c>
      <c r="B412" t="s">
        <v>295</v>
      </c>
      <c r="C412" s="44" t="s">
        <v>2</v>
      </c>
      <c r="D412" s="44" t="s">
        <v>66</v>
      </c>
    </row>
    <row r="413" spans="1:4" x14ac:dyDescent="0.25">
      <c r="A413" t="s">
        <v>341</v>
      </c>
      <c r="B413" t="s">
        <v>126</v>
      </c>
      <c r="C413" s="44" t="s">
        <v>2</v>
      </c>
      <c r="D413" s="44" t="s">
        <v>35</v>
      </c>
    </row>
    <row r="414" spans="1:4" x14ac:dyDescent="0.25">
      <c r="A414" t="s">
        <v>341</v>
      </c>
      <c r="B414" t="s">
        <v>296</v>
      </c>
      <c r="C414" s="44" t="s">
        <v>23</v>
      </c>
      <c r="D414" s="44" t="s">
        <v>35</v>
      </c>
    </row>
    <row r="415" spans="1:4" x14ac:dyDescent="0.25">
      <c r="A415" t="s">
        <v>341</v>
      </c>
      <c r="B415" t="s">
        <v>297</v>
      </c>
      <c r="C415" s="44" t="s">
        <v>2</v>
      </c>
      <c r="D415" s="44" t="s">
        <v>35</v>
      </c>
    </row>
    <row r="416" spans="1:4" x14ac:dyDescent="0.25">
      <c r="A416" t="s">
        <v>341</v>
      </c>
      <c r="B416" t="s">
        <v>127</v>
      </c>
      <c r="C416" s="44" t="s">
        <v>66</v>
      </c>
      <c r="D416" s="44" t="s">
        <v>66</v>
      </c>
    </row>
    <row r="417" spans="1:4" x14ac:dyDescent="0.25">
      <c r="A417" t="s">
        <v>342</v>
      </c>
      <c r="B417" t="s">
        <v>151</v>
      </c>
      <c r="C417" s="44" t="s">
        <v>66</v>
      </c>
      <c r="D417" s="44" t="s">
        <v>66</v>
      </c>
    </row>
    <row r="418" spans="1:4" x14ac:dyDescent="0.25">
      <c r="A418" t="s">
        <v>342</v>
      </c>
      <c r="B418" t="s">
        <v>127</v>
      </c>
      <c r="C418" s="44" t="s">
        <v>66</v>
      </c>
      <c r="D418" s="44" t="s">
        <v>66</v>
      </c>
    </row>
    <row r="419" spans="1:4" x14ac:dyDescent="0.25">
      <c r="A419" t="s">
        <v>342</v>
      </c>
      <c r="B419" t="s">
        <v>68</v>
      </c>
      <c r="C419" s="44" t="s">
        <v>23</v>
      </c>
      <c r="D419" s="44" t="s">
        <v>26</v>
      </c>
    </row>
    <row r="420" spans="1:4" x14ac:dyDescent="0.25">
      <c r="A420" t="s">
        <v>342</v>
      </c>
      <c r="B420" t="s">
        <v>125</v>
      </c>
      <c r="C420" s="44" t="s">
        <v>23</v>
      </c>
      <c r="D420" s="44" t="s">
        <v>26</v>
      </c>
    </row>
    <row r="421" spans="1:4" x14ac:dyDescent="0.25">
      <c r="A421" t="s">
        <v>342</v>
      </c>
      <c r="B421" t="s">
        <v>128</v>
      </c>
      <c r="C421" s="44" t="s">
        <v>66</v>
      </c>
      <c r="D421" s="44" t="s">
        <v>66</v>
      </c>
    </row>
    <row r="422" spans="1:4" x14ac:dyDescent="0.25">
      <c r="A422" t="s">
        <v>342</v>
      </c>
      <c r="B422" t="s">
        <v>295</v>
      </c>
      <c r="C422" s="44" t="s">
        <v>2</v>
      </c>
      <c r="D422" s="44" t="s">
        <v>66</v>
      </c>
    </row>
    <row r="423" spans="1:4" x14ac:dyDescent="0.25">
      <c r="A423" t="s">
        <v>342</v>
      </c>
      <c r="B423" t="s">
        <v>126</v>
      </c>
      <c r="C423" s="44" t="s">
        <v>2</v>
      </c>
      <c r="D423" s="44" t="s">
        <v>35</v>
      </c>
    </row>
    <row r="424" spans="1:4" x14ac:dyDescent="0.25">
      <c r="A424" t="s">
        <v>342</v>
      </c>
      <c r="B424" t="s">
        <v>296</v>
      </c>
      <c r="C424" s="44" t="s">
        <v>23</v>
      </c>
      <c r="D424" s="44" t="s">
        <v>35</v>
      </c>
    </row>
    <row r="425" spans="1:4" x14ac:dyDescent="0.25">
      <c r="A425" t="s">
        <v>342</v>
      </c>
      <c r="B425" t="s">
        <v>297</v>
      </c>
      <c r="C425" s="44" t="s">
        <v>2</v>
      </c>
      <c r="D425" s="44" t="s">
        <v>35</v>
      </c>
    </row>
    <row r="426" spans="1:4" x14ac:dyDescent="0.25">
      <c r="A426" t="s">
        <v>342</v>
      </c>
      <c r="B426" t="s">
        <v>127</v>
      </c>
      <c r="C426" s="44" t="s">
        <v>66</v>
      </c>
      <c r="D426" s="44" t="s">
        <v>66</v>
      </c>
    </row>
    <row r="427" spans="1:4" x14ac:dyDescent="0.25">
      <c r="A427" t="s">
        <v>321</v>
      </c>
      <c r="B427" t="s">
        <v>151</v>
      </c>
      <c r="C427" s="44" t="s">
        <v>2</v>
      </c>
      <c r="D427" s="44" t="s">
        <v>4</v>
      </c>
    </row>
    <row r="428" spans="1:4" x14ac:dyDescent="0.25">
      <c r="A428" t="s">
        <v>321</v>
      </c>
      <c r="B428" t="s">
        <v>127</v>
      </c>
      <c r="C428" s="44" t="s">
        <v>2</v>
      </c>
      <c r="D428" s="44" t="s">
        <v>4</v>
      </c>
    </row>
    <row r="429" spans="1:4" x14ac:dyDescent="0.25">
      <c r="A429" t="s">
        <v>321</v>
      </c>
      <c r="B429" t="s">
        <v>68</v>
      </c>
      <c r="C429" s="44" t="s">
        <v>2</v>
      </c>
      <c r="D429" s="44" t="s">
        <v>29</v>
      </c>
    </row>
    <row r="430" spans="1:4" x14ac:dyDescent="0.25">
      <c r="A430" t="s">
        <v>321</v>
      </c>
      <c r="B430" t="s">
        <v>143</v>
      </c>
      <c r="C430" s="44" t="s">
        <v>2</v>
      </c>
      <c r="D430" s="44" t="s">
        <v>29</v>
      </c>
    </row>
    <row r="431" spans="1:4" x14ac:dyDescent="0.25">
      <c r="A431" t="s">
        <v>321</v>
      </c>
      <c r="B431" t="s">
        <v>144</v>
      </c>
      <c r="C431" s="44" t="s">
        <v>2</v>
      </c>
      <c r="D431" s="44" t="s">
        <v>4</v>
      </c>
    </row>
    <row r="432" spans="1:4" x14ac:dyDescent="0.25">
      <c r="A432" t="s">
        <v>321</v>
      </c>
      <c r="B432" t="s">
        <v>295</v>
      </c>
      <c r="C432" s="44" t="s">
        <v>2</v>
      </c>
      <c r="D432" s="44" t="s">
        <v>4</v>
      </c>
    </row>
    <row r="433" spans="1:4" x14ac:dyDescent="0.25">
      <c r="A433" t="s">
        <v>321</v>
      </c>
      <c r="B433" t="s">
        <v>126</v>
      </c>
      <c r="C433" s="44" t="s">
        <v>2</v>
      </c>
      <c r="D433" s="44" t="s">
        <v>4</v>
      </c>
    </row>
    <row r="434" spans="1:4" x14ac:dyDescent="0.25">
      <c r="A434" t="s">
        <v>321</v>
      </c>
      <c r="B434" t="s">
        <v>296</v>
      </c>
      <c r="C434" s="44" t="s">
        <v>14</v>
      </c>
      <c r="D434" s="44" t="s">
        <v>4</v>
      </c>
    </row>
    <row r="435" spans="1:4" x14ac:dyDescent="0.25">
      <c r="A435" t="s">
        <v>321</v>
      </c>
      <c r="B435" t="s">
        <v>297</v>
      </c>
      <c r="C435" s="44" t="s">
        <v>2</v>
      </c>
      <c r="D435" s="44" t="s">
        <v>4</v>
      </c>
    </row>
    <row r="436" spans="1:4" x14ac:dyDescent="0.25">
      <c r="A436" t="s">
        <v>321</v>
      </c>
      <c r="B436" t="s">
        <v>127</v>
      </c>
      <c r="C436" s="44" t="s">
        <v>2</v>
      </c>
      <c r="D436" s="44" t="s">
        <v>4</v>
      </c>
    </row>
    <row r="437" spans="1:4" x14ac:dyDescent="0.25">
      <c r="A437" t="s">
        <v>322</v>
      </c>
      <c r="B437" t="s">
        <v>151</v>
      </c>
      <c r="C437" s="44" t="s">
        <v>10</v>
      </c>
      <c r="D437" s="44" t="s">
        <v>10</v>
      </c>
    </row>
    <row r="438" spans="1:4" x14ac:dyDescent="0.25">
      <c r="A438" t="s">
        <v>322</v>
      </c>
      <c r="B438" t="s">
        <v>127</v>
      </c>
      <c r="C438" s="44" t="s">
        <v>10</v>
      </c>
      <c r="D438" s="44" t="s">
        <v>10</v>
      </c>
    </row>
    <row r="439" spans="1:4" x14ac:dyDescent="0.25">
      <c r="A439" t="s">
        <v>322</v>
      </c>
      <c r="B439" t="s">
        <v>68</v>
      </c>
      <c r="C439" s="44" t="s">
        <v>2</v>
      </c>
      <c r="D439" s="44" t="s">
        <v>29</v>
      </c>
    </row>
    <row r="440" spans="1:4" x14ac:dyDescent="0.25">
      <c r="A440" t="s">
        <v>322</v>
      </c>
      <c r="B440" t="s">
        <v>143</v>
      </c>
      <c r="C440" s="44" t="s">
        <v>2</v>
      </c>
      <c r="D440" s="44" t="s">
        <v>29</v>
      </c>
    </row>
    <row r="441" spans="1:4" x14ac:dyDescent="0.25">
      <c r="A441" t="s">
        <v>322</v>
      </c>
      <c r="B441" t="s">
        <v>144</v>
      </c>
      <c r="C441" s="44" t="s">
        <v>10</v>
      </c>
      <c r="D441" s="44" t="s">
        <v>10</v>
      </c>
    </row>
    <row r="442" spans="1:4" x14ac:dyDescent="0.25">
      <c r="A442" t="s">
        <v>322</v>
      </c>
      <c r="B442" t="s">
        <v>295</v>
      </c>
      <c r="C442" s="44" t="s">
        <v>2</v>
      </c>
      <c r="D442" s="44" t="s">
        <v>10</v>
      </c>
    </row>
    <row r="443" spans="1:4" x14ac:dyDescent="0.25">
      <c r="A443" t="s">
        <v>322</v>
      </c>
      <c r="B443" t="s">
        <v>126</v>
      </c>
      <c r="C443" s="44" t="s">
        <v>2</v>
      </c>
      <c r="D443" s="44" t="s">
        <v>10</v>
      </c>
    </row>
    <row r="444" spans="1:4" x14ac:dyDescent="0.25">
      <c r="A444" t="s">
        <v>322</v>
      </c>
      <c r="B444" t="s">
        <v>296</v>
      </c>
      <c r="C444" s="44" t="s">
        <v>14</v>
      </c>
      <c r="D444" s="44" t="s">
        <v>10</v>
      </c>
    </row>
    <row r="445" spans="1:4" x14ac:dyDescent="0.25">
      <c r="A445" t="s">
        <v>322</v>
      </c>
      <c r="B445" t="s">
        <v>297</v>
      </c>
      <c r="C445" s="44" t="s">
        <v>2</v>
      </c>
      <c r="D445" s="44" t="s">
        <v>10</v>
      </c>
    </row>
    <row r="446" spans="1:4" x14ac:dyDescent="0.25">
      <c r="A446" t="s">
        <v>322</v>
      </c>
      <c r="B446" t="s">
        <v>127</v>
      </c>
      <c r="C446" s="44" t="s">
        <v>10</v>
      </c>
      <c r="D446" s="44" t="s">
        <v>10</v>
      </c>
    </row>
    <row r="447" spans="1:4" x14ac:dyDescent="0.25">
      <c r="A447" t="s">
        <v>323</v>
      </c>
      <c r="B447" t="s">
        <v>151</v>
      </c>
      <c r="C447" s="44" t="s">
        <v>10</v>
      </c>
      <c r="D447" s="44" t="s">
        <v>46</v>
      </c>
    </row>
    <row r="448" spans="1:4" x14ac:dyDescent="0.25">
      <c r="A448" t="s">
        <v>323</v>
      </c>
      <c r="B448" t="s">
        <v>127</v>
      </c>
      <c r="C448" s="44" t="s">
        <v>10</v>
      </c>
      <c r="D448" s="44" t="s">
        <v>46</v>
      </c>
    </row>
    <row r="449" spans="1:4" x14ac:dyDescent="0.25">
      <c r="A449" t="s">
        <v>323</v>
      </c>
      <c r="B449" t="s">
        <v>68</v>
      </c>
      <c r="C449" s="44" t="s">
        <v>2</v>
      </c>
      <c r="D449" s="44" t="s">
        <v>29</v>
      </c>
    </row>
    <row r="450" spans="1:4" x14ac:dyDescent="0.25">
      <c r="A450" t="s">
        <v>323</v>
      </c>
      <c r="B450" t="s">
        <v>143</v>
      </c>
      <c r="C450" s="44" t="s">
        <v>2</v>
      </c>
      <c r="D450" s="44" t="s">
        <v>29</v>
      </c>
    </row>
    <row r="451" spans="1:4" x14ac:dyDescent="0.25">
      <c r="A451" t="s">
        <v>323</v>
      </c>
      <c r="B451" t="s">
        <v>144</v>
      </c>
      <c r="C451" s="44" t="s">
        <v>10</v>
      </c>
      <c r="D451" s="44" t="s">
        <v>46</v>
      </c>
    </row>
    <row r="452" spans="1:4" x14ac:dyDescent="0.25">
      <c r="A452" t="s">
        <v>323</v>
      </c>
      <c r="B452" t="s">
        <v>295</v>
      </c>
      <c r="C452" s="44" t="s">
        <v>2</v>
      </c>
      <c r="D452" s="44" t="s">
        <v>46</v>
      </c>
    </row>
    <row r="453" spans="1:4" x14ac:dyDescent="0.25">
      <c r="A453" t="s">
        <v>323</v>
      </c>
      <c r="B453" t="s">
        <v>126</v>
      </c>
      <c r="C453" s="44" t="s">
        <v>2</v>
      </c>
      <c r="D453" s="44" t="s">
        <v>46</v>
      </c>
    </row>
    <row r="454" spans="1:4" x14ac:dyDescent="0.25">
      <c r="A454" t="s">
        <v>323</v>
      </c>
      <c r="B454" t="s">
        <v>296</v>
      </c>
      <c r="C454" s="44" t="s">
        <v>14</v>
      </c>
      <c r="D454" s="44" t="s">
        <v>46</v>
      </c>
    </row>
    <row r="455" spans="1:4" x14ac:dyDescent="0.25">
      <c r="A455" t="s">
        <v>323</v>
      </c>
      <c r="B455" t="s">
        <v>297</v>
      </c>
      <c r="C455" s="44" t="s">
        <v>2</v>
      </c>
      <c r="D455" s="44" t="s">
        <v>46</v>
      </c>
    </row>
    <row r="456" spans="1:4" x14ac:dyDescent="0.25">
      <c r="A456" t="s">
        <v>323</v>
      </c>
      <c r="B456" t="s">
        <v>127</v>
      </c>
      <c r="C456" s="44" t="s">
        <v>10</v>
      </c>
      <c r="D456" s="44" t="s">
        <v>46</v>
      </c>
    </row>
    <row r="457" spans="1:4" x14ac:dyDescent="0.25">
      <c r="A457" t="s">
        <v>324</v>
      </c>
      <c r="B457" t="s">
        <v>151</v>
      </c>
      <c r="C457" s="44" t="s">
        <v>10</v>
      </c>
      <c r="D457" s="44" t="s">
        <v>47</v>
      </c>
    </row>
    <row r="458" spans="1:4" x14ac:dyDescent="0.25">
      <c r="A458" t="s">
        <v>324</v>
      </c>
      <c r="B458" t="s">
        <v>127</v>
      </c>
      <c r="C458" s="44" t="s">
        <v>10</v>
      </c>
      <c r="D458" s="44" t="s">
        <v>47</v>
      </c>
    </row>
    <row r="459" spans="1:4" x14ac:dyDescent="0.25">
      <c r="A459" t="s">
        <v>324</v>
      </c>
      <c r="B459" t="s">
        <v>68</v>
      </c>
      <c r="C459" s="44" t="s">
        <v>2</v>
      </c>
      <c r="D459" s="44" t="s">
        <v>29</v>
      </c>
    </row>
    <row r="460" spans="1:4" x14ac:dyDescent="0.25">
      <c r="A460" t="s">
        <v>324</v>
      </c>
      <c r="B460" t="s">
        <v>143</v>
      </c>
      <c r="C460" s="44" t="s">
        <v>2</v>
      </c>
      <c r="D460" s="44" t="s">
        <v>29</v>
      </c>
    </row>
    <row r="461" spans="1:4" x14ac:dyDescent="0.25">
      <c r="A461" t="s">
        <v>324</v>
      </c>
      <c r="B461" t="s">
        <v>144</v>
      </c>
      <c r="C461" s="44" t="s">
        <v>10</v>
      </c>
      <c r="D461" s="44" t="s">
        <v>47</v>
      </c>
    </row>
    <row r="462" spans="1:4" x14ac:dyDescent="0.25">
      <c r="A462" t="s">
        <v>324</v>
      </c>
      <c r="B462" t="s">
        <v>295</v>
      </c>
      <c r="C462" s="44" t="s">
        <v>2</v>
      </c>
      <c r="D462" s="44" t="s">
        <v>47</v>
      </c>
    </row>
    <row r="463" spans="1:4" x14ac:dyDescent="0.25">
      <c r="A463" t="s">
        <v>324</v>
      </c>
      <c r="B463" t="s">
        <v>126</v>
      </c>
      <c r="C463" s="44" t="s">
        <v>2</v>
      </c>
      <c r="D463" s="44" t="s">
        <v>47</v>
      </c>
    </row>
    <row r="464" spans="1:4" x14ac:dyDescent="0.25">
      <c r="A464" t="s">
        <v>324</v>
      </c>
      <c r="B464" t="s">
        <v>296</v>
      </c>
      <c r="C464" s="44" t="s">
        <v>14</v>
      </c>
      <c r="D464" s="44" t="s">
        <v>47</v>
      </c>
    </row>
    <row r="465" spans="1:4" x14ac:dyDescent="0.25">
      <c r="A465" t="s">
        <v>324</v>
      </c>
      <c r="B465" t="s">
        <v>297</v>
      </c>
      <c r="C465" s="44" t="s">
        <v>2</v>
      </c>
      <c r="D465" s="44" t="s">
        <v>47</v>
      </c>
    </row>
    <row r="466" spans="1:4" x14ac:dyDescent="0.25">
      <c r="A466" t="s">
        <v>324</v>
      </c>
      <c r="B466" t="s">
        <v>127</v>
      </c>
      <c r="C466" s="44" t="s">
        <v>10</v>
      </c>
      <c r="D466" s="44" t="s">
        <v>47</v>
      </c>
    </row>
    <row r="467" spans="1:4" x14ac:dyDescent="0.25">
      <c r="A467" t="s">
        <v>325</v>
      </c>
      <c r="B467" t="s">
        <v>151</v>
      </c>
      <c r="C467" s="44" t="s">
        <v>10</v>
      </c>
      <c r="D467" s="44" t="s">
        <v>66</v>
      </c>
    </row>
    <row r="468" spans="1:4" x14ac:dyDescent="0.25">
      <c r="A468" t="s">
        <v>325</v>
      </c>
      <c r="B468" t="s">
        <v>127</v>
      </c>
      <c r="C468" s="44" t="s">
        <v>10</v>
      </c>
      <c r="D468" s="44" t="s">
        <v>66</v>
      </c>
    </row>
    <row r="469" spans="1:4" x14ac:dyDescent="0.25">
      <c r="A469" t="s">
        <v>325</v>
      </c>
      <c r="B469" t="s">
        <v>68</v>
      </c>
      <c r="C469" s="44" t="s">
        <v>2</v>
      </c>
      <c r="D469" s="44" t="s">
        <v>29</v>
      </c>
    </row>
    <row r="470" spans="1:4" x14ac:dyDescent="0.25">
      <c r="A470" t="s">
        <v>325</v>
      </c>
      <c r="B470" t="s">
        <v>143</v>
      </c>
      <c r="C470" s="44" t="s">
        <v>2</v>
      </c>
      <c r="D470" s="44" t="s">
        <v>29</v>
      </c>
    </row>
    <row r="471" spans="1:4" x14ac:dyDescent="0.25">
      <c r="A471" t="s">
        <v>325</v>
      </c>
      <c r="B471" t="s">
        <v>144</v>
      </c>
      <c r="C471" s="44" t="s">
        <v>10</v>
      </c>
      <c r="D471" s="44" t="s">
        <v>66</v>
      </c>
    </row>
    <row r="472" spans="1:4" x14ac:dyDescent="0.25">
      <c r="A472" t="s">
        <v>325</v>
      </c>
      <c r="B472" t="s">
        <v>295</v>
      </c>
      <c r="C472" s="44" t="s">
        <v>2</v>
      </c>
      <c r="D472" s="44" t="s">
        <v>66</v>
      </c>
    </row>
    <row r="473" spans="1:4" x14ac:dyDescent="0.25">
      <c r="A473" t="s">
        <v>325</v>
      </c>
      <c r="B473" t="s">
        <v>126</v>
      </c>
      <c r="C473" s="44" t="s">
        <v>2</v>
      </c>
      <c r="D473" s="44" t="s">
        <v>66</v>
      </c>
    </row>
    <row r="474" spans="1:4" x14ac:dyDescent="0.25">
      <c r="A474" t="s">
        <v>325</v>
      </c>
      <c r="B474" t="s">
        <v>296</v>
      </c>
      <c r="C474" s="44" t="s">
        <v>14</v>
      </c>
      <c r="D474" s="44" t="s">
        <v>66</v>
      </c>
    </row>
    <row r="475" spans="1:4" x14ac:dyDescent="0.25">
      <c r="A475" t="s">
        <v>325</v>
      </c>
      <c r="B475" t="s">
        <v>297</v>
      </c>
      <c r="C475" s="44" t="s">
        <v>2</v>
      </c>
      <c r="D475" s="44" t="s">
        <v>66</v>
      </c>
    </row>
    <row r="476" spans="1:4" x14ac:dyDescent="0.25">
      <c r="A476" t="s">
        <v>325</v>
      </c>
      <c r="B476" t="s">
        <v>127</v>
      </c>
      <c r="C476" s="44" t="s">
        <v>10</v>
      </c>
      <c r="D476" s="44" t="s">
        <v>66</v>
      </c>
    </row>
    <row r="477" spans="1:4" x14ac:dyDescent="0.25">
      <c r="A477" t="s">
        <v>376</v>
      </c>
      <c r="B477" t="s">
        <v>151</v>
      </c>
      <c r="C477" s="44" t="s">
        <v>1</v>
      </c>
      <c r="D477" s="44" t="s">
        <v>1</v>
      </c>
    </row>
    <row r="478" spans="1:4" x14ac:dyDescent="0.25">
      <c r="A478" t="s">
        <v>376</v>
      </c>
      <c r="B478" t="s">
        <v>127</v>
      </c>
      <c r="C478" s="44" t="s">
        <v>1</v>
      </c>
      <c r="D478" s="44" t="s">
        <v>1</v>
      </c>
    </row>
    <row r="479" spans="1:4" x14ac:dyDescent="0.25">
      <c r="A479" t="s">
        <v>376</v>
      </c>
      <c r="B479" t="s">
        <v>125</v>
      </c>
    </row>
    <row r="480" spans="1:4" x14ac:dyDescent="0.25">
      <c r="A480" t="s">
        <v>376</v>
      </c>
      <c r="B480" t="s">
        <v>68</v>
      </c>
      <c r="C480" s="44" t="s">
        <v>2</v>
      </c>
      <c r="D480" s="44" t="s">
        <v>14</v>
      </c>
    </row>
    <row r="481" spans="1:4" x14ac:dyDescent="0.25">
      <c r="A481" t="s">
        <v>376</v>
      </c>
      <c r="B481" t="s">
        <v>370</v>
      </c>
    </row>
    <row r="482" spans="1:4" x14ac:dyDescent="0.25">
      <c r="A482" t="s">
        <v>376</v>
      </c>
      <c r="B482" t="s">
        <v>126</v>
      </c>
      <c r="C482" s="44" t="s">
        <v>2</v>
      </c>
      <c r="D482" s="44" t="s">
        <v>37</v>
      </c>
    </row>
    <row r="483" spans="1:4" x14ac:dyDescent="0.25">
      <c r="A483" t="s">
        <v>376</v>
      </c>
      <c r="B483" t="s">
        <v>296</v>
      </c>
      <c r="C483" s="44" t="s">
        <v>14</v>
      </c>
      <c r="D483" s="44" t="s">
        <v>37</v>
      </c>
    </row>
    <row r="484" spans="1:4" x14ac:dyDescent="0.25">
      <c r="A484" t="s">
        <v>376</v>
      </c>
      <c r="B484" t="s">
        <v>297</v>
      </c>
      <c r="C484" s="44" t="s">
        <v>2</v>
      </c>
      <c r="D484" s="44" t="s">
        <v>37</v>
      </c>
    </row>
    <row r="485" spans="1:4" x14ac:dyDescent="0.25">
      <c r="A485" s="1" t="s">
        <v>378</v>
      </c>
      <c r="B485" t="s">
        <v>151</v>
      </c>
      <c r="C485" s="44" t="s">
        <v>1</v>
      </c>
      <c r="D485" s="44" t="s">
        <v>1</v>
      </c>
    </row>
    <row r="486" spans="1:4" x14ac:dyDescent="0.25">
      <c r="A486" s="1" t="s">
        <v>378</v>
      </c>
      <c r="B486" t="s">
        <v>127</v>
      </c>
      <c r="C486" s="44" t="s">
        <v>1</v>
      </c>
      <c r="D486" s="44" t="s">
        <v>1</v>
      </c>
    </row>
    <row r="487" spans="1:4" x14ac:dyDescent="0.25">
      <c r="A487" s="1" t="s">
        <v>378</v>
      </c>
      <c r="B487" t="s">
        <v>125</v>
      </c>
    </row>
    <row r="488" spans="1:4" x14ac:dyDescent="0.25">
      <c r="A488" s="1" t="s">
        <v>378</v>
      </c>
      <c r="B488" t="s">
        <v>68</v>
      </c>
      <c r="C488" s="44" t="s">
        <v>2</v>
      </c>
      <c r="D488" s="44" t="s">
        <v>22</v>
      </c>
    </row>
    <row r="489" spans="1:4" x14ac:dyDescent="0.25">
      <c r="A489" s="1" t="s">
        <v>378</v>
      </c>
      <c r="B489" t="s">
        <v>126</v>
      </c>
      <c r="C489" s="44" t="s">
        <v>2</v>
      </c>
      <c r="D489" s="44" t="s">
        <v>37</v>
      </c>
    </row>
    <row r="490" spans="1:4" x14ac:dyDescent="0.25">
      <c r="A490" s="1" t="s">
        <v>378</v>
      </c>
      <c r="B490" t="s">
        <v>297</v>
      </c>
      <c r="C490" s="44" t="s">
        <v>2</v>
      </c>
      <c r="D490" s="44" t="s">
        <v>37</v>
      </c>
    </row>
    <row r="491" spans="1:4" x14ac:dyDescent="0.25">
      <c r="A491" s="1" t="s">
        <v>377</v>
      </c>
      <c r="B491" t="s">
        <v>151</v>
      </c>
      <c r="C491" s="44" t="s">
        <v>1</v>
      </c>
      <c r="D491" s="44" t="s">
        <v>1</v>
      </c>
    </row>
    <row r="492" spans="1:4" x14ac:dyDescent="0.25">
      <c r="A492" s="1" t="s">
        <v>377</v>
      </c>
      <c r="B492" t="s">
        <v>127</v>
      </c>
      <c r="C492" s="44" t="s">
        <v>1</v>
      </c>
      <c r="D492" s="44" t="s">
        <v>1</v>
      </c>
    </row>
    <row r="493" spans="1:4" x14ac:dyDescent="0.25">
      <c r="A493" s="1" t="s">
        <v>377</v>
      </c>
      <c r="B493" t="s">
        <v>68</v>
      </c>
      <c r="C493" s="44" t="s">
        <v>2</v>
      </c>
      <c r="D493" s="44" t="s">
        <v>22</v>
      </c>
    </row>
    <row r="494" spans="1:4" x14ac:dyDescent="0.25">
      <c r="A494" s="1" t="s">
        <v>377</v>
      </c>
      <c r="B494" t="s">
        <v>371</v>
      </c>
      <c r="C494" s="44" t="s">
        <v>4</v>
      </c>
      <c r="D494" s="44" t="s">
        <v>4</v>
      </c>
    </row>
    <row r="495" spans="1:4" x14ac:dyDescent="0.25">
      <c r="A495" s="1" t="s">
        <v>377</v>
      </c>
      <c r="B495" t="s">
        <v>372</v>
      </c>
      <c r="C495" s="44" t="s">
        <v>2</v>
      </c>
    </row>
    <row r="496" spans="1:4" x14ac:dyDescent="0.25">
      <c r="A496" s="1" t="s">
        <v>377</v>
      </c>
      <c r="B496" t="s">
        <v>144</v>
      </c>
    </row>
    <row r="497" spans="1:3" x14ac:dyDescent="0.25">
      <c r="A497" s="1" t="s">
        <v>377</v>
      </c>
      <c r="B497" t="s">
        <v>373</v>
      </c>
    </row>
    <row r="498" spans="1:3" x14ac:dyDescent="0.25">
      <c r="A498" s="1" t="s">
        <v>377</v>
      </c>
      <c r="B498" t="s">
        <v>374</v>
      </c>
      <c r="C498" s="44" t="s">
        <v>2</v>
      </c>
    </row>
    <row r="499" spans="1:3" x14ac:dyDescent="0.25">
      <c r="A499" s="1" t="s">
        <v>377</v>
      </c>
      <c r="B499" t="s">
        <v>388</v>
      </c>
      <c r="C499" s="44" t="s">
        <v>2</v>
      </c>
    </row>
    <row r="500" spans="1:3" x14ac:dyDescent="0.25">
      <c r="A500" s="1" t="s">
        <v>377</v>
      </c>
      <c r="B500" t="s">
        <v>389</v>
      </c>
      <c r="C500" s="44" t="s">
        <v>14</v>
      </c>
    </row>
    <row r="501" spans="1:3" x14ac:dyDescent="0.25">
      <c r="A501" s="1" t="s">
        <v>377</v>
      </c>
      <c r="B501" t="s">
        <v>390</v>
      </c>
      <c r="C501" s="44" t="s">
        <v>2</v>
      </c>
    </row>
    <row r="502" spans="1:3" x14ac:dyDescent="0.25">
      <c r="A502" s="1" t="s">
        <v>377</v>
      </c>
      <c r="B502" t="s">
        <v>375</v>
      </c>
      <c r="C502" s="44" t="s">
        <v>2</v>
      </c>
    </row>
    <row r="503" spans="1:3" x14ac:dyDescent="0.25">
      <c r="A503" s="1" t="s">
        <v>377</v>
      </c>
      <c r="B503" t="s">
        <v>385</v>
      </c>
      <c r="C503" s="44" t="s">
        <v>2</v>
      </c>
    </row>
    <row r="504" spans="1:3" x14ac:dyDescent="0.25">
      <c r="A504" s="1" t="s">
        <v>377</v>
      </c>
      <c r="B504" t="s">
        <v>386</v>
      </c>
      <c r="C504" s="44" t="s">
        <v>14</v>
      </c>
    </row>
    <row r="505" spans="1:3" x14ac:dyDescent="0.25">
      <c r="A505" s="1" t="s">
        <v>377</v>
      </c>
      <c r="B505" t="s">
        <v>387</v>
      </c>
      <c r="C505" s="44" t="s">
        <v>2</v>
      </c>
    </row>
  </sheetData>
  <phoneticPr fontId="1" type="noConversion"/>
  <conditionalFormatting sqref="A2:B2 B3 A3:A11 A12:B12 B13 A13:A18 A21:A22 A23:B23 B24 A24:A32 A33:B33 B34 A34:A39 B44:D476 A42:A476">
    <cfRule type="expression" dxfId="9" priority="5" stopIfTrue="1">
      <formula>($A2&lt;&gt;$A3)</formula>
    </cfRule>
  </conditionalFormatting>
  <conditionalFormatting sqref="A1:D1">
    <cfRule type="expression" dxfId="8" priority="6" stopIfTrue="1">
      <formula>($A1&lt;&gt;#REF!)</formula>
    </cfRule>
  </conditionalFormatting>
  <conditionalFormatting sqref="A19:A20 A40:A41">
    <cfRule type="expression" dxfId="7" priority="7" stopIfTrue="1">
      <formula>($A19&lt;&gt;$A21)</formula>
    </cfRule>
  </conditionalFormatting>
  <conditionalFormatting sqref="B477:B478">
    <cfRule type="expression" dxfId="6" priority="4" stopIfTrue="1">
      <formula>($A477&lt;&gt;$A478)</formula>
    </cfRule>
  </conditionalFormatting>
  <conditionalFormatting sqref="B485:B486">
    <cfRule type="expression" dxfId="5" priority="3" stopIfTrue="1">
      <formula>($A485&lt;&gt;$A486)</formula>
    </cfRule>
  </conditionalFormatting>
  <conditionalFormatting sqref="B491:B492">
    <cfRule type="expression" dxfId="4" priority="2" stopIfTrue="1">
      <formula>($A491&lt;&gt;$A492)</formula>
    </cfRule>
  </conditionalFormatting>
  <conditionalFormatting sqref="B493:B505">
    <cfRule type="expression" dxfId="3" priority="1" stopIfTrue="1">
      <formula>($A493&lt;&gt;$A494)</formula>
    </cfRule>
  </conditionalFormatting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lours2"/>
  <dimension ref="A1:F64"/>
  <sheetViews>
    <sheetView topLeftCell="A13" workbookViewId="0">
      <selection activeCell="H38" sqref="H38"/>
    </sheetView>
  </sheetViews>
  <sheetFormatPr defaultRowHeight="13.2" x14ac:dyDescent="0.25"/>
  <cols>
    <col min="1" max="1" width="17.5546875" bestFit="1" customWidth="1"/>
    <col min="2" max="4" width="8.5546875" style="49" bestFit="1" customWidth="1"/>
    <col min="5" max="6" width="9" bestFit="1" customWidth="1"/>
    <col min="8" max="8" width="7" bestFit="1" customWidth="1"/>
  </cols>
  <sheetData>
    <row r="1" spans="1:6" x14ac:dyDescent="0.25">
      <c r="A1" s="5" t="s">
        <v>68</v>
      </c>
      <c r="B1" s="48" t="s">
        <v>206</v>
      </c>
      <c r="C1" s="48" t="s">
        <v>207</v>
      </c>
      <c r="D1" s="48" t="s">
        <v>140</v>
      </c>
      <c r="E1" s="5" t="s">
        <v>69</v>
      </c>
      <c r="F1" s="5" t="s">
        <v>70</v>
      </c>
    </row>
    <row r="2" spans="1:6" x14ac:dyDescent="0.25">
      <c r="A2" t="s">
        <v>2</v>
      </c>
      <c r="B2" s="49">
        <v>0</v>
      </c>
      <c r="C2" s="49">
        <v>0</v>
      </c>
      <c r="D2" s="49">
        <v>0</v>
      </c>
      <c r="E2">
        <f t="shared" ref="E2:E40" si="0">B2+256*C2+256*256*D2</f>
        <v>0</v>
      </c>
      <c r="F2" s="7"/>
    </row>
    <row r="3" spans="1:6" x14ac:dyDescent="0.25">
      <c r="A3" t="s">
        <v>13</v>
      </c>
      <c r="B3" s="49">
        <v>204</v>
      </c>
      <c r="C3" s="49">
        <v>0</v>
      </c>
      <c r="D3" s="49">
        <v>0</v>
      </c>
      <c r="E3">
        <f t="shared" si="0"/>
        <v>204</v>
      </c>
      <c r="F3" s="8"/>
    </row>
    <row r="4" spans="1:6" x14ac:dyDescent="0.25">
      <c r="A4" t="s">
        <v>14</v>
      </c>
      <c r="B4" s="49">
        <v>255</v>
      </c>
      <c r="C4" s="49">
        <v>0</v>
      </c>
      <c r="D4" s="49">
        <v>0</v>
      </c>
      <c r="E4">
        <f t="shared" si="0"/>
        <v>255</v>
      </c>
      <c r="F4" s="8"/>
    </row>
    <row r="5" spans="1:6" x14ac:dyDescent="0.25">
      <c r="A5" t="s">
        <v>15</v>
      </c>
      <c r="B5" s="49">
        <v>255</v>
      </c>
      <c r="C5" s="49">
        <v>128</v>
      </c>
      <c r="D5" s="49">
        <v>128</v>
      </c>
      <c r="E5">
        <f t="shared" si="0"/>
        <v>8421631</v>
      </c>
      <c r="F5" s="9"/>
    </row>
    <row r="6" spans="1:6" x14ac:dyDescent="0.25">
      <c r="A6" t="s">
        <v>16</v>
      </c>
      <c r="B6" s="49">
        <v>255</v>
      </c>
      <c r="C6" s="49">
        <v>153</v>
      </c>
      <c r="D6" s="49">
        <v>204</v>
      </c>
      <c r="E6">
        <f t="shared" si="0"/>
        <v>13408767</v>
      </c>
      <c r="F6" s="10"/>
    </row>
    <row r="7" spans="1:6" x14ac:dyDescent="0.25">
      <c r="A7" t="s">
        <v>3</v>
      </c>
      <c r="B7" s="49">
        <v>153</v>
      </c>
      <c r="C7" s="49">
        <v>51</v>
      </c>
      <c r="D7" s="49">
        <v>0</v>
      </c>
      <c r="E7">
        <f t="shared" si="0"/>
        <v>13209</v>
      </c>
      <c r="F7" s="11"/>
    </row>
    <row r="8" spans="1:6" x14ac:dyDescent="0.25">
      <c r="A8" t="s">
        <v>17</v>
      </c>
      <c r="B8" s="49">
        <v>255</v>
      </c>
      <c r="C8" s="49">
        <v>102</v>
      </c>
      <c r="D8" s="49">
        <v>0</v>
      </c>
      <c r="E8">
        <f t="shared" si="0"/>
        <v>26367</v>
      </c>
      <c r="F8" s="12"/>
    </row>
    <row r="9" spans="1:6" x14ac:dyDescent="0.25">
      <c r="A9" t="s">
        <v>18</v>
      </c>
      <c r="B9" s="49">
        <v>255</v>
      </c>
      <c r="C9" s="49">
        <v>153</v>
      </c>
      <c r="D9" s="49">
        <v>0</v>
      </c>
      <c r="E9">
        <f t="shared" si="0"/>
        <v>39423</v>
      </c>
      <c r="F9" s="13"/>
    </row>
    <row r="10" spans="1:6" x14ac:dyDescent="0.25">
      <c r="A10" t="s">
        <v>12</v>
      </c>
      <c r="B10" s="49">
        <v>255</v>
      </c>
      <c r="C10" s="49">
        <v>204</v>
      </c>
      <c r="D10" s="49">
        <v>0</v>
      </c>
      <c r="E10">
        <f t="shared" si="0"/>
        <v>52479</v>
      </c>
      <c r="F10" s="14"/>
    </row>
    <row r="11" spans="1:6" x14ac:dyDescent="0.25">
      <c r="A11" t="s">
        <v>19</v>
      </c>
      <c r="B11" s="49">
        <v>255</v>
      </c>
      <c r="C11" s="49">
        <v>204</v>
      </c>
      <c r="D11" s="49">
        <v>102</v>
      </c>
      <c r="E11">
        <f t="shared" si="0"/>
        <v>6737151</v>
      </c>
      <c r="F11" s="15"/>
    </row>
    <row r="12" spans="1:6" x14ac:dyDescent="0.25">
      <c r="A12" t="s">
        <v>20</v>
      </c>
      <c r="B12" s="49">
        <v>51</v>
      </c>
      <c r="C12" s="49">
        <v>51</v>
      </c>
      <c r="D12" s="49">
        <v>0</v>
      </c>
      <c r="E12">
        <f t="shared" si="0"/>
        <v>13107</v>
      </c>
      <c r="F12" s="16"/>
    </row>
    <row r="13" spans="1:6" x14ac:dyDescent="0.25">
      <c r="A13" t="s">
        <v>21</v>
      </c>
      <c r="B13" s="49">
        <v>204</v>
      </c>
      <c r="C13" s="49">
        <v>204</v>
      </c>
      <c r="D13" s="49">
        <v>0</v>
      </c>
      <c r="E13">
        <f t="shared" si="0"/>
        <v>52428</v>
      </c>
      <c r="F13" s="6"/>
    </row>
    <row r="14" spans="1:6" x14ac:dyDescent="0.25">
      <c r="A14" t="s">
        <v>22</v>
      </c>
      <c r="B14" s="49">
        <v>153</v>
      </c>
      <c r="C14" s="49">
        <v>204</v>
      </c>
      <c r="D14" s="49">
        <v>0</v>
      </c>
      <c r="E14">
        <f t="shared" si="0"/>
        <v>52377</v>
      </c>
      <c r="F14" s="6"/>
    </row>
    <row r="15" spans="1:6" x14ac:dyDescent="0.25">
      <c r="A15" t="s">
        <v>23</v>
      </c>
      <c r="B15" s="49">
        <v>255</v>
      </c>
      <c r="C15" s="49">
        <v>255</v>
      </c>
      <c r="D15" s="49">
        <v>0</v>
      </c>
      <c r="E15">
        <f t="shared" si="0"/>
        <v>65535</v>
      </c>
      <c r="F15" s="17"/>
    </row>
    <row r="16" spans="1:6" x14ac:dyDescent="0.25">
      <c r="A16" t="s">
        <v>24</v>
      </c>
      <c r="B16" s="49">
        <v>255</v>
      </c>
      <c r="C16" s="49">
        <v>255</v>
      </c>
      <c r="D16" s="49">
        <v>153</v>
      </c>
      <c r="E16">
        <f t="shared" si="0"/>
        <v>10092543</v>
      </c>
      <c r="F16" s="18"/>
    </row>
    <row r="17" spans="1:6" x14ac:dyDescent="0.25">
      <c r="A17" t="s">
        <v>25</v>
      </c>
      <c r="B17" s="49">
        <v>0</v>
      </c>
      <c r="C17" s="49">
        <v>104</v>
      </c>
      <c r="D17" s="49">
        <v>0</v>
      </c>
      <c r="E17">
        <f t="shared" si="0"/>
        <v>26624</v>
      </c>
      <c r="F17" s="19"/>
    </row>
    <row r="18" spans="1:6" x14ac:dyDescent="0.25">
      <c r="A18" t="s">
        <v>26</v>
      </c>
      <c r="B18" s="49">
        <v>0</v>
      </c>
      <c r="C18" s="49">
        <v>128</v>
      </c>
      <c r="D18" s="49">
        <v>0</v>
      </c>
      <c r="E18">
        <f t="shared" si="0"/>
        <v>32768</v>
      </c>
      <c r="F18" s="19"/>
    </row>
    <row r="19" spans="1:6" x14ac:dyDescent="0.25">
      <c r="A19" t="s">
        <v>27</v>
      </c>
      <c r="B19" s="49">
        <v>51</v>
      </c>
      <c r="C19" s="49">
        <v>153</v>
      </c>
      <c r="D19" s="49">
        <v>102</v>
      </c>
      <c r="E19">
        <f t="shared" si="0"/>
        <v>6723891</v>
      </c>
      <c r="F19" s="20"/>
    </row>
    <row r="20" spans="1:6" x14ac:dyDescent="0.25">
      <c r="A20" t="s">
        <v>28</v>
      </c>
      <c r="B20" s="49">
        <v>0</v>
      </c>
      <c r="C20" s="49">
        <v>255</v>
      </c>
      <c r="D20" s="49">
        <v>0</v>
      </c>
      <c r="E20">
        <f t="shared" si="0"/>
        <v>65280</v>
      </c>
      <c r="F20" s="21"/>
    </row>
    <row r="21" spans="1:6" x14ac:dyDescent="0.25">
      <c r="A21" t="s">
        <v>29</v>
      </c>
      <c r="B21" s="49">
        <v>204</v>
      </c>
      <c r="C21" s="49">
        <v>255</v>
      </c>
      <c r="D21" s="49">
        <v>204</v>
      </c>
      <c r="E21">
        <f t="shared" si="0"/>
        <v>13434828</v>
      </c>
      <c r="F21" s="22"/>
    </row>
    <row r="22" spans="1:6" x14ac:dyDescent="0.25">
      <c r="A22" t="s">
        <v>30</v>
      </c>
      <c r="B22" s="49">
        <v>0</v>
      </c>
      <c r="C22" s="49">
        <v>128</v>
      </c>
      <c r="D22" s="49">
        <v>128</v>
      </c>
      <c r="E22">
        <f t="shared" si="0"/>
        <v>8421376</v>
      </c>
      <c r="F22" s="23"/>
    </row>
    <row r="23" spans="1:6" x14ac:dyDescent="0.25">
      <c r="A23" t="s">
        <v>31</v>
      </c>
      <c r="B23" s="49">
        <v>51</v>
      </c>
      <c r="C23" s="49">
        <v>204</v>
      </c>
      <c r="D23" s="49">
        <v>204</v>
      </c>
      <c r="E23">
        <f t="shared" si="0"/>
        <v>13421619</v>
      </c>
      <c r="F23" s="24"/>
    </row>
    <row r="24" spans="1:6" x14ac:dyDescent="0.25">
      <c r="A24" t="s">
        <v>32</v>
      </c>
      <c r="B24" s="49">
        <v>0</v>
      </c>
      <c r="C24" s="49">
        <v>255</v>
      </c>
      <c r="D24" s="49">
        <v>255</v>
      </c>
      <c r="E24">
        <f t="shared" si="0"/>
        <v>16776960</v>
      </c>
      <c r="F24" s="25"/>
    </row>
    <row r="25" spans="1:6" x14ac:dyDescent="0.25">
      <c r="A25" t="s">
        <v>33</v>
      </c>
      <c r="B25" s="49">
        <v>153</v>
      </c>
      <c r="C25" s="49">
        <v>255</v>
      </c>
      <c r="D25" s="49">
        <v>255</v>
      </c>
      <c r="E25">
        <f t="shared" si="0"/>
        <v>16777113</v>
      </c>
      <c r="F25" s="26"/>
    </row>
    <row r="26" spans="1:6" x14ac:dyDescent="0.25">
      <c r="A26" t="s">
        <v>34</v>
      </c>
      <c r="B26" s="49">
        <v>0</v>
      </c>
      <c r="C26" s="49">
        <v>0</v>
      </c>
      <c r="D26" s="49">
        <v>128</v>
      </c>
      <c r="E26">
        <f t="shared" si="0"/>
        <v>8388608</v>
      </c>
      <c r="F26" s="27"/>
    </row>
    <row r="27" spans="1:6" x14ac:dyDescent="0.25">
      <c r="A27" t="s">
        <v>5</v>
      </c>
      <c r="B27" s="49">
        <v>0</v>
      </c>
      <c r="C27" s="49">
        <v>0</v>
      </c>
      <c r="D27" s="49">
        <v>255</v>
      </c>
      <c r="E27">
        <f t="shared" si="0"/>
        <v>16711680</v>
      </c>
      <c r="F27" s="28"/>
    </row>
    <row r="28" spans="1:6" x14ac:dyDescent="0.25">
      <c r="A28" t="s">
        <v>35</v>
      </c>
      <c r="B28" s="49">
        <v>51</v>
      </c>
      <c r="C28" s="49">
        <v>102</v>
      </c>
      <c r="D28" s="49">
        <v>255</v>
      </c>
      <c r="E28">
        <f t="shared" si="0"/>
        <v>16737843</v>
      </c>
      <c r="F28" s="29"/>
    </row>
    <row r="29" spans="1:6" x14ac:dyDescent="0.25">
      <c r="A29" t="s">
        <v>36</v>
      </c>
      <c r="B29" s="49">
        <v>0</v>
      </c>
      <c r="C29" s="49">
        <v>204</v>
      </c>
      <c r="D29" s="49">
        <v>255</v>
      </c>
      <c r="E29">
        <f t="shared" si="0"/>
        <v>16763904</v>
      </c>
      <c r="F29" s="30"/>
    </row>
    <row r="30" spans="1:6" x14ac:dyDescent="0.25">
      <c r="A30" t="s">
        <v>37</v>
      </c>
      <c r="B30" s="49">
        <v>153</v>
      </c>
      <c r="C30" s="49">
        <v>204</v>
      </c>
      <c r="D30" s="49">
        <v>255</v>
      </c>
      <c r="E30">
        <f t="shared" si="0"/>
        <v>16764057</v>
      </c>
      <c r="F30" s="31"/>
    </row>
    <row r="31" spans="1:6" x14ac:dyDescent="0.25">
      <c r="A31" t="s">
        <v>38</v>
      </c>
      <c r="B31" s="49">
        <v>51</v>
      </c>
      <c r="C31" s="49">
        <v>51</v>
      </c>
      <c r="D31" s="49">
        <v>153</v>
      </c>
      <c r="E31">
        <f t="shared" si="0"/>
        <v>10040115</v>
      </c>
      <c r="F31" s="32"/>
    </row>
    <row r="32" spans="1:6" x14ac:dyDescent="0.25">
      <c r="A32" t="s">
        <v>39</v>
      </c>
      <c r="B32" s="49">
        <v>102</v>
      </c>
      <c r="C32" s="49">
        <v>102</v>
      </c>
      <c r="D32" s="49">
        <v>153</v>
      </c>
      <c r="E32">
        <f t="shared" si="0"/>
        <v>10053222</v>
      </c>
      <c r="F32" s="33"/>
    </row>
    <row r="33" spans="1:6" x14ac:dyDescent="0.25">
      <c r="A33" t="s">
        <v>40</v>
      </c>
      <c r="B33" s="49">
        <v>128</v>
      </c>
      <c r="C33" s="49">
        <v>0</v>
      </c>
      <c r="D33" s="49">
        <v>128</v>
      </c>
      <c r="E33">
        <f t="shared" si="0"/>
        <v>8388736</v>
      </c>
      <c r="F33" s="34"/>
    </row>
    <row r="34" spans="1:6" x14ac:dyDescent="0.25">
      <c r="A34" t="s">
        <v>41</v>
      </c>
      <c r="B34" s="49">
        <v>153</v>
      </c>
      <c r="C34" s="49">
        <v>51</v>
      </c>
      <c r="D34" s="49">
        <v>102</v>
      </c>
      <c r="E34">
        <f t="shared" si="0"/>
        <v>6697881</v>
      </c>
      <c r="F34" s="35"/>
    </row>
    <row r="35" spans="1:6" x14ac:dyDescent="0.25">
      <c r="A35" t="s">
        <v>42</v>
      </c>
      <c r="B35" s="49">
        <v>204</v>
      </c>
      <c r="C35" s="49">
        <v>153</v>
      </c>
      <c r="D35" s="49">
        <v>255</v>
      </c>
      <c r="E35">
        <f t="shared" si="0"/>
        <v>16751052</v>
      </c>
      <c r="F35" s="36"/>
    </row>
    <row r="36" spans="1:6" x14ac:dyDescent="0.25">
      <c r="A36" t="s">
        <v>43</v>
      </c>
      <c r="B36" s="49">
        <v>51</v>
      </c>
      <c r="C36" s="49">
        <v>51</v>
      </c>
      <c r="D36" s="49">
        <v>51</v>
      </c>
      <c r="E36">
        <f t="shared" si="0"/>
        <v>3355443</v>
      </c>
      <c r="F36" s="37"/>
    </row>
    <row r="37" spans="1:6" x14ac:dyDescent="0.25">
      <c r="A37" t="s">
        <v>11</v>
      </c>
      <c r="B37" s="49">
        <v>102</v>
      </c>
      <c r="C37" s="49">
        <v>102</v>
      </c>
      <c r="D37" s="49">
        <v>102</v>
      </c>
      <c r="E37">
        <f t="shared" si="0"/>
        <v>6710886</v>
      </c>
      <c r="F37" s="38"/>
    </row>
    <row r="38" spans="1:6" x14ac:dyDescent="0.25">
      <c r="A38" t="s">
        <v>44</v>
      </c>
      <c r="B38" s="49">
        <v>153</v>
      </c>
      <c r="C38" s="49">
        <v>153</v>
      </c>
      <c r="D38" s="49">
        <v>153</v>
      </c>
      <c r="E38">
        <f t="shared" si="0"/>
        <v>10066329</v>
      </c>
      <c r="F38" s="39"/>
    </row>
    <row r="39" spans="1:6" x14ac:dyDescent="0.25">
      <c r="A39" t="s">
        <v>45</v>
      </c>
      <c r="B39" s="49">
        <v>204</v>
      </c>
      <c r="C39" s="49">
        <v>204</v>
      </c>
      <c r="D39" s="49">
        <v>204</v>
      </c>
      <c r="E39">
        <f t="shared" si="0"/>
        <v>13421772</v>
      </c>
      <c r="F39" s="40"/>
    </row>
    <row r="40" spans="1:6" x14ac:dyDescent="0.25">
      <c r="A40" t="s">
        <v>4</v>
      </c>
      <c r="B40" s="49">
        <v>255</v>
      </c>
      <c r="C40" s="49">
        <v>255</v>
      </c>
      <c r="D40" s="49">
        <v>255</v>
      </c>
      <c r="E40">
        <f t="shared" si="0"/>
        <v>16777215</v>
      </c>
      <c r="F40" s="41"/>
    </row>
    <row r="42" spans="1:6" x14ac:dyDescent="0.25">
      <c r="A42" t="s">
        <v>10</v>
      </c>
      <c r="B42" s="49">
        <v>51</v>
      </c>
      <c r="C42" s="49">
        <v>204</v>
      </c>
      <c r="D42" s="49">
        <v>51</v>
      </c>
      <c r="E42">
        <f t="shared" ref="E42:E52" si="1">B42+256*C42+256*256*D42</f>
        <v>3394611</v>
      </c>
      <c r="F42" s="20"/>
    </row>
    <row r="43" spans="1:6" x14ac:dyDescent="0.25">
      <c r="A43" t="s">
        <v>1</v>
      </c>
      <c r="B43" s="49">
        <v>153</v>
      </c>
      <c r="C43" s="49">
        <v>204</v>
      </c>
      <c r="D43" s="49">
        <v>255</v>
      </c>
      <c r="E43">
        <f t="shared" si="1"/>
        <v>16764057</v>
      </c>
      <c r="F43" s="31"/>
    </row>
    <row r="44" spans="1:6" x14ac:dyDescent="0.25">
      <c r="A44" t="s">
        <v>46</v>
      </c>
      <c r="B44" s="49">
        <v>153</v>
      </c>
      <c r="C44" s="49">
        <v>153</v>
      </c>
      <c r="D44" s="49">
        <v>153</v>
      </c>
      <c r="E44">
        <f t="shared" si="1"/>
        <v>10066329</v>
      </c>
      <c r="F44" s="33"/>
    </row>
    <row r="45" spans="1:6" x14ac:dyDescent="0.25">
      <c r="A45" t="s">
        <v>47</v>
      </c>
      <c r="B45" s="49">
        <v>255</v>
      </c>
      <c r="C45" s="49">
        <v>255</v>
      </c>
      <c r="D45" s="49">
        <v>102</v>
      </c>
      <c r="E45">
        <f t="shared" si="1"/>
        <v>6750207</v>
      </c>
      <c r="F45" s="18"/>
    </row>
    <row r="46" spans="1:6" x14ac:dyDescent="0.25">
      <c r="A46" t="s">
        <v>48</v>
      </c>
      <c r="B46" s="49">
        <v>255</v>
      </c>
      <c r="C46" s="49">
        <v>128</v>
      </c>
      <c r="D46" s="49">
        <v>128</v>
      </c>
      <c r="E46">
        <f t="shared" si="1"/>
        <v>8421631</v>
      </c>
      <c r="F46" s="9"/>
    </row>
    <row r="47" spans="1:6" x14ac:dyDescent="0.25">
      <c r="A47" t="s">
        <v>49</v>
      </c>
      <c r="B47" s="49">
        <v>255</v>
      </c>
      <c r="C47" s="49">
        <v>204</v>
      </c>
      <c r="D47" s="49">
        <v>0</v>
      </c>
      <c r="E47">
        <f t="shared" si="1"/>
        <v>52479</v>
      </c>
      <c r="F47" s="14"/>
    </row>
    <row r="48" spans="1:6" x14ac:dyDescent="0.25">
      <c r="A48" t="s">
        <v>50</v>
      </c>
      <c r="B48" s="49">
        <v>255</v>
      </c>
      <c r="C48" s="49">
        <v>255</v>
      </c>
      <c r="D48" s="49">
        <v>102</v>
      </c>
      <c r="E48">
        <f t="shared" si="1"/>
        <v>6750207</v>
      </c>
      <c r="F48" s="18"/>
    </row>
    <row r="49" spans="1:6" x14ac:dyDescent="0.25">
      <c r="A49" t="s">
        <v>51</v>
      </c>
      <c r="B49" s="49">
        <v>153</v>
      </c>
      <c r="C49" s="49">
        <v>255</v>
      </c>
      <c r="D49" s="49">
        <v>51</v>
      </c>
      <c r="E49">
        <f t="shared" si="1"/>
        <v>3407769</v>
      </c>
      <c r="F49" s="6"/>
    </row>
    <row r="50" spans="1:6" x14ac:dyDescent="0.25">
      <c r="A50" t="s">
        <v>65</v>
      </c>
      <c r="B50" s="49">
        <v>255</v>
      </c>
      <c r="C50" s="49">
        <v>128</v>
      </c>
      <c r="D50" s="49">
        <v>128</v>
      </c>
      <c r="E50">
        <f t="shared" si="1"/>
        <v>8421631</v>
      </c>
      <c r="F50" s="9"/>
    </row>
    <row r="51" spans="1:6" x14ac:dyDescent="0.25">
      <c r="A51" t="s">
        <v>66</v>
      </c>
      <c r="B51" s="49">
        <v>51</v>
      </c>
      <c r="C51" s="49">
        <v>102</v>
      </c>
      <c r="D51" s="49">
        <v>255</v>
      </c>
      <c r="E51">
        <f t="shared" si="1"/>
        <v>16737843</v>
      </c>
      <c r="F51" s="28"/>
    </row>
    <row r="52" spans="1:6" x14ac:dyDescent="0.25">
      <c r="A52" t="s">
        <v>67</v>
      </c>
      <c r="B52" s="49">
        <v>204</v>
      </c>
      <c r="C52" s="49">
        <v>153</v>
      </c>
      <c r="D52" s="49">
        <v>255</v>
      </c>
      <c r="E52">
        <f t="shared" si="1"/>
        <v>16751052</v>
      </c>
      <c r="F52" s="36"/>
    </row>
    <row r="54" spans="1:6" x14ac:dyDescent="0.25">
      <c r="A54" t="s">
        <v>7</v>
      </c>
      <c r="B54" s="49">
        <v>204</v>
      </c>
      <c r="C54" s="49">
        <v>153</v>
      </c>
      <c r="D54" s="49">
        <v>0</v>
      </c>
      <c r="E54">
        <f t="shared" ref="E54:E64" si="2">B54+256*C54+256*256*D54</f>
        <v>39372</v>
      </c>
      <c r="F54" s="13"/>
    </row>
    <row r="55" spans="1:6" x14ac:dyDescent="0.25">
      <c r="A55" t="s">
        <v>52</v>
      </c>
      <c r="B55" s="49">
        <v>255</v>
      </c>
      <c r="C55" s="49">
        <v>0</v>
      </c>
      <c r="D55" s="49">
        <v>0</v>
      </c>
      <c r="E55">
        <f t="shared" si="2"/>
        <v>255</v>
      </c>
      <c r="F55" s="8"/>
    </row>
    <row r="56" spans="1:6" x14ac:dyDescent="0.25">
      <c r="A56" t="s">
        <v>53</v>
      </c>
      <c r="B56" s="49">
        <v>128</v>
      </c>
      <c r="C56" s="49">
        <v>153</v>
      </c>
      <c r="D56" s="49">
        <v>0</v>
      </c>
      <c r="E56">
        <f t="shared" si="2"/>
        <v>39296</v>
      </c>
      <c r="F56" s="42"/>
    </row>
    <row r="57" spans="1:6" x14ac:dyDescent="0.25">
      <c r="A57" t="s">
        <v>54</v>
      </c>
      <c r="B57" s="49">
        <v>153</v>
      </c>
      <c r="C57" s="49">
        <v>204</v>
      </c>
      <c r="D57" s="49">
        <v>0</v>
      </c>
      <c r="E57">
        <f t="shared" si="2"/>
        <v>52377</v>
      </c>
      <c r="F57" s="6"/>
    </row>
    <row r="58" spans="1:6" x14ac:dyDescent="0.25">
      <c r="A58" t="s">
        <v>55</v>
      </c>
      <c r="B58" s="49">
        <v>204</v>
      </c>
      <c r="C58" s="49">
        <v>204</v>
      </c>
      <c r="D58" s="49">
        <v>0</v>
      </c>
      <c r="E58">
        <f t="shared" si="2"/>
        <v>52428</v>
      </c>
      <c r="F58" s="6"/>
    </row>
    <row r="59" spans="1:6" x14ac:dyDescent="0.25">
      <c r="A59" t="s">
        <v>8</v>
      </c>
      <c r="B59" s="49">
        <v>153</v>
      </c>
      <c r="C59" s="49">
        <v>153</v>
      </c>
      <c r="D59" s="49">
        <v>153</v>
      </c>
      <c r="E59">
        <f t="shared" si="2"/>
        <v>10066329</v>
      </c>
      <c r="F59" s="39"/>
    </row>
    <row r="60" spans="1:6" x14ac:dyDescent="0.25">
      <c r="A60" t="s">
        <v>56</v>
      </c>
      <c r="B60" s="49">
        <v>102</v>
      </c>
      <c r="C60" s="49">
        <v>102</v>
      </c>
      <c r="D60" s="49">
        <v>102</v>
      </c>
      <c r="E60">
        <f t="shared" si="2"/>
        <v>6710886</v>
      </c>
      <c r="F60" s="38"/>
    </row>
    <row r="61" spans="1:6" x14ac:dyDescent="0.25">
      <c r="A61" t="s">
        <v>9</v>
      </c>
      <c r="B61" s="49">
        <v>153</v>
      </c>
      <c r="C61" s="49">
        <v>255</v>
      </c>
      <c r="D61" s="49">
        <v>102</v>
      </c>
      <c r="E61">
        <f t="shared" si="2"/>
        <v>6750105</v>
      </c>
      <c r="F61" s="22"/>
    </row>
    <row r="62" spans="1:6" x14ac:dyDescent="0.25">
      <c r="A62" t="s">
        <v>57</v>
      </c>
      <c r="B62" s="49">
        <v>102</v>
      </c>
      <c r="C62" s="49">
        <v>153</v>
      </c>
      <c r="D62" s="49">
        <v>255</v>
      </c>
      <c r="E62">
        <f t="shared" si="2"/>
        <v>16750950</v>
      </c>
      <c r="F62" s="36"/>
    </row>
    <row r="63" spans="1:6" x14ac:dyDescent="0.25">
      <c r="A63" t="s">
        <v>58</v>
      </c>
      <c r="B63" s="49">
        <v>0</v>
      </c>
      <c r="C63" s="49">
        <v>128</v>
      </c>
      <c r="D63" s="49">
        <v>128</v>
      </c>
      <c r="E63">
        <f t="shared" si="2"/>
        <v>8421376</v>
      </c>
      <c r="F63" s="23"/>
    </row>
    <row r="64" spans="1:6" x14ac:dyDescent="0.25">
      <c r="A64" t="s">
        <v>59</v>
      </c>
      <c r="B64" s="49">
        <v>51</v>
      </c>
      <c r="C64" s="49">
        <v>204</v>
      </c>
      <c r="D64" s="49">
        <v>204</v>
      </c>
      <c r="E64">
        <f t="shared" si="2"/>
        <v>13421619</v>
      </c>
      <c r="F64" s="24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olours3"/>
  <dimension ref="A1:K64"/>
  <sheetViews>
    <sheetView workbookViewId="0">
      <selection activeCell="B20" sqref="B20"/>
    </sheetView>
  </sheetViews>
  <sheetFormatPr defaultRowHeight="13.2" x14ac:dyDescent="0.25"/>
  <cols>
    <col min="2" max="2" width="17.5546875" bestFit="1" customWidth="1"/>
    <col min="3" max="5" width="8.5546875" style="49" bestFit="1" customWidth="1"/>
    <col min="6" max="7" width="9" bestFit="1" customWidth="1"/>
    <col min="9" max="9" width="17.6640625" bestFit="1" customWidth="1"/>
    <col min="10" max="10" width="9" bestFit="1" customWidth="1"/>
    <col min="11" max="11" width="7" bestFit="1" customWidth="1"/>
    <col min="13" max="13" width="7" bestFit="1" customWidth="1"/>
  </cols>
  <sheetData>
    <row r="1" spans="1:11" x14ac:dyDescent="0.25">
      <c r="A1">
        <v>1</v>
      </c>
      <c r="B1" s="5" t="s">
        <v>68</v>
      </c>
      <c r="C1" s="48" t="s">
        <v>206</v>
      </c>
      <c r="D1" s="48" t="s">
        <v>207</v>
      </c>
      <c r="E1" s="48" t="s">
        <v>140</v>
      </c>
      <c r="F1" s="5" t="s">
        <v>69</v>
      </c>
      <c r="G1" s="5" t="s">
        <v>70</v>
      </c>
    </row>
    <row r="2" spans="1:11" x14ac:dyDescent="0.25">
      <c r="A2">
        <v>2</v>
      </c>
      <c r="B2" t="s">
        <v>2</v>
      </c>
      <c r="C2" s="49">
        <v>0</v>
      </c>
      <c r="D2" s="49">
        <v>0</v>
      </c>
      <c r="E2" s="49">
        <v>0</v>
      </c>
      <c r="F2">
        <f t="shared" ref="F2:F40" si="0">C2+256*D2+256*256*E2</f>
        <v>0</v>
      </c>
      <c r="G2" s="7"/>
      <c r="I2" t="s">
        <v>104</v>
      </c>
      <c r="J2">
        <f>RGBvalue(0,0,0)</f>
        <v>0</v>
      </c>
      <c r="K2" t="b">
        <f t="shared" ref="K2:K40" si="1">(F2=J2)</f>
        <v>1</v>
      </c>
    </row>
    <row r="3" spans="1:11" x14ac:dyDescent="0.25">
      <c r="A3">
        <v>3</v>
      </c>
      <c r="B3" t="s">
        <v>13</v>
      </c>
      <c r="C3" s="49">
        <v>204</v>
      </c>
      <c r="D3" s="49">
        <v>0</v>
      </c>
      <c r="E3" s="49">
        <v>0</v>
      </c>
      <c r="F3">
        <f t="shared" si="0"/>
        <v>204</v>
      </c>
      <c r="G3" s="8"/>
      <c r="I3" t="s">
        <v>102</v>
      </c>
      <c r="J3">
        <f>RGBvalue(255,0,0)</f>
        <v>255</v>
      </c>
      <c r="K3" t="b">
        <f t="shared" si="1"/>
        <v>0</v>
      </c>
    </row>
    <row r="4" spans="1:11" x14ac:dyDescent="0.25">
      <c r="A4">
        <v>4</v>
      </c>
      <c r="B4" t="s">
        <v>14</v>
      </c>
      <c r="C4" s="49">
        <v>255</v>
      </c>
      <c r="D4" s="49">
        <v>0</v>
      </c>
      <c r="E4" s="49">
        <v>0</v>
      </c>
      <c r="F4">
        <f t="shared" si="0"/>
        <v>255</v>
      </c>
      <c r="G4" s="8"/>
      <c r="I4" t="s">
        <v>102</v>
      </c>
      <c r="J4">
        <f>RGBvalue(255,0,0)</f>
        <v>255</v>
      </c>
      <c r="K4" t="b">
        <f t="shared" si="1"/>
        <v>1</v>
      </c>
    </row>
    <row r="5" spans="1:11" x14ac:dyDescent="0.25">
      <c r="A5">
        <v>5</v>
      </c>
      <c r="B5" t="s">
        <v>15</v>
      </c>
      <c r="C5" s="49">
        <v>255</v>
      </c>
      <c r="D5" s="49">
        <v>128</v>
      </c>
      <c r="E5" s="49">
        <v>128</v>
      </c>
      <c r="F5">
        <f t="shared" si="0"/>
        <v>8421631</v>
      </c>
      <c r="G5" s="9"/>
      <c r="I5" t="s">
        <v>101</v>
      </c>
      <c r="J5">
        <f>RGBvalue(255,128,128)</f>
        <v>8421631</v>
      </c>
      <c r="K5" t="b">
        <f t="shared" si="1"/>
        <v>1</v>
      </c>
    </row>
    <row r="6" spans="1:11" x14ac:dyDescent="0.25">
      <c r="A6">
        <v>6</v>
      </c>
      <c r="B6" t="s">
        <v>16</v>
      </c>
      <c r="C6" s="49">
        <v>255</v>
      </c>
      <c r="D6" s="49">
        <v>153</v>
      </c>
      <c r="E6" s="49">
        <v>204</v>
      </c>
      <c r="F6">
        <f t="shared" si="0"/>
        <v>13408767</v>
      </c>
      <c r="G6" s="10"/>
      <c r="I6" t="s">
        <v>105</v>
      </c>
      <c r="J6">
        <f>RGBvalue(255,153,204)</f>
        <v>13408767</v>
      </c>
      <c r="K6" t="b">
        <f t="shared" si="1"/>
        <v>1</v>
      </c>
    </row>
    <row r="7" spans="1:11" x14ac:dyDescent="0.25">
      <c r="A7">
        <v>7</v>
      </c>
      <c r="B7" t="s">
        <v>3</v>
      </c>
      <c r="C7" s="49">
        <v>153</v>
      </c>
      <c r="D7" s="49">
        <v>51</v>
      </c>
      <c r="E7" s="49">
        <v>0</v>
      </c>
      <c r="F7">
        <f t="shared" si="0"/>
        <v>13209</v>
      </c>
      <c r="G7" s="11"/>
      <c r="I7" t="s">
        <v>106</v>
      </c>
      <c r="J7">
        <f>RGBvalue(255,102,0)</f>
        <v>26367</v>
      </c>
      <c r="K7" t="b">
        <f t="shared" si="1"/>
        <v>0</v>
      </c>
    </row>
    <row r="8" spans="1:11" x14ac:dyDescent="0.25">
      <c r="A8">
        <v>8</v>
      </c>
      <c r="B8" t="s">
        <v>17</v>
      </c>
      <c r="C8" s="49">
        <v>255</v>
      </c>
      <c r="D8" s="49">
        <v>102</v>
      </c>
      <c r="E8" s="49">
        <v>0</v>
      </c>
      <c r="F8">
        <f t="shared" si="0"/>
        <v>26367</v>
      </c>
      <c r="G8" s="12"/>
      <c r="I8" t="s">
        <v>71</v>
      </c>
      <c r="J8">
        <f>RGBvalue(255,153,0)</f>
        <v>39423</v>
      </c>
      <c r="K8" t="b">
        <f t="shared" si="1"/>
        <v>0</v>
      </c>
    </row>
    <row r="9" spans="1:11" x14ac:dyDescent="0.25">
      <c r="A9">
        <v>9</v>
      </c>
      <c r="B9" t="s">
        <v>18</v>
      </c>
      <c r="C9" s="49">
        <v>255</v>
      </c>
      <c r="D9" s="49">
        <v>153</v>
      </c>
      <c r="E9" s="49">
        <v>0</v>
      </c>
      <c r="F9">
        <f t="shared" si="0"/>
        <v>39423</v>
      </c>
      <c r="G9" s="13"/>
      <c r="I9" t="s">
        <v>72</v>
      </c>
      <c r="J9">
        <f>RGBvalue(255,204,0)</f>
        <v>52479</v>
      </c>
      <c r="K9" t="b">
        <f t="shared" si="1"/>
        <v>0</v>
      </c>
    </row>
    <row r="10" spans="1:11" x14ac:dyDescent="0.25">
      <c r="A10">
        <v>10</v>
      </c>
      <c r="B10" t="s">
        <v>12</v>
      </c>
      <c r="C10" s="49">
        <v>255</v>
      </c>
      <c r="D10" s="49">
        <v>204</v>
      </c>
      <c r="E10" s="49">
        <v>0</v>
      </c>
      <c r="F10">
        <f t="shared" si="0"/>
        <v>52479</v>
      </c>
      <c r="G10" s="14"/>
      <c r="I10" t="s">
        <v>73</v>
      </c>
      <c r="J10">
        <f>RGBvalue(255,204,153)</f>
        <v>10079487</v>
      </c>
      <c r="K10" t="b">
        <f t="shared" si="1"/>
        <v>0</v>
      </c>
    </row>
    <row r="11" spans="1:11" x14ac:dyDescent="0.25">
      <c r="A11">
        <v>11</v>
      </c>
      <c r="B11" t="s">
        <v>19</v>
      </c>
      <c r="C11" s="49">
        <v>255</v>
      </c>
      <c r="D11" s="49">
        <v>204</v>
      </c>
      <c r="E11" s="49">
        <v>102</v>
      </c>
      <c r="F11">
        <f t="shared" si="0"/>
        <v>6737151</v>
      </c>
      <c r="G11" s="15"/>
      <c r="I11" t="s">
        <v>74</v>
      </c>
      <c r="J11">
        <f>RGBvalue(51,51,0)</f>
        <v>13107</v>
      </c>
      <c r="K11" t="b">
        <f t="shared" si="1"/>
        <v>0</v>
      </c>
    </row>
    <row r="12" spans="1:11" x14ac:dyDescent="0.25">
      <c r="A12">
        <v>12</v>
      </c>
      <c r="B12" t="s">
        <v>20</v>
      </c>
      <c r="C12" s="49">
        <v>51</v>
      </c>
      <c r="D12" s="49">
        <v>51</v>
      </c>
      <c r="E12" s="49">
        <v>0</v>
      </c>
      <c r="F12">
        <f t="shared" si="0"/>
        <v>13107</v>
      </c>
      <c r="G12" s="16"/>
      <c r="I12" t="s">
        <v>75</v>
      </c>
      <c r="J12">
        <f>RGBvalue(153,204,0)</f>
        <v>52377</v>
      </c>
      <c r="K12" t="b">
        <f t="shared" si="1"/>
        <v>0</v>
      </c>
    </row>
    <row r="13" spans="1:11" x14ac:dyDescent="0.25">
      <c r="A13">
        <v>13</v>
      </c>
      <c r="B13" t="s">
        <v>21</v>
      </c>
      <c r="C13" s="49">
        <v>204</v>
      </c>
      <c r="D13" s="49">
        <v>204</v>
      </c>
      <c r="E13" s="49">
        <v>0</v>
      </c>
      <c r="F13">
        <f t="shared" si="0"/>
        <v>52428</v>
      </c>
      <c r="G13" s="6"/>
      <c r="I13" t="s">
        <v>75</v>
      </c>
      <c r="J13">
        <f>RGBvalue(153,204,0)</f>
        <v>52377</v>
      </c>
      <c r="K13" t="b">
        <f t="shared" si="1"/>
        <v>0</v>
      </c>
    </row>
    <row r="14" spans="1:11" x14ac:dyDescent="0.25">
      <c r="A14">
        <v>14</v>
      </c>
      <c r="B14" t="s">
        <v>22</v>
      </c>
      <c r="C14" s="49">
        <v>153</v>
      </c>
      <c r="D14" s="49">
        <v>204</v>
      </c>
      <c r="E14" s="49">
        <v>0</v>
      </c>
      <c r="F14">
        <f t="shared" si="0"/>
        <v>52377</v>
      </c>
      <c r="G14" s="6"/>
      <c r="I14" t="s">
        <v>76</v>
      </c>
      <c r="J14">
        <f>RGBvalue(255,255,0)</f>
        <v>65535</v>
      </c>
      <c r="K14" t="b">
        <f t="shared" si="1"/>
        <v>0</v>
      </c>
    </row>
    <row r="15" spans="1:11" x14ac:dyDescent="0.25">
      <c r="A15">
        <v>15</v>
      </c>
      <c r="B15" t="s">
        <v>23</v>
      </c>
      <c r="C15" s="49">
        <v>255</v>
      </c>
      <c r="D15" s="49">
        <v>255</v>
      </c>
      <c r="E15" s="49">
        <v>0</v>
      </c>
      <c r="F15">
        <f t="shared" si="0"/>
        <v>65535</v>
      </c>
      <c r="G15" s="17"/>
      <c r="I15" t="s">
        <v>77</v>
      </c>
      <c r="J15">
        <f>RGBvalue(255,255,153)</f>
        <v>10092543</v>
      </c>
      <c r="K15" t="b">
        <f t="shared" si="1"/>
        <v>0</v>
      </c>
    </row>
    <row r="16" spans="1:11" x14ac:dyDescent="0.25">
      <c r="A16">
        <v>16</v>
      </c>
      <c r="B16" t="s">
        <v>24</v>
      </c>
      <c r="C16" s="49">
        <v>255</v>
      </c>
      <c r="D16" s="49">
        <v>255</v>
      </c>
      <c r="E16" s="49">
        <v>153</v>
      </c>
      <c r="F16">
        <f t="shared" si="0"/>
        <v>10092543</v>
      </c>
      <c r="G16" s="18"/>
      <c r="I16" t="s">
        <v>78</v>
      </c>
      <c r="J16">
        <f>RGBvalue(0,128,0)</f>
        <v>32768</v>
      </c>
      <c r="K16" t="b">
        <f t="shared" si="1"/>
        <v>0</v>
      </c>
    </row>
    <row r="17" spans="1:11" x14ac:dyDescent="0.25">
      <c r="A17">
        <v>17</v>
      </c>
      <c r="B17" t="s">
        <v>25</v>
      </c>
      <c r="C17" s="49">
        <v>0</v>
      </c>
      <c r="D17" s="49">
        <v>104</v>
      </c>
      <c r="E17" s="49">
        <v>0</v>
      </c>
      <c r="F17">
        <f t="shared" si="0"/>
        <v>26624</v>
      </c>
      <c r="G17" s="19"/>
      <c r="I17" t="s">
        <v>78</v>
      </c>
      <c r="J17">
        <f>RGBvalue(0,128,0)</f>
        <v>32768</v>
      </c>
      <c r="K17" t="b">
        <f t="shared" si="1"/>
        <v>0</v>
      </c>
    </row>
    <row r="18" spans="1:11" x14ac:dyDescent="0.25">
      <c r="A18">
        <v>18</v>
      </c>
      <c r="B18" t="s">
        <v>26</v>
      </c>
      <c r="C18" s="49">
        <v>0</v>
      </c>
      <c r="D18" s="49">
        <v>128</v>
      </c>
      <c r="E18" s="49">
        <v>0</v>
      </c>
      <c r="F18">
        <f t="shared" si="0"/>
        <v>32768</v>
      </c>
      <c r="G18" s="19"/>
      <c r="I18" t="s">
        <v>79</v>
      </c>
      <c r="J18">
        <f>RGBvalue(51,153,102)</f>
        <v>6723891</v>
      </c>
      <c r="K18" t="b">
        <f t="shared" si="1"/>
        <v>0</v>
      </c>
    </row>
    <row r="19" spans="1:11" x14ac:dyDescent="0.25">
      <c r="A19">
        <v>19</v>
      </c>
      <c r="B19" t="s">
        <v>27</v>
      </c>
      <c r="C19" s="49">
        <v>51</v>
      </c>
      <c r="D19" s="49">
        <v>153</v>
      </c>
      <c r="E19" s="49">
        <v>102</v>
      </c>
      <c r="F19">
        <f t="shared" si="0"/>
        <v>6723891</v>
      </c>
      <c r="G19" s="20"/>
      <c r="I19" t="s">
        <v>80</v>
      </c>
      <c r="J19">
        <f>RGBvalue(0,255,0)</f>
        <v>65280</v>
      </c>
      <c r="K19" t="b">
        <f t="shared" si="1"/>
        <v>0</v>
      </c>
    </row>
    <row r="20" spans="1:11" x14ac:dyDescent="0.25">
      <c r="A20">
        <v>20</v>
      </c>
      <c r="B20" t="s">
        <v>28</v>
      </c>
      <c r="C20" s="49">
        <v>0</v>
      </c>
      <c r="D20" s="49">
        <v>255</v>
      </c>
      <c r="E20" s="49">
        <v>0</v>
      </c>
      <c r="F20">
        <f t="shared" si="0"/>
        <v>65280</v>
      </c>
      <c r="G20" s="21"/>
      <c r="I20" t="s">
        <v>81</v>
      </c>
      <c r="J20">
        <f>RGBvalue(204,255,204)</f>
        <v>13434828</v>
      </c>
      <c r="K20" t="b">
        <f t="shared" si="1"/>
        <v>0</v>
      </c>
    </row>
    <row r="21" spans="1:11" x14ac:dyDescent="0.25">
      <c r="A21">
        <v>21</v>
      </c>
      <c r="B21" t="s">
        <v>29</v>
      </c>
      <c r="C21" s="49">
        <v>204</v>
      </c>
      <c r="D21" s="49">
        <v>255</v>
      </c>
      <c r="E21" s="49">
        <v>204</v>
      </c>
      <c r="F21">
        <f t="shared" si="0"/>
        <v>13434828</v>
      </c>
      <c r="G21" s="22"/>
      <c r="I21" t="s">
        <v>82</v>
      </c>
      <c r="J21">
        <f>RGBvalue(0,128,128)</f>
        <v>8421376</v>
      </c>
      <c r="K21" t="b">
        <f t="shared" si="1"/>
        <v>0</v>
      </c>
    </row>
    <row r="22" spans="1:11" x14ac:dyDescent="0.25">
      <c r="A22">
        <v>23</v>
      </c>
      <c r="B22" t="s">
        <v>30</v>
      </c>
      <c r="C22" s="49">
        <v>0</v>
      </c>
      <c r="D22" s="49">
        <v>128</v>
      </c>
      <c r="E22" s="49">
        <v>128</v>
      </c>
      <c r="F22">
        <f t="shared" si="0"/>
        <v>8421376</v>
      </c>
      <c r="G22" s="23"/>
      <c r="I22" t="s">
        <v>82</v>
      </c>
      <c r="J22">
        <f>RGBvalue(0,128,128)</f>
        <v>8421376</v>
      </c>
      <c r="K22" t="b">
        <f t="shared" si="1"/>
        <v>1</v>
      </c>
    </row>
    <row r="23" spans="1:11" x14ac:dyDescent="0.25">
      <c r="A23">
        <v>24</v>
      </c>
      <c r="B23" t="s">
        <v>31</v>
      </c>
      <c r="C23" s="49">
        <v>51</v>
      </c>
      <c r="D23" s="49">
        <v>204</v>
      </c>
      <c r="E23" s="49">
        <v>204</v>
      </c>
      <c r="F23">
        <f t="shared" si="0"/>
        <v>13421619</v>
      </c>
      <c r="G23" s="24"/>
      <c r="I23" t="s">
        <v>83</v>
      </c>
      <c r="J23">
        <f>RGBvalue(51,204,204)</f>
        <v>13421619</v>
      </c>
      <c r="K23" t="b">
        <f t="shared" si="1"/>
        <v>1</v>
      </c>
    </row>
    <row r="24" spans="1:11" x14ac:dyDescent="0.25">
      <c r="A24">
        <v>25</v>
      </c>
      <c r="B24" t="s">
        <v>32</v>
      </c>
      <c r="C24" s="49">
        <v>0</v>
      </c>
      <c r="D24" s="49">
        <v>255</v>
      </c>
      <c r="E24" s="49">
        <v>255</v>
      </c>
      <c r="F24">
        <f t="shared" si="0"/>
        <v>16776960</v>
      </c>
      <c r="G24" s="25"/>
      <c r="I24" t="s">
        <v>84</v>
      </c>
      <c r="J24">
        <f>RGBvalue(0,255,255)</f>
        <v>16776960</v>
      </c>
      <c r="K24" t="b">
        <f t="shared" si="1"/>
        <v>1</v>
      </c>
    </row>
    <row r="25" spans="1:11" x14ac:dyDescent="0.25">
      <c r="A25">
        <v>26</v>
      </c>
      <c r="B25" t="s">
        <v>33</v>
      </c>
      <c r="C25" s="49">
        <v>153</v>
      </c>
      <c r="D25" s="49">
        <v>255</v>
      </c>
      <c r="E25" s="49">
        <v>255</v>
      </c>
      <c r="F25">
        <f t="shared" si="0"/>
        <v>16777113</v>
      </c>
      <c r="G25" s="26"/>
      <c r="I25" t="s">
        <v>85</v>
      </c>
      <c r="J25">
        <f>RGBvalue(204,255,255)</f>
        <v>16777164</v>
      </c>
      <c r="K25" t="b">
        <f t="shared" si="1"/>
        <v>0</v>
      </c>
    </row>
    <row r="26" spans="1:11" x14ac:dyDescent="0.25">
      <c r="A26">
        <v>27</v>
      </c>
      <c r="B26" t="s">
        <v>34</v>
      </c>
      <c r="C26" s="49">
        <v>0</v>
      </c>
      <c r="D26" s="49">
        <v>0</v>
      </c>
      <c r="E26" s="49">
        <v>128</v>
      </c>
      <c r="F26">
        <f t="shared" si="0"/>
        <v>8388608</v>
      </c>
      <c r="G26" s="27"/>
      <c r="I26" t="s">
        <v>86</v>
      </c>
      <c r="J26">
        <f>RGBvalue(0,0,128)</f>
        <v>8388608</v>
      </c>
      <c r="K26" t="b">
        <f t="shared" si="1"/>
        <v>1</v>
      </c>
    </row>
    <row r="27" spans="1:11" x14ac:dyDescent="0.25">
      <c r="A27">
        <v>28</v>
      </c>
      <c r="B27" t="s">
        <v>5</v>
      </c>
      <c r="C27" s="49">
        <v>0</v>
      </c>
      <c r="D27" s="49">
        <v>0</v>
      </c>
      <c r="E27" s="49">
        <v>255</v>
      </c>
      <c r="F27">
        <f t="shared" si="0"/>
        <v>16711680</v>
      </c>
      <c r="G27" s="28"/>
      <c r="I27" t="s">
        <v>87</v>
      </c>
      <c r="J27">
        <f>RGBvalue(0,0,255)</f>
        <v>16711680</v>
      </c>
      <c r="K27" t="b">
        <f t="shared" si="1"/>
        <v>1</v>
      </c>
    </row>
    <row r="28" spans="1:11" x14ac:dyDescent="0.25">
      <c r="A28">
        <v>29</v>
      </c>
      <c r="B28" t="s">
        <v>35</v>
      </c>
      <c r="C28" s="49">
        <v>51</v>
      </c>
      <c r="D28" s="49">
        <v>102</v>
      </c>
      <c r="E28" s="49">
        <v>255</v>
      </c>
      <c r="F28">
        <f t="shared" si="0"/>
        <v>16737843</v>
      </c>
      <c r="G28" s="29"/>
      <c r="I28" t="s">
        <v>88</v>
      </c>
      <c r="J28">
        <f>RGBvalue(51,102,255)</f>
        <v>16737843</v>
      </c>
      <c r="K28" t="b">
        <f t="shared" si="1"/>
        <v>1</v>
      </c>
    </row>
    <row r="29" spans="1:11" x14ac:dyDescent="0.25">
      <c r="A29">
        <v>30</v>
      </c>
      <c r="B29" t="s">
        <v>36</v>
      </c>
      <c r="C29" s="49">
        <v>0</v>
      </c>
      <c r="D29" s="49">
        <v>204</v>
      </c>
      <c r="E29" s="49">
        <v>255</v>
      </c>
      <c r="F29">
        <f t="shared" si="0"/>
        <v>16763904</v>
      </c>
      <c r="G29" s="30"/>
      <c r="I29" t="s">
        <v>89</v>
      </c>
      <c r="J29">
        <f>RGBvalue(0,204,255)</f>
        <v>16763904</v>
      </c>
      <c r="K29" t="b">
        <f t="shared" si="1"/>
        <v>1</v>
      </c>
    </row>
    <row r="30" spans="1:11" x14ac:dyDescent="0.25">
      <c r="A30">
        <v>31</v>
      </c>
      <c r="B30" t="s">
        <v>37</v>
      </c>
      <c r="C30" s="49">
        <v>153</v>
      </c>
      <c r="D30" s="49">
        <v>204</v>
      </c>
      <c r="E30" s="49">
        <v>255</v>
      </c>
      <c r="F30">
        <f t="shared" si="0"/>
        <v>16764057</v>
      </c>
      <c r="G30" s="31"/>
      <c r="I30" t="s">
        <v>90</v>
      </c>
      <c r="J30">
        <f>RGBvalue(153,204,255)</f>
        <v>16764057</v>
      </c>
      <c r="K30" t="b">
        <f t="shared" si="1"/>
        <v>1</v>
      </c>
    </row>
    <row r="31" spans="1:11" x14ac:dyDescent="0.25">
      <c r="A31">
        <v>32</v>
      </c>
      <c r="B31" t="s">
        <v>38</v>
      </c>
      <c r="C31" s="49">
        <v>51</v>
      </c>
      <c r="D31" s="49">
        <v>51</v>
      </c>
      <c r="E31" s="49">
        <v>153</v>
      </c>
      <c r="F31">
        <f t="shared" si="0"/>
        <v>10040115</v>
      </c>
      <c r="G31" s="32"/>
      <c r="I31" t="s">
        <v>91</v>
      </c>
      <c r="J31">
        <f>RGBvalue(51,51,153)</f>
        <v>10040115</v>
      </c>
      <c r="K31" t="b">
        <f t="shared" si="1"/>
        <v>1</v>
      </c>
    </row>
    <row r="32" spans="1:11" x14ac:dyDescent="0.25">
      <c r="A32">
        <v>33</v>
      </c>
      <c r="B32" t="s">
        <v>39</v>
      </c>
      <c r="C32" s="49">
        <v>102</v>
      </c>
      <c r="D32" s="49">
        <v>102</v>
      </c>
      <c r="E32" s="49">
        <v>153</v>
      </c>
      <c r="F32">
        <f t="shared" si="0"/>
        <v>10053222</v>
      </c>
      <c r="G32" s="33"/>
      <c r="I32" t="s">
        <v>92</v>
      </c>
      <c r="J32">
        <f>RGBvalue(102,102,153)</f>
        <v>10053222</v>
      </c>
      <c r="K32" t="b">
        <f t="shared" si="1"/>
        <v>1</v>
      </c>
    </row>
    <row r="33" spans="1:11" x14ac:dyDescent="0.25">
      <c r="A33">
        <v>34</v>
      </c>
      <c r="B33" t="s">
        <v>40</v>
      </c>
      <c r="C33" s="49">
        <v>128</v>
      </c>
      <c r="D33" s="49">
        <v>0</v>
      </c>
      <c r="E33" s="49">
        <v>128</v>
      </c>
      <c r="F33">
        <f t="shared" si="0"/>
        <v>8388736</v>
      </c>
      <c r="G33" s="34"/>
      <c r="I33" t="s">
        <v>93</v>
      </c>
      <c r="J33">
        <f>RGBvalue(128,0,128)</f>
        <v>8388736</v>
      </c>
      <c r="K33" t="b">
        <f t="shared" si="1"/>
        <v>1</v>
      </c>
    </row>
    <row r="34" spans="1:11" x14ac:dyDescent="0.25">
      <c r="A34">
        <v>35</v>
      </c>
      <c r="B34" t="s">
        <v>41</v>
      </c>
      <c r="C34" s="49">
        <v>153</v>
      </c>
      <c r="D34" s="49">
        <v>51</v>
      </c>
      <c r="E34" s="49">
        <v>102</v>
      </c>
      <c r="F34">
        <f t="shared" si="0"/>
        <v>6697881</v>
      </c>
      <c r="G34" s="35"/>
      <c r="I34" t="s">
        <v>94</v>
      </c>
      <c r="J34">
        <f>RGBvalue(153,51,102)</f>
        <v>6697881</v>
      </c>
      <c r="K34" t="b">
        <f t="shared" si="1"/>
        <v>1</v>
      </c>
    </row>
    <row r="35" spans="1:11" x14ac:dyDescent="0.25">
      <c r="A35">
        <v>36</v>
      </c>
      <c r="B35" t="s">
        <v>42</v>
      </c>
      <c r="C35" s="49">
        <v>204</v>
      </c>
      <c r="D35" s="49">
        <v>153</v>
      </c>
      <c r="E35" s="49">
        <v>255</v>
      </c>
      <c r="F35">
        <f t="shared" si="0"/>
        <v>16751052</v>
      </c>
      <c r="G35" s="36"/>
      <c r="I35" t="s">
        <v>95</v>
      </c>
      <c r="J35">
        <f>RGBvalue(153,153,255)</f>
        <v>16751001</v>
      </c>
      <c r="K35" t="b">
        <f t="shared" si="1"/>
        <v>0</v>
      </c>
    </row>
    <row r="36" spans="1:11" x14ac:dyDescent="0.25">
      <c r="A36">
        <v>37</v>
      </c>
      <c r="B36" t="s">
        <v>43</v>
      </c>
      <c r="C36" s="49">
        <v>51</v>
      </c>
      <c r="D36" s="49">
        <v>51</v>
      </c>
      <c r="E36" s="49">
        <v>51</v>
      </c>
      <c r="F36">
        <f t="shared" si="0"/>
        <v>3355443</v>
      </c>
      <c r="G36" s="37"/>
      <c r="I36" t="s">
        <v>96</v>
      </c>
      <c r="J36">
        <f>RGBvalue(51,51,51)</f>
        <v>3355443</v>
      </c>
      <c r="K36" t="b">
        <f t="shared" si="1"/>
        <v>1</v>
      </c>
    </row>
    <row r="37" spans="1:11" x14ac:dyDescent="0.25">
      <c r="A37">
        <v>38</v>
      </c>
      <c r="B37" t="s">
        <v>11</v>
      </c>
      <c r="C37" s="49">
        <v>102</v>
      </c>
      <c r="D37" s="49">
        <v>102</v>
      </c>
      <c r="E37" s="49">
        <v>102</v>
      </c>
      <c r="F37">
        <f t="shared" si="0"/>
        <v>6710886</v>
      </c>
      <c r="G37" s="38"/>
      <c r="I37" t="s">
        <v>97</v>
      </c>
      <c r="J37">
        <f>RGBvalue(128,128,128)</f>
        <v>8421504</v>
      </c>
      <c r="K37" t="b">
        <f t="shared" si="1"/>
        <v>0</v>
      </c>
    </row>
    <row r="38" spans="1:11" x14ac:dyDescent="0.25">
      <c r="A38">
        <v>39</v>
      </c>
      <c r="B38" t="s">
        <v>44</v>
      </c>
      <c r="C38" s="49">
        <v>153</v>
      </c>
      <c r="D38" s="49">
        <v>153</v>
      </c>
      <c r="E38" s="49">
        <v>153</v>
      </c>
      <c r="F38">
        <f t="shared" si="0"/>
        <v>10066329</v>
      </c>
      <c r="G38" s="39"/>
      <c r="I38" t="s">
        <v>98</v>
      </c>
      <c r="J38">
        <f>RGBvalue(150,150,150)</f>
        <v>9868950</v>
      </c>
      <c r="K38" t="b">
        <f t="shared" si="1"/>
        <v>0</v>
      </c>
    </row>
    <row r="39" spans="1:11" x14ac:dyDescent="0.25">
      <c r="A39">
        <v>40</v>
      </c>
      <c r="B39" t="s">
        <v>45</v>
      </c>
      <c r="C39" s="49">
        <v>204</v>
      </c>
      <c r="D39" s="49">
        <v>204</v>
      </c>
      <c r="E39" s="49">
        <v>204</v>
      </c>
      <c r="F39">
        <f t="shared" si="0"/>
        <v>13421772</v>
      </c>
      <c r="G39" s="40"/>
      <c r="I39" t="s">
        <v>99</v>
      </c>
      <c r="J39">
        <f>RGBvalue(192,192,192)</f>
        <v>12632256</v>
      </c>
      <c r="K39" t="b">
        <f t="shared" si="1"/>
        <v>0</v>
      </c>
    </row>
    <row r="40" spans="1:11" x14ac:dyDescent="0.25">
      <c r="A40">
        <v>41</v>
      </c>
      <c r="B40" t="s">
        <v>4</v>
      </c>
      <c r="C40" s="49">
        <v>255</v>
      </c>
      <c r="D40" s="49">
        <v>255</v>
      </c>
      <c r="E40" s="49">
        <v>255</v>
      </c>
      <c r="F40">
        <f t="shared" si="0"/>
        <v>16777215</v>
      </c>
      <c r="G40" s="41"/>
      <c r="I40" t="s">
        <v>100</v>
      </c>
      <c r="J40">
        <f>RGBvalue(255,255,255)</f>
        <v>16777215</v>
      </c>
      <c r="K40" t="b">
        <f t="shared" si="1"/>
        <v>1</v>
      </c>
    </row>
    <row r="41" spans="1:11" x14ac:dyDescent="0.25">
      <c r="A41">
        <v>42</v>
      </c>
    </row>
    <row r="42" spans="1:11" x14ac:dyDescent="0.25">
      <c r="A42">
        <v>43</v>
      </c>
      <c r="B42" t="s">
        <v>10</v>
      </c>
      <c r="C42" s="49">
        <v>51</v>
      </c>
      <c r="D42" s="49">
        <v>204</v>
      </c>
      <c r="E42" s="49">
        <v>51</v>
      </c>
      <c r="F42">
        <f t="shared" ref="F42:F52" si="2">C42+256*D42+256*256*E42</f>
        <v>3394611</v>
      </c>
      <c r="G42" s="20"/>
      <c r="I42" t="s">
        <v>79</v>
      </c>
      <c r="J42">
        <f>RGBvalue(51,153,102)</f>
        <v>6723891</v>
      </c>
      <c r="K42" t="b">
        <f t="shared" ref="K42:K52" si="3">(F42=J42)</f>
        <v>0</v>
      </c>
    </row>
    <row r="43" spans="1:11" x14ac:dyDescent="0.25">
      <c r="A43">
        <v>44</v>
      </c>
      <c r="B43" t="s">
        <v>1</v>
      </c>
      <c r="C43" s="49">
        <v>153</v>
      </c>
      <c r="D43" s="49">
        <v>204</v>
      </c>
      <c r="E43" s="49">
        <v>255</v>
      </c>
      <c r="F43">
        <f t="shared" si="2"/>
        <v>16764057</v>
      </c>
      <c r="G43" s="31"/>
      <c r="I43" t="s">
        <v>90</v>
      </c>
      <c r="J43">
        <f>RGBvalue(153,204,255)</f>
        <v>16764057</v>
      </c>
      <c r="K43" t="b">
        <f t="shared" si="3"/>
        <v>1</v>
      </c>
    </row>
    <row r="44" spans="1:11" x14ac:dyDescent="0.25">
      <c r="A44">
        <v>45</v>
      </c>
      <c r="B44" t="s">
        <v>46</v>
      </c>
      <c r="C44" s="49">
        <v>153</v>
      </c>
      <c r="D44" s="49">
        <v>153</v>
      </c>
      <c r="E44" s="49">
        <v>153</v>
      </c>
      <c r="F44">
        <f t="shared" si="2"/>
        <v>10066329</v>
      </c>
      <c r="G44" s="33"/>
      <c r="I44" t="s">
        <v>92</v>
      </c>
      <c r="J44">
        <f>RGBvalue(102,102,153)</f>
        <v>10053222</v>
      </c>
      <c r="K44" t="b">
        <f t="shared" si="3"/>
        <v>0</v>
      </c>
    </row>
    <row r="45" spans="1:11" x14ac:dyDescent="0.25">
      <c r="A45">
        <v>46</v>
      </c>
      <c r="B45" t="s">
        <v>47</v>
      </c>
      <c r="C45" s="49">
        <v>255</v>
      </c>
      <c r="D45" s="49">
        <v>255</v>
      </c>
      <c r="E45" s="49">
        <v>102</v>
      </c>
      <c r="F45">
        <f t="shared" si="2"/>
        <v>6750207</v>
      </c>
      <c r="G45" s="18"/>
      <c r="I45" t="s">
        <v>77</v>
      </c>
      <c r="J45">
        <f>RGBvalue(255,255,153)</f>
        <v>10092543</v>
      </c>
      <c r="K45" t="b">
        <f t="shared" si="3"/>
        <v>0</v>
      </c>
    </row>
    <row r="46" spans="1:11" x14ac:dyDescent="0.25">
      <c r="A46">
        <v>47</v>
      </c>
      <c r="B46" t="s">
        <v>48</v>
      </c>
      <c r="C46" s="49">
        <v>255</v>
      </c>
      <c r="D46" s="49">
        <v>128</v>
      </c>
      <c r="E46" s="49">
        <v>128</v>
      </c>
      <c r="F46">
        <f t="shared" si="2"/>
        <v>8421631</v>
      </c>
      <c r="G46" s="9"/>
      <c r="I46" t="s">
        <v>101</v>
      </c>
      <c r="J46">
        <f>RGBvalue(255,128,128)</f>
        <v>8421631</v>
      </c>
      <c r="K46" t="b">
        <f t="shared" si="3"/>
        <v>1</v>
      </c>
    </row>
    <row r="47" spans="1:11" x14ac:dyDescent="0.25">
      <c r="A47">
        <v>48</v>
      </c>
      <c r="B47" t="s">
        <v>49</v>
      </c>
      <c r="C47" s="49">
        <v>255</v>
      </c>
      <c r="D47" s="49">
        <v>204</v>
      </c>
      <c r="E47" s="49">
        <v>0</v>
      </c>
      <c r="F47">
        <f t="shared" si="2"/>
        <v>52479</v>
      </c>
      <c r="G47" s="14"/>
      <c r="I47" t="s">
        <v>72</v>
      </c>
      <c r="J47">
        <f>RGBvalue(255,204,0)</f>
        <v>52479</v>
      </c>
      <c r="K47" t="b">
        <f t="shared" si="3"/>
        <v>1</v>
      </c>
    </row>
    <row r="48" spans="1:11" x14ac:dyDescent="0.25">
      <c r="A48">
        <v>49</v>
      </c>
      <c r="B48" t="s">
        <v>50</v>
      </c>
      <c r="C48" s="49">
        <v>255</v>
      </c>
      <c r="D48" s="49">
        <v>255</v>
      </c>
      <c r="E48" s="49">
        <v>102</v>
      </c>
      <c r="F48">
        <f t="shared" si="2"/>
        <v>6750207</v>
      </c>
      <c r="G48" s="18"/>
      <c r="I48" t="s">
        <v>77</v>
      </c>
      <c r="J48">
        <f>RGBvalue(255,255,153)</f>
        <v>10092543</v>
      </c>
      <c r="K48" t="b">
        <f t="shared" si="3"/>
        <v>0</v>
      </c>
    </row>
    <row r="49" spans="1:11" x14ac:dyDescent="0.25">
      <c r="A49">
        <v>50</v>
      </c>
      <c r="B49" t="s">
        <v>51</v>
      </c>
      <c r="C49" s="49">
        <v>153</v>
      </c>
      <c r="D49" s="49">
        <v>255</v>
      </c>
      <c r="E49" s="49">
        <v>51</v>
      </c>
      <c r="F49">
        <f t="shared" si="2"/>
        <v>3407769</v>
      </c>
      <c r="G49" s="6"/>
      <c r="I49" t="s">
        <v>75</v>
      </c>
      <c r="J49">
        <f>RGBvalue(153,204,0)</f>
        <v>52377</v>
      </c>
      <c r="K49" t="b">
        <f t="shared" si="3"/>
        <v>0</v>
      </c>
    </row>
    <row r="50" spans="1:11" x14ac:dyDescent="0.25">
      <c r="A50">
        <v>51</v>
      </c>
      <c r="B50" t="s">
        <v>65</v>
      </c>
      <c r="C50" s="49">
        <v>255</v>
      </c>
      <c r="D50" s="49">
        <v>128</v>
      </c>
      <c r="E50" s="49">
        <v>128</v>
      </c>
      <c r="F50">
        <f t="shared" si="2"/>
        <v>8421631</v>
      </c>
      <c r="G50" s="9"/>
      <c r="I50" t="s">
        <v>101</v>
      </c>
      <c r="J50">
        <f>RGBvalue(255,128,128)</f>
        <v>8421631</v>
      </c>
      <c r="K50" t="b">
        <f t="shared" si="3"/>
        <v>1</v>
      </c>
    </row>
    <row r="51" spans="1:11" x14ac:dyDescent="0.25">
      <c r="A51">
        <v>52</v>
      </c>
      <c r="B51" t="s">
        <v>66</v>
      </c>
      <c r="C51" s="49">
        <v>51</v>
      </c>
      <c r="D51" s="49">
        <v>102</v>
      </c>
      <c r="E51" s="49">
        <v>255</v>
      </c>
      <c r="F51">
        <f t="shared" si="2"/>
        <v>16737843</v>
      </c>
      <c r="G51" s="28"/>
      <c r="I51" t="s">
        <v>94</v>
      </c>
      <c r="J51">
        <f>RGBvalue(153,51,102)</f>
        <v>6697881</v>
      </c>
      <c r="K51" t="b">
        <f t="shared" si="3"/>
        <v>0</v>
      </c>
    </row>
    <row r="52" spans="1:11" x14ac:dyDescent="0.25">
      <c r="A52">
        <v>53</v>
      </c>
      <c r="B52" t="s">
        <v>67</v>
      </c>
      <c r="C52" s="49">
        <v>204</v>
      </c>
      <c r="D52" s="49">
        <v>153</v>
      </c>
      <c r="E52" s="49">
        <v>255</v>
      </c>
      <c r="F52">
        <f t="shared" si="2"/>
        <v>16751052</v>
      </c>
      <c r="G52" s="36"/>
      <c r="I52" t="s">
        <v>95</v>
      </c>
      <c r="J52">
        <f>RGBvalue(153,153,255)</f>
        <v>16751001</v>
      </c>
      <c r="K52" t="b">
        <f t="shared" si="3"/>
        <v>0</v>
      </c>
    </row>
    <row r="53" spans="1:11" x14ac:dyDescent="0.25">
      <c r="A53">
        <v>54</v>
      </c>
    </row>
    <row r="54" spans="1:11" x14ac:dyDescent="0.25">
      <c r="A54">
        <v>55</v>
      </c>
      <c r="B54" t="s">
        <v>7</v>
      </c>
      <c r="C54" s="49">
        <v>204</v>
      </c>
      <c r="D54" s="49">
        <v>153</v>
      </c>
      <c r="E54" s="49">
        <v>0</v>
      </c>
      <c r="F54">
        <f t="shared" ref="F54:F64" si="4">C54+256*D54+256*256*E54</f>
        <v>39372</v>
      </c>
      <c r="G54" s="13"/>
      <c r="I54" t="s">
        <v>71</v>
      </c>
      <c r="J54">
        <f>RGBvalue(255,153,0)</f>
        <v>39423</v>
      </c>
      <c r="K54" t="b">
        <f t="shared" ref="K54:K64" si="5">(F54=J54)</f>
        <v>0</v>
      </c>
    </row>
    <row r="55" spans="1:11" x14ac:dyDescent="0.25">
      <c r="A55">
        <v>56</v>
      </c>
      <c r="B55" t="s">
        <v>52</v>
      </c>
      <c r="C55" s="49">
        <v>255</v>
      </c>
      <c r="D55" s="49">
        <v>0</v>
      </c>
      <c r="E55" s="49">
        <v>0</v>
      </c>
      <c r="F55">
        <f t="shared" si="4"/>
        <v>255</v>
      </c>
      <c r="G55" s="8"/>
      <c r="I55" t="s">
        <v>102</v>
      </c>
      <c r="J55">
        <f>RGBvalue(255,0,0)</f>
        <v>255</v>
      </c>
      <c r="K55" t="b">
        <f t="shared" si="5"/>
        <v>1</v>
      </c>
    </row>
    <row r="56" spans="1:11" x14ac:dyDescent="0.25">
      <c r="A56">
        <v>57</v>
      </c>
      <c r="B56" t="s">
        <v>53</v>
      </c>
      <c r="C56" s="49">
        <v>128</v>
      </c>
      <c r="D56" s="49">
        <v>153</v>
      </c>
      <c r="E56" s="49">
        <v>0</v>
      </c>
      <c r="F56">
        <f t="shared" si="4"/>
        <v>39296</v>
      </c>
      <c r="G56" s="42"/>
      <c r="I56" t="s">
        <v>103</v>
      </c>
      <c r="J56">
        <f>RGBvalue(128,128,0)</f>
        <v>32896</v>
      </c>
      <c r="K56" t="b">
        <f t="shared" si="5"/>
        <v>0</v>
      </c>
    </row>
    <row r="57" spans="1:11" x14ac:dyDescent="0.25">
      <c r="A57">
        <v>58</v>
      </c>
      <c r="B57" t="s">
        <v>54</v>
      </c>
      <c r="C57" s="49">
        <v>153</v>
      </c>
      <c r="D57" s="49">
        <v>204</v>
      </c>
      <c r="E57" s="49">
        <v>0</v>
      </c>
      <c r="F57">
        <f t="shared" si="4"/>
        <v>52377</v>
      </c>
      <c r="G57" s="6"/>
      <c r="I57" t="s">
        <v>75</v>
      </c>
      <c r="J57">
        <f>RGBvalue(153,204,0)</f>
        <v>52377</v>
      </c>
      <c r="K57" t="b">
        <f t="shared" si="5"/>
        <v>1</v>
      </c>
    </row>
    <row r="58" spans="1:11" x14ac:dyDescent="0.25">
      <c r="A58">
        <v>59</v>
      </c>
      <c r="B58" t="s">
        <v>55</v>
      </c>
      <c r="C58" s="49">
        <v>204</v>
      </c>
      <c r="D58" s="49">
        <v>204</v>
      </c>
      <c r="E58" s="49">
        <v>0</v>
      </c>
      <c r="F58">
        <f t="shared" si="4"/>
        <v>52428</v>
      </c>
      <c r="G58" s="6"/>
      <c r="I58" t="s">
        <v>75</v>
      </c>
      <c r="J58">
        <f>RGBvalue(153,204,0)</f>
        <v>52377</v>
      </c>
      <c r="K58" t="b">
        <f t="shared" si="5"/>
        <v>0</v>
      </c>
    </row>
    <row r="59" spans="1:11" x14ac:dyDescent="0.25">
      <c r="A59">
        <v>60</v>
      </c>
      <c r="B59" t="s">
        <v>8</v>
      </c>
      <c r="C59" s="49">
        <v>153</v>
      </c>
      <c r="D59" s="49">
        <v>153</v>
      </c>
      <c r="E59" s="49">
        <v>153</v>
      </c>
      <c r="F59">
        <f t="shared" si="4"/>
        <v>10066329</v>
      </c>
      <c r="G59" s="39"/>
      <c r="I59" t="s">
        <v>98</v>
      </c>
      <c r="J59">
        <f>RGBvalue(150,150,150)</f>
        <v>9868950</v>
      </c>
      <c r="K59" t="b">
        <f t="shared" si="5"/>
        <v>0</v>
      </c>
    </row>
    <row r="60" spans="1:11" x14ac:dyDescent="0.25">
      <c r="A60">
        <v>61</v>
      </c>
      <c r="B60" t="s">
        <v>56</v>
      </c>
      <c r="C60" s="49">
        <v>102</v>
      </c>
      <c r="D60" s="49">
        <v>102</v>
      </c>
      <c r="E60" s="49">
        <v>102</v>
      </c>
      <c r="F60">
        <f t="shared" si="4"/>
        <v>6710886</v>
      </c>
      <c r="G60" s="38"/>
      <c r="I60" t="s">
        <v>97</v>
      </c>
      <c r="J60">
        <f>RGBvalue(128,128,128)</f>
        <v>8421504</v>
      </c>
      <c r="K60" t="b">
        <f t="shared" si="5"/>
        <v>0</v>
      </c>
    </row>
    <row r="61" spans="1:11" x14ac:dyDescent="0.25">
      <c r="A61">
        <v>62</v>
      </c>
      <c r="B61" t="s">
        <v>9</v>
      </c>
      <c r="C61" s="49">
        <v>153</v>
      </c>
      <c r="D61" s="49">
        <v>255</v>
      </c>
      <c r="E61" s="49">
        <v>102</v>
      </c>
      <c r="F61">
        <f t="shared" si="4"/>
        <v>6750105</v>
      </c>
      <c r="G61" s="22"/>
      <c r="I61" t="s">
        <v>81</v>
      </c>
      <c r="J61">
        <f>RGBvalue(204,255,204)</f>
        <v>13434828</v>
      </c>
      <c r="K61" t="b">
        <f t="shared" si="5"/>
        <v>0</v>
      </c>
    </row>
    <row r="62" spans="1:11" x14ac:dyDescent="0.25">
      <c r="A62">
        <v>63</v>
      </c>
      <c r="B62" t="s">
        <v>57</v>
      </c>
      <c r="C62" s="49">
        <v>102</v>
      </c>
      <c r="D62" s="49">
        <v>153</v>
      </c>
      <c r="E62" s="49">
        <v>255</v>
      </c>
      <c r="F62">
        <f t="shared" si="4"/>
        <v>16750950</v>
      </c>
      <c r="G62" s="36"/>
      <c r="I62" t="s">
        <v>95</v>
      </c>
      <c r="J62">
        <f>RGBvalue(153,153,255)</f>
        <v>16751001</v>
      </c>
      <c r="K62" t="b">
        <f t="shared" si="5"/>
        <v>0</v>
      </c>
    </row>
    <row r="63" spans="1:11" x14ac:dyDescent="0.25">
      <c r="A63">
        <v>64</v>
      </c>
      <c r="B63" t="s">
        <v>58</v>
      </c>
      <c r="C63" s="49">
        <v>0</v>
      </c>
      <c r="D63" s="49">
        <v>128</v>
      </c>
      <c r="E63" s="49">
        <v>128</v>
      </c>
      <c r="F63">
        <f t="shared" si="4"/>
        <v>8421376</v>
      </c>
      <c r="G63" s="23"/>
      <c r="I63" t="s">
        <v>82</v>
      </c>
      <c r="J63">
        <f>RGBvalue(0,128,128)</f>
        <v>8421376</v>
      </c>
      <c r="K63" t="b">
        <f t="shared" si="5"/>
        <v>1</v>
      </c>
    </row>
    <row r="64" spans="1:11" x14ac:dyDescent="0.25">
      <c r="A64">
        <v>65</v>
      </c>
      <c r="B64" t="s">
        <v>59</v>
      </c>
      <c r="C64" s="49">
        <v>51</v>
      </c>
      <c r="D64" s="49">
        <v>204</v>
      </c>
      <c r="E64" s="49">
        <v>204</v>
      </c>
      <c r="F64">
        <f t="shared" si="4"/>
        <v>13421619</v>
      </c>
      <c r="G64" s="24"/>
      <c r="I64" t="s">
        <v>83</v>
      </c>
      <c r="J64">
        <f>RGBvalue(51,204,204)</f>
        <v>13421619</v>
      </c>
      <c r="K64" t="b">
        <f t="shared" si="5"/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8929" r:id="rId4" name="Button 1">
              <controlPr defaultSize="0" print="0" autoFill="0" autoPict="0" macro="[1]!ToSample">
                <anchor>
                  <from>
                    <xdr:col>12</xdr:col>
                    <xdr:colOff>22860</xdr:colOff>
                    <xdr:row>5</xdr:row>
                    <xdr:rowOff>129540</xdr:rowOff>
                  </from>
                  <to>
                    <xdr:col>13</xdr:col>
                    <xdr:colOff>457200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30" r:id="rId5" name="Button 2">
              <controlPr defaultSize="0" print="0" autoFill="0" autoPict="0" macro="[1]!FromSample">
                <anchor>
                  <from>
                    <xdr:col>12</xdr:col>
                    <xdr:colOff>22860</xdr:colOff>
                    <xdr:row>8</xdr:row>
                    <xdr:rowOff>137160</xdr:rowOff>
                  </from>
                  <to>
                    <xdr:col>13</xdr:col>
                    <xdr:colOff>457200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28"/>
  <sheetViews>
    <sheetView workbookViewId="0">
      <selection activeCell="M13" sqref="M13"/>
    </sheetView>
  </sheetViews>
  <sheetFormatPr defaultColWidth="9.109375" defaultRowHeight="15" customHeight="1" x14ac:dyDescent="0.25"/>
  <cols>
    <col min="1" max="1" width="13.6640625" style="1" bestFit="1" customWidth="1"/>
    <col min="2" max="2" width="15.6640625" style="1" bestFit="1" customWidth="1"/>
    <col min="3" max="3" width="5.6640625" style="1" bestFit="1" customWidth="1"/>
    <col min="4" max="4" width="7.5546875" style="1" bestFit="1" customWidth="1"/>
    <col min="5" max="5" width="5.5546875" style="1" bestFit="1" customWidth="1"/>
    <col min="6" max="6" width="4" style="1" bestFit="1" customWidth="1"/>
    <col min="7" max="7" width="4.44140625" style="1" bestFit="1" customWidth="1"/>
    <col min="8" max="8" width="14" style="4" bestFit="1" customWidth="1"/>
    <col min="9" max="9" width="7.44140625" style="4" bestFit="1" customWidth="1"/>
    <col min="10" max="10" width="6.109375" style="4" bestFit="1" customWidth="1"/>
    <col min="11" max="11" width="4" style="1" bestFit="1" customWidth="1"/>
    <col min="12" max="16384" width="9.109375" style="1"/>
  </cols>
  <sheetData>
    <row r="1" spans="1:11" ht="15" customHeight="1" x14ac:dyDescent="0.25">
      <c r="A1" s="2" t="s">
        <v>107</v>
      </c>
      <c r="B1" s="2" t="s">
        <v>121</v>
      </c>
      <c r="C1" s="2" t="s">
        <v>215</v>
      </c>
      <c r="D1" s="2" t="s">
        <v>216</v>
      </c>
      <c r="E1" s="2" t="s">
        <v>217</v>
      </c>
      <c r="F1" s="2" t="s">
        <v>218</v>
      </c>
      <c r="G1" s="2" t="s">
        <v>233</v>
      </c>
      <c r="H1" s="3" t="s">
        <v>149</v>
      </c>
      <c r="I1" s="3" t="s">
        <v>68</v>
      </c>
      <c r="J1" s="3" t="s">
        <v>219</v>
      </c>
    </row>
    <row r="2" spans="1:11" ht="15" customHeight="1" x14ac:dyDescent="0.25">
      <c r="A2" t="s">
        <v>208</v>
      </c>
      <c r="B2" s="1" t="s">
        <v>235</v>
      </c>
      <c r="C2" s="1">
        <v>16</v>
      </c>
      <c r="D2" s="1">
        <v>8</v>
      </c>
      <c r="E2" s="1">
        <v>10</v>
      </c>
      <c r="F2" s="1">
        <v>6</v>
      </c>
      <c r="G2" s="1" t="s">
        <v>234</v>
      </c>
      <c r="H2" s="4" t="s">
        <v>223</v>
      </c>
      <c r="I2" s="4" t="s">
        <v>221</v>
      </c>
      <c r="J2" s="4" t="s">
        <v>222</v>
      </c>
    </row>
    <row r="3" spans="1:11" ht="15" customHeight="1" x14ac:dyDescent="0.25">
      <c r="A3" t="s">
        <v>208</v>
      </c>
      <c r="B3" s="1" t="s">
        <v>235</v>
      </c>
      <c r="C3" s="1">
        <v>16</v>
      </c>
      <c r="D3" s="1">
        <v>8</v>
      </c>
      <c r="E3" s="1">
        <v>10</v>
      </c>
      <c r="F3" s="1">
        <v>6</v>
      </c>
      <c r="G3" s="1" t="s">
        <v>234</v>
      </c>
      <c r="H3" s="4" t="s">
        <v>223</v>
      </c>
      <c r="I3" s="4" t="s">
        <v>221</v>
      </c>
      <c r="J3" s="4" t="s">
        <v>224</v>
      </c>
    </row>
    <row r="4" spans="1:11" ht="15" customHeight="1" x14ac:dyDescent="0.25">
      <c r="A4" t="s">
        <v>208</v>
      </c>
      <c r="B4" s="1" t="s">
        <v>235</v>
      </c>
      <c r="C4" s="1">
        <v>16</v>
      </c>
      <c r="D4" s="1">
        <v>8</v>
      </c>
      <c r="E4" s="1">
        <v>10</v>
      </c>
      <c r="F4" s="1">
        <v>6</v>
      </c>
      <c r="G4" s="1" t="s">
        <v>234</v>
      </c>
      <c r="H4" s="4" t="s">
        <v>223</v>
      </c>
      <c r="I4" s="4" t="s">
        <v>221</v>
      </c>
      <c r="J4" s="4" t="s">
        <v>225</v>
      </c>
    </row>
    <row r="5" spans="1:11" ht="15" customHeight="1" x14ac:dyDescent="0.25">
      <c r="A5" t="s">
        <v>208</v>
      </c>
      <c r="B5" s="1" t="s">
        <v>235</v>
      </c>
      <c r="C5" s="1">
        <v>16</v>
      </c>
      <c r="D5" s="1">
        <v>8</v>
      </c>
      <c r="E5" s="1">
        <v>10</v>
      </c>
      <c r="F5" s="1">
        <v>6</v>
      </c>
      <c r="G5" s="1" t="s">
        <v>234</v>
      </c>
      <c r="H5" s="4" t="s">
        <v>223</v>
      </c>
      <c r="I5" s="4" t="s">
        <v>221</v>
      </c>
      <c r="J5" s="4" t="s">
        <v>226</v>
      </c>
    </row>
    <row r="6" spans="1:11" ht="15" customHeight="1" x14ac:dyDescent="0.25">
      <c r="A6" t="s">
        <v>208</v>
      </c>
      <c r="B6" s="1" t="s">
        <v>235</v>
      </c>
      <c r="C6" s="1">
        <v>16</v>
      </c>
      <c r="D6" s="1">
        <v>8</v>
      </c>
      <c r="E6" s="1">
        <v>10</v>
      </c>
      <c r="F6" s="1">
        <v>6</v>
      </c>
      <c r="G6" s="1" t="s">
        <v>234</v>
      </c>
      <c r="H6" s="4" t="s">
        <v>223</v>
      </c>
      <c r="I6" s="4" t="s">
        <v>221</v>
      </c>
      <c r="J6" s="4" t="s">
        <v>227</v>
      </c>
    </row>
    <row r="7" spans="1:11" ht="15" customHeight="1" x14ac:dyDescent="0.25">
      <c r="A7" t="s">
        <v>208</v>
      </c>
      <c r="B7" s="1" t="s">
        <v>235</v>
      </c>
      <c r="C7" s="1">
        <v>16</v>
      </c>
      <c r="D7" s="1">
        <v>8</v>
      </c>
      <c r="E7" s="1">
        <v>10</v>
      </c>
      <c r="F7" s="1">
        <v>6</v>
      </c>
      <c r="G7" s="1" t="s">
        <v>234</v>
      </c>
      <c r="H7" s="4" t="s">
        <v>223</v>
      </c>
      <c r="I7" s="4" t="s">
        <v>221</v>
      </c>
      <c r="J7" s="4" t="s">
        <v>228</v>
      </c>
    </row>
    <row r="8" spans="1:11" ht="15" customHeight="1" x14ac:dyDescent="0.25">
      <c r="A8" t="s">
        <v>208</v>
      </c>
      <c r="B8" s="1" t="s">
        <v>235</v>
      </c>
      <c r="C8" s="1">
        <v>16</v>
      </c>
      <c r="D8" s="1">
        <v>8</v>
      </c>
      <c r="E8" s="1">
        <v>10</v>
      </c>
      <c r="F8" s="1">
        <v>6</v>
      </c>
      <c r="G8" s="1" t="s">
        <v>234</v>
      </c>
      <c r="H8" s="4" t="s">
        <v>223</v>
      </c>
      <c r="I8" s="4" t="s">
        <v>221</v>
      </c>
      <c r="J8" s="4" t="s">
        <v>229</v>
      </c>
    </row>
    <row r="9" spans="1:11" ht="15" customHeight="1" x14ac:dyDescent="0.25">
      <c r="A9" t="s">
        <v>208</v>
      </c>
      <c r="B9" s="1" t="s">
        <v>235</v>
      </c>
      <c r="C9" s="1">
        <v>16</v>
      </c>
      <c r="D9" s="1">
        <v>8</v>
      </c>
      <c r="E9" s="1">
        <v>10</v>
      </c>
      <c r="F9" s="1">
        <v>6</v>
      </c>
      <c r="G9" s="1" t="s">
        <v>234</v>
      </c>
      <c r="H9" s="4" t="s">
        <v>223</v>
      </c>
      <c r="I9" s="4" t="s">
        <v>221</v>
      </c>
      <c r="J9" s="4" t="s">
        <v>230</v>
      </c>
    </row>
    <row r="10" spans="1:11" ht="15" customHeight="1" x14ac:dyDescent="0.25">
      <c r="A10" t="s">
        <v>208</v>
      </c>
      <c r="B10" s="1" t="s">
        <v>235</v>
      </c>
      <c r="C10" s="1">
        <v>16</v>
      </c>
      <c r="D10" s="1">
        <v>8</v>
      </c>
      <c r="E10" s="1">
        <v>10</v>
      </c>
      <c r="F10" s="1">
        <v>6</v>
      </c>
      <c r="G10" s="1" t="s">
        <v>234</v>
      </c>
      <c r="H10" s="4" t="s">
        <v>223</v>
      </c>
      <c r="I10" s="4" t="s">
        <v>221</v>
      </c>
      <c r="J10" s="4" t="s">
        <v>231</v>
      </c>
    </row>
    <row r="11" spans="1:11" ht="15" customHeight="1" x14ac:dyDescent="0.25">
      <c r="A11" t="s">
        <v>208</v>
      </c>
      <c r="B11" s="1" t="s">
        <v>235</v>
      </c>
      <c r="C11" s="1">
        <v>16</v>
      </c>
      <c r="D11" s="1">
        <v>8</v>
      </c>
      <c r="E11" s="1">
        <v>10</v>
      </c>
      <c r="F11" s="1">
        <v>6</v>
      </c>
      <c r="G11" s="1" t="s">
        <v>234</v>
      </c>
      <c r="H11" s="4" t="s">
        <v>223</v>
      </c>
      <c r="I11" s="4" t="s">
        <v>221</v>
      </c>
      <c r="J11" s="4" t="s">
        <v>232</v>
      </c>
    </row>
    <row r="12" spans="1:11" ht="15" customHeight="1" x14ac:dyDescent="0.25">
      <c r="A12" s="2"/>
      <c r="B12" s="2"/>
      <c r="C12" s="2" t="s">
        <v>215</v>
      </c>
      <c r="D12" s="2" t="s">
        <v>216</v>
      </c>
      <c r="E12" s="2" t="s">
        <v>217</v>
      </c>
      <c r="F12" s="2" t="s">
        <v>218</v>
      </c>
      <c r="G12" s="2" t="s">
        <v>233</v>
      </c>
      <c r="H12" s="3" t="s">
        <v>144</v>
      </c>
      <c r="I12" s="3" t="s">
        <v>109</v>
      </c>
      <c r="J12" s="3" t="s">
        <v>68</v>
      </c>
      <c r="K12" s="3" t="s">
        <v>219</v>
      </c>
    </row>
    <row r="13" spans="1:11" ht="15" customHeight="1" x14ac:dyDescent="0.25">
      <c r="A13" s="1" t="s">
        <v>209</v>
      </c>
      <c r="B13" s="1" t="s">
        <v>236</v>
      </c>
      <c r="C13" s="1">
        <v>2</v>
      </c>
      <c r="D13" s="1">
        <v>3</v>
      </c>
      <c r="E13" s="1">
        <v>1</v>
      </c>
      <c r="F13" s="1">
        <v>1</v>
      </c>
      <c r="G13" s="1" t="s">
        <v>180</v>
      </c>
      <c r="H13" s="4" t="s">
        <v>239</v>
      </c>
      <c r="I13" s="4" t="s">
        <v>240</v>
      </c>
      <c r="J13" s="4" t="s">
        <v>237</v>
      </c>
      <c r="K13" s="4" t="s">
        <v>238</v>
      </c>
    </row>
    <row r="14" spans="1:11" ht="15" customHeight="1" x14ac:dyDescent="0.25">
      <c r="A14" s="1" t="s">
        <v>209</v>
      </c>
      <c r="B14" s="1" t="s">
        <v>236</v>
      </c>
      <c r="C14" s="1">
        <v>2</v>
      </c>
      <c r="D14" s="1">
        <v>3</v>
      </c>
      <c r="E14" s="1">
        <v>1</v>
      </c>
      <c r="F14" s="1">
        <v>1</v>
      </c>
      <c r="G14" s="1" t="s">
        <v>180</v>
      </c>
      <c r="H14" s="4" t="s">
        <v>239</v>
      </c>
      <c r="I14" s="4" t="s">
        <v>240</v>
      </c>
      <c r="J14" s="4" t="s">
        <v>237</v>
      </c>
      <c r="K14" s="4" t="s">
        <v>241</v>
      </c>
    </row>
    <row r="15" spans="1:11" ht="15" customHeight="1" x14ac:dyDescent="0.25">
      <c r="A15" s="2"/>
      <c r="B15" s="2"/>
      <c r="C15" s="2" t="s">
        <v>215</v>
      </c>
      <c r="D15" s="2" t="s">
        <v>216</v>
      </c>
      <c r="E15" s="2" t="s">
        <v>217</v>
      </c>
      <c r="F15" s="2" t="s">
        <v>218</v>
      </c>
      <c r="G15" s="2" t="s">
        <v>233</v>
      </c>
      <c r="H15" s="3" t="s">
        <v>149</v>
      </c>
      <c r="I15" s="3" t="s">
        <v>68</v>
      </c>
      <c r="J15" s="3" t="s">
        <v>219</v>
      </c>
    </row>
    <row r="16" spans="1:11" ht="15" customHeight="1" x14ac:dyDescent="0.25">
      <c r="A16" t="s">
        <v>208</v>
      </c>
      <c r="B16" s="1" t="s">
        <v>242</v>
      </c>
      <c r="C16" s="1">
        <v>16</v>
      </c>
      <c r="D16" s="1">
        <v>8</v>
      </c>
      <c r="E16" s="1">
        <v>10</v>
      </c>
      <c r="F16" s="1">
        <v>6</v>
      </c>
      <c r="G16" s="1" t="s">
        <v>234</v>
      </c>
      <c r="H16" s="4" t="s">
        <v>252</v>
      </c>
      <c r="I16" s="4" t="s">
        <v>253</v>
      </c>
      <c r="J16" s="4" t="s">
        <v>222</v>
      </c>
    </row>
    <row r="17" spans="1:11" ht="15" customHeight="1" x14ac:dyDescent="0.25">
      <c r="A17" t="s">
        <v>208</v>
      </c>
      <c r="B17" s="1" t="s">
        <v>242</v>
      </c>
      <c r="C17" s="1">
        <v>16</v>
      </c>
      <c r="D17" s="1">
        <v>8</v>
      </c>
      <c r="E17" s="1">
        <v>10</v>
      </c>
      <c r="F17" s="1">
        <v>6</v>
      </c>
      <c r="G17" s="1" t="s">
        <v>234</v>
      </c>
      <c r="H17" s="4" t="s">
        <v>252</v>
      </c>
      <c r="I17" s="4" t="s">
        <v>253</v>
      </c>
      <c r="J17" s="4" t="s">
        <v>224</v>
      </c>
    </row>
    <row r="18" spans="1:11" ht="15" customHeight="1" x14ac:dyDescent="0.25">
      <c r="A18" t="s">
        <v>208</v>
      </c>
      <c r="B18" s="1" t="s">
        <v>242</v>
      </c>
      <c r="C18" s="1">
        <v>16</v>
      </c>
      <c r="D18" s="1">
        <v>8</v>
      </c>
      <c r="E18" s="1">
        <v>10</v>
      </c>
      <c r="F18" s="1">
        <v>6</v>
      </c>
      <c r="G18" s="1" t="s">
        <v>234</v>
      </c>
      <c r="H18" s="4" t="s">
        <v>252</v>
      </c>
      <c r="I18" s="4" t="s">
        <v>253</v>
      </c>
      <c r="J18" s="4" t="s">
        <v>225</v>
      </c>
    </row>
    <row r="19" spans="1:11" ht="15" customHeight="1" x14ac:dyDescent="0.25">
      <c r="A19" t="s">
        <v>208</v>
      </c>
      <c r="B19" s="1" t="s">
        <v>242</v>
      </c>
      <c r="C19" s="1">
        <v>16</v>
      </c>
      <c r="D19" s="1">
        <v>8</v>
      </c>
      <c r="E19" s="1">
        <v>10</v>
      </c>
      <c r="F19" s="1">
        <v>6</v>
      </c>
      <c r="G19" s="1" t="s">
        <v>234</v>
      </c>
      <c r="H19" s="4" t="s">
        <v>252</v>
      </c>
      <c r="I19" s="4" t="s">
        <v>253</v>
      </c>
      <c r="J19" s="4" t="s">
        <v>226</v>
      </c>
    </row>
    <row r="20" spans="1:11" ht="15" customHeight="1" x14ac:dyDescent="0.25">
      <c r="A20" t="s">
        <v>208</v>
      </c>
      <c r="B20" s="1" t="s">
        <v>242</v>
      </c>
      <c r="C20" s="1">
        <v>16</v>
      </c>
      <c r="D20" s="1">
        <v>8</v>
      </c>
      <c r="E20" s="1">
        <v>10</v>
      </c>
      <c r="F20" s="1">
        <v>6</v>
      </c>
      <c r="G20" s="1" t="s">
        <v>234</v>
      </c>
      <c r="H20" s="4" t="s">
        <v>252</v>
      </c>
      <c r="I20" s="4" t="s">
        <v>253</v>
      </c>
      <c r="J20" s="4" t="s">
        <v>227</v>
      </c>
    </row>
    <row r="21" spans="1:11" ht="15" customHeight="1" x14ac:dyDescent="0.25">
      <c r="A21" t="s">
        <v>208</v>
      </c>
      <c r="B21" s="1" t="s">
        <v>242</v>
      </c>
      <c r="C21" s="1">
        <v>16</v>
      </c>
      <c r="D21" s="1">
        <v>8</v>
      </c>
      <c r="E21" s="1">
        <v>10</v>
      </c>
      <c r="F21" s="1">
        <v>6</v>
      </c>
      <c r="G21" s="1" t="s">
        <v>234</v>
      </c>
      <c r="H21" s="4" t="s">
        <v>252</v>
      </c>
      <c r="I21" s="4" t="s">
        <v>253</v>
      </c>
      <c r="J21" s="4" t="s">
        <v>228</v>
      </c>
    </row>
    <row r="22" spans="1:11" ht="15" customHeight="1" x14ac:dyDescent="0.25">
      <c r="A22" t="s">
        <v>208</v>
      </c>
      <c r="B22" s="1" t="s">
        <v>242</v>
      </c>
      <c r="C22" s="1">
        <v>16</v>
      </c>
      <c r="D22" s="1">
        <v>8</v>
      </c>
      <c r="E22" s="1">
        <v>10</v>
      </c>
      <c r="F22" s="1">
        <v>6</v>
      </c>
      <c r="G22" s="1" t="s">
        <v>234</v>
      </c>
      <c r="H22" s="4" t="s">
        <v>252</v>
      </c>
      <c r="I22" s="4" t="s">
        <v>253</v>
      </c>
      <c r="J22" s="4" t="s">
        <v>229</v>
      </c>
    </row>
    <row r="23" spans="1:11" ht="15" customHeight="1" x14ac:dyDescent="0.25">
      <c r="A23" t="s">
        <v>208</v>
      </c>
      <c r="B23" s="1" t="s">
        <v>242</v>
      </c>
      <c r="C23" s="1">
        <v>16</v>
      </c>
      <c r="D23" s="1">
        <v>8</v>
      </c>
      <c r="E23" s="1">
        <v>10</v>
      </c>
      <c r="F23" s="1">
        <v>6</v>
      </c>
      <c r="G23" s="1" t="s">
        <v>234</v>
      </c>
      <c r="H23" s="4" t="s">
        <v>252</v>
      </c>
      <c r="I23" s="4" t="s">
        <v>253</v>
      </c>
      <c r="J23" s="4" t="s">
        <v>230</v>
      </c>
    </row>
    <row r="24" spans="1:11" ht="15" customHeight="1" x14ac:dyDescent="0.25">
      <c r="A24" t="s">
        <v>208</v>
      </c>
      <c r="B24" s="1" t="s">
        <v>242</v>
      </c>
      <c r="C24" s="1">
        <v>16</v>
      </c>
      <c r="D24" s="1">
        <v>8</v>
      </c>
      <c r="E24" s="1">
        <v>10</v>
      </c>
      <c r="F24" s="1">
        <v>6</v>
      </c>
      <c r="G24" s="1" t="s">
        <v>234</v>
      </c>
      <c r="H24" s="4" t="s">
        <v>252</v>
      </c>
      <c r="I24" s="4" t="s">
        <v>253</v>
      </c>
      <c r="J24" s="4" t="s">
        <v>231</v>
      </c>
    </row>
    <row r="25" spans="1:11" ht="15" customHeight="1" x14ac:dyDescent="0.25">
      <c r="A25" t="s">
        <v>208</v>
      </c>
      <c r="B25" s="1" t="s">
        <v>242</v>
      </c>
      <c r="C25" s="1">
        <v>16</v>
      </c>
      <c r="D25" s="1">
        <v>8</v>
      </c>
      <c r="E25" s="1">
        <v>10</v>
      </c>
      <c r="F25" s="1">
        <v>6</v>
      </c>
      <c r="G25" s="1" t="s">
        <v>234</v>
      </c>
      <c r="H25" s="4" t="s">
        <v>252</v>
      </c>
      <c r="I25" s="4" t="s">
        <v>253</v>
      </c>
      <c r="J25" s="4" t="s">
        <v>232</v>
      </c>
    </row>
    <row r="26" spans="1:11" ht="15" customHeight="1" x14ac:dyDescent="0.25">
      <c r="A26" s="2"/>
      <c r="B26" s="2"/>
      <c r="C26" s="2" t="s">
        <v>215</v>
      </c>
      <c r="D26" s="2" t="s">
        <v>216</v>
      </c>
      <c r="E26" s="2" t="s">
        <v>217</v>
      </c>
      <c r="F26" s="2" t="s">
        <v>218</v>
      </c>
      <c r="G26" s="2" t="s">
        <v>233</v>
      </c>
      <c r="H26" s="3" t="s">
        <v>144</v>
      </c>
      <c r="I26" s="3" t="s">
        <v>109</v>
      </c>
      <c r="J26" s="3" t="s">
        <v>68</v>
      </c>
      <c r="K26" s="3" t="s">
        <v>219</v>
      </c>
    </row>
    <row r="27" spans="1:11" ht="15" customHeight="1" x14ac:dyDescent="0.25">
      <c r="A27" s="1" t="s">
        <v>209</v>
      </c>
      <c r="B27" s="1" t="s">
        <v>243</v>
      </c>
      <c r="C27" s="1">
        <v>2</v>
      </c>
      <c r="D27" s="1">
        <v>3</v>
      </c>
      <c r="E27" s="1">
        <v>1</v>
      </c>
      <c r="F27" s="1">
        <v>1</v>
      </c>
      <c r="G27" s="1" t="s">
        <v>180</v>
      </c>
      <c r="H27" s="4" t="s">
        <v>239</v>
      </c>
      <c r="I27" s="4" t="s">
        <v>180</v>
      </c>
      <c r="J27" s="4" t="s">
        <v>237</v>
      </c>
      <c r="K27" s="4" t="s">
        <v>238</v>
      </c>
    </row>
    <row r="28" spans="1:11" ht="15" customHeight="1" x14ac:dyDescent="0.25">
      <c r="A28" s="1" t="s">
        <v>209</v>
      </c>
      <c r="B28" s="1" t="s">
        <v>243</v>
      </c>
      <c r="C28" s="1">
        <v>2</v>
      </c>
      <c r="D28" s="1">
        <v>3</v>
      </c>
      <c r="E28" s="1">
        <v>1</v>
      </c>
      <c r="F28" s="1">
        <v>1</v>
      </c>
      <c r="G28" s="1" t="s">
        <v>180</v>
      </c>
      <c r="H28" s="4" t="s">
        <v>239</v>
      </c>
      <c r="I28" s="4" t="s">
        <v>180</v>
      </c>
      <c r="J28" s="4" t="s">
        <v>237</v>
      </c>
      <c r="K28" s="4" t="s">
        <v>241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049" r:id="rId3" name="Button 1">
              <controlPr defaultSize="0" print="0" autoFill="0" autoPict="0" macro="[0]!ReadInfo">
                <anchor>
                  <from>
                    <xdr:col>13</xdr:col>
                    <xdr:colOff>525780</xdr:colOff>
                    <xdr:row>2</xdr:row>
                    <xdr:rowOff>38100</xdr:rowOff>
                  </from>
                  <to>
                    <xdr:col>16</xdr:col>
                    <xdr:colOff>30480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59"/>
  <sheetViews>
    <sheetView workbookViewId="0">
      <selection activeCell="E3" sqref="E3"/>
    </sheetView>
  </sheetViews>
  <sheetFormatPr defaultColWidth="9.109375" defaultRowHeight="15" customHeight="1" x14ac:dyDescent="0.25"/>
  <cols>
    <col min="1" max="1" width="11.44140625" style="1" bestFit="1" customWidth="1"/>
    <col min="2" max="2" width="18.21875" style="1" bestFit="1" customWidth="1"/>
    <col min="3" max="3" width="14.77734375" style="1" bestFit="1" customWidth="1"/>
    <col min="4" max="4" width="18.44140625" style="1" bestFit="1" customWidth="1"/>
    <col min="5" max="5" width="16.44140625" style="1" bestFit="1" customWidth="1"/>
    <col min="6" max="6" width="15.44140625" style="1" bestFit="1" customWidth="1"/>
    <col min="7" max="7" width="3.44140625" style="4" bestFit="1" customWidth="1"/>
    <col min="8" max="8" width="5.5546875" style="4" bestFit="1" customWidth="1"/>
    <col min="9" max="9" width="4.44140625" style="4" bestFit="1" customWidth="1"/>
    <col min="10" max="10" width="15.44140625" style="1" bestFit="1" customWidth="1"/>
    <col min="11" max="11" width="6.5546875" style="1" customWidth="1"/>
    <col min="12" max="14" width="9.109375" style="1"/>
    <col min="15" max="15" width="22.77734375" style="1" bestFit="1" customWidth="1"/>
    <col min="16" max="16" width="18.33203125" style="1" bestFit="1" customWidth="1"/>
    <col min="17" max="16384" width="9.109375" style="1"/>
  </cols>
  <sheetData>
    <row r="1" spans="1:10" ht="15" customHeight="1" x14ac:dyDescent="0.25">
      <c r="A1" s="2" t="s">
        <v>107</v>
      </c>
      <c r="B1" s="2" t="s">
        <v>121</v>
      </c>
      <c r="C1" s="2" t="s">
        <v>0</v>
      </c>
      <c r="D1" s="2" t="s">
        <v>6</v>
      </c>
      <c r="E1" s="2" t="s">
        <v>128</v>
      </c>
      <c r="F1" s="2" t="s">
        <v>61</v>
      </c>
      <c r="G1" s="3" t="s">
        <v>62</v>
      </c>
      <c r="H1" s="3" t="s">
        <v>63</v>
      </c>
      <c r="I1" s="3" t="s">
        <v>64</v>
      </c>
      <c r="J1" s="2" t="s">
        <v>127</v>
      </c>
    </row>
    <row r="2" spans="1:10" ht="15" customHeight="1" x14ac:dyDescent="0.25">
      <c r="A2" s="1" t="s">
        <v>279</v>
      </c>
      <c r="B2" s="1" t="s">
        <v>326</v>
      </c>
      <c r="C2" s="1" t="s">
        <v>161</v>
      </c>
      <c r="D2" s="1" t="s">
        <v>345</v>
      </c>
      <c r="E2" s="1" t="s">
        <v>269</v>
      </c>
      <c r="G2" s="4" t="s">
        <v>146</v>
      </c>
      <c r="H2" s="4" t="s">
        <v>153</v>
      </c>
      <c r="I2" s="4" t="s">
        <v>193</v>
      </c>
      <c r="J2" s="1" t="s">
        <v>254</v>
      </c>
    </row>
    <row r="3" spans="1:10" ht="15" customHeight="1" x14ac:dyDescent="0.25">
      <c r="A3" s="1" t="s">
        <v>279</v>
      </c>
      <c r="B3" s="1" t="s">
        <v>326</v>
      </c>
      <c r="C3" s="1" t="s">
        <v>162</v>
      </c>
      <c r="D3" s="1" t="s">
        <v>254</v>
      </c>
      <c r="E3" s="1" t="s">
        <v>270</v>
      </c>
      <c r="G3" s="4" t="s">
        <v>197</v>
      </c>
      <c r="H3" s="4" t="s">
        <v>152</v>
      </c>
      <c r="I3" s="4" t="s">
        <v>198</v>
      </c>
      <c r="J3" s="1" t="s">
        <v>254</v>
      </c>
    </row>
    <row r="4" spans="1:10" ht="15" customHeight="1" x14ac:dyDescent="0.25">
      <c r="C4" s="2" t="s">
        <v>0</v>
      </c>
      <c r="D4" s="2" t="s">
        <v>143</v>
      </c>
      <c r="E4" s="2" t="s">
        <v>144</v>
      </c>
      <c r="F4" s="2" t="s">
        <v>61</v>
      </c>
      <c r="G4" s="3" t="s">
        <v>62</v>
      </c>
      <c r="H4" s="3" t="s">
        <v>63</v>
      </c>
      <c r="I4" s="3" t="s">
        <v>64</v>
      </c>
      <c r="J4" s="2" t="s">
        <v>127</v>
      </c>
    </row>
    <row r="5" spans="1:10" ht="15" customHeight="1" x14ac:dyDescent="0.25">
      <c r="A5" s="1" t="s">
        <v>280</v>
      </c>
      <c r="B5" s="1" t="s">
        <v>301</v>
      </c>
      <c r="C5" s="1" t="s">
        <v>145</v>
      </c>
      <c r="E5" s="1" t="s">
        <v>257</v>
      </c>
      <c r="G5" s="4" t="s">
        <v>146</v>
      </c>
      <c r="H5" s="4" t="s">
        <v>147</v>
      </c>
      <c r="I5" s="4" t="s">
        <v>148</v>
      </c>
      <c r="J5" s="1" t="s">
        <v>254</v>
      </c>
    </row>
    <row r="6" spans="1:10" ht="15" customHeight="1" x14ac:dyDescent="0.25">
      <c r="A6" s="1" t="s">
        <v>280</v>
      </c>
      <c r="B6" s="1" t="s">
        <v>301</v>
      </c>
      <c r="C6" s="1" t="s">
        <v>164</v>
      </c>
      <c r="D6" s="1" t="s">
        <v>190</v>
      </c>
      <c r="E6" s="1" t="s">
        <v>257</v>
      </c>
      <c r="G6" s="4" t="s">
        <v>146</v>
      </c>
      <c r="H6" s="4" t="s">
        <v>147</v>
      </c>
      <c r="I6" s="4" t="s">
        <v>148</v>
      </c>
      <c r="J6" s="1" t="s">
        <v>254</v>
      </c>
    </row>
    <row r="7" spans="1:10" ht="15" customHeight="1" x14ac:dyDescent="0.25">
      <c r="A7" s="1" t="s">
        <v>281</v>
      </c>
      <c r="B7" s="1" t="s">
        <v>301</v>
      </c>
      <c r="C7" s="1" t="s">
        <v>165</v>
      </c>
      <c r="E7" s="1" t="s">
        <v>258</v>
      </c>
      <c r="G7" s="4" t="s">
        <v>146</v>
      </c>
      <c r="H7" s="4" t="s">
        <v>147</v>
      </c>
      <c r="I7" s="4" t="s">
        <v>148</v>
      </c>
      <c r="J7" s="1" t="s">
        <v>254</v>
      </c>
    </row>
    <row r="8" spans="1:10" ht="15" customHeight="1" x14ac:dyDescent="0.25">
      <c r="A8" s="1" t="s">
        <v>281</v>
      </c>
      <c r="B8" s="1" t="s">
        <v>301</v>
      </c>
      <c r="C8" s="1" t="s">
        <v>166</v>
      </c>
      <c r="E8" s="1" t="s">
        <v>258</v>
      </c>
      <c r="G8" s="4" t="s">
        <v>146</v>
      </c>
      <c r="H8" s="4" t="s">
        <v>147</v>
      </c>
      <c r="I8" s="4" t="s">
        <v>148</v>
      </c>
      <c r="J8" s="1" t="s">
        <v>254</v>
      </c>
    </row>
    <row r="9" spans="1:10" ht="15" customHeight="1" x14ac:dyDescent="0.25">
      <c r="A9" s="1" t="s">
        <v>280</v>
      </c>
      <c r="B9" s="1" t="s">
        <v>301</v>
      </c>
      <c r="C9" s="1" t="s">
        <v>168</v>
      </c>
      <c r="D9" s="1" t="s">
        <v>167</v>
      </c>
      <c r="E9" s="1" t="s">
        <v>259</v>
      </c>
      <c r="G9" s="4" t="s">
        <v>146</v>
      </c>
      <c r="H9" s="4" t="s">
        <v>147</v>
      </c>
      <c r="I9" s="4" t="s">
        <v>148</v>
      </c>
      <c r="J9" s="1" t="s">
        <v>254</v>
      </c>
    </row>
    <row r="10" spans="1:10" ht="15" customHeight="1" x14ac:dyDescent="0.25">
      <c r="A10" s="1" t="s">
        <v>281</v>
      </c>
      <c r="B10" s="1" t="s">
        <v>301</v>
      </c>
      <c r="C10" s="1" t="s">
        <v>169</v>
      </c>
      <c r="D10" s="1" t="s">
        <v>167</v>
      </c>
      <c r="E10" s="1" t="s">
        <v>258</v>
      </c>
      <c r="G10" s="4" t="s">
        <v>146</v>
      </c>
      <c r="H10" s="4" t="s">
        <v>147</v>
      </c>
      <c r="I10" s="4" t="s">
        <v>148</v>
      </c>
      <c r="J10" s="1" t="s">
        <v>254</v>
      </c>
    </row>
    <row r="11" spans="1:10" ht="15" customHeight="1" x14ac:dyDescent="0.25">
      <c r="A11" s="1" t="s">
        <v>282</v>
      </c>
      <c r="B11" s="1" t="s">
        <v>301</v>
      </c>
      <c r="C11" s="1" t="s">
        <v>170</v>
      </c>
      <c r="E11" s="1" t="s">
        <v>260</v>
      </c>
      <c r="G11" s="4" t="s">
        <v>146</v>
      </c>
      <c r="H11" s="4" t="s">
        <v>147</v>
      </c>
      <c r="I11" s="4" t="s">
        <v>148</v>
      </c>
      <c r="J11" s="1" t="s">
        <v>254</v>
      </c>
    </row>
    <row r="12" spans="1:10" ht="15" customHeight="1" x14ac:dyDescent="0.25">
      <c r="A12" s="1" t="s">
        <v>282</v>
      </c>
      <c r="B12" s="1" t="s">
        <v>301</v>
      </c>
      <c r="C12" s="1" t="s">
        <v>170</v>
      </c>
      <c r="D12" s="1" t="s">
        <v>167</v>
      </c>
      <c r="E12" s="1" t="s">
        <v>260</v>
      </c>
      <c r="G12" s="4" t="s">
        <v>146</v>
      </c>
      <c r="H12" s="4" t="s">
        <v>147</v>
      </c>
      <c r="I12" s="4" t="s">
        <v>148</v>
      </c>
      <c r="J12" s="1" t="s">
        <v>254</v>
      </c>
    </row>
    <row r="13" spans="1:10" ht="15" customHeight="1" x14ac:dyDescent="0.25">
      <c r="A13" s="1" t="s">
        <v>280</v>
      </c>
      <c r="B13" s="1" t="s">
        <v>301</v>
      </c>
      <c r="C13" s="1" t="s">
        <v>171</v>
      </c>
      <c r="E13" s="1" t="s">
        <v>257</v>
      </c>
      <c r="G13" s="4" t="s">
        <v>146</v>
      </c>
      <c r="H13" s="4" t="s">
        <v>147</v>
      </c>
      <c r="I13" s="4" t="s">
        <v>148</v>
      </c>
      <c r="J13" s="1" t="s">
        <v>254</v>
      </c>
    </row>
    <row r="14" spans="1:10" ht="15" customHeight="1" x14ac:dyDescent="0.25">
      <c r="A14" s="1" t="s">
        <v>280</v>
      </c>
      <c r="B14" s="1" t="s">
        <v>301</v>
      </c>
      <c r="C14" s="1" t="s">
        <v>172</v>
      </c>
      <c r="E14" s="1" t="s">
        <v>257</v>
      </c>
      <c r="G14" s="4" t="s">
        <v>146</v>
      </c>
      <c r="H14" s="4" t="s">
        <v>147</v>
      </c>
      <c r="I14" s="4" t="s">
        <v>148</v>
      </c>
      <c r="J14" s="1" t="s">
        <v>254</v>
      </c>
    </row>
    <row r="15" spans="1:10" ht="15" customHeight="1" x14ac:dyDescent="0.25">
      <c r="A15" s="1" t="s">
        <v>281</v>
      </c>
      <c r="B15" s="1" t="s">
        <v>301</v>
      </c>
      <c r="C15" s="1" t="s">
        <v>173</v>
      </c>
      <c r="E15" s="1" t="s">
        <v>258</v>
      </c>
      <c r="G15" s="4" t="s">
        <v>146</v>
      </c>
      <c r="H15" s="4" t="s">
        <v>147</v>
      </c>
      <c r="I15" s="4" t="s">
        <v>148</v>
      </c>
      <c r="J15" s="1" t="s">
        <v>254</v>
      </c>
    </row>
    <row r="16" spans="1:10" ht="15" customHeight="1" x14ac:dyDescent="0.25">
      <c r="A16" s="1" t="s">
        <v>281</v>
      </c>
      <c r="B16" s="1" t="s">
        <v>301</v>
      </c>
      <c r="C16" s="1" t="s">
        <v>174</v>
      </c>
      <c r="E16" s="1" t="s">
        <v>258</v>
      </c>
      <c r="G16" s="4" t="s">
        <v>146</v>
      </c>
      <c r="H16" s="4" t="s">
        <v>147</v>
      </c>
      <c r="I16" s="4" t="s">
        <v>148</v>
      </c>
      <c r="J16" s="1" t="s">
        <v>254</v>
      </c>
    </row>
    <row r="17" spans="1:18" ht="15" customHeight="1" x14ac:dyDescent="0.25">
      <c r="A17" s="1" t="s">
        <v>279</v>
      </c>
      <c r="B17" s="1" t="s">
        <v>332</v>
      </c>
      <c r="C17" s="1" t="s">
        <v>175</v>
      </c>
      <c r="D17" s="1" t="s">
        <v>276</v>
      </c>
      <c r="E17" s="1" t="s">
        <v>261</v>
      </c>
      <c r="G17" s="4" t="s">
        <v>199</v>
      </c>
      <c r="H17" s="4" t="s">
        <v>153</v>
      </c>
      <c r="I17" s="4" t="s">
        <v>198</v>
      </c>
      <c r="J17" s="1" t="s">
        <v>255</v>
      </c>
      <c r="R17" s="46"/>
    </row>
    <row r="18" spans="1:18" ht="15" customHeight="1" x14ac:dyDescent="0.25">
      <c r="A18" s="1" t="s">
        <v>279</v>
      </c>
      <c r="B18" s="1" t="s">
        <v>337</v>
      </c>
      <c r="C18" s="1" t="s">
        <v>195</v>
      </c>
      <c r="D18" s="1" t="s">
        <v>277</v>
      </c>
      <c r="E18" s="1" t="s">
        <v>262</v>
      </c>
      <c r="G18" s="4" t="s">
        <v>200</v>
      </c>
      <c r="H18" s="4" t="s">
        <v>153</v>
      </c>
      <c r="I18" s="4" t="s">
        <v>201</v>
      </c>
      <c r="J18" s="1" t="s">
        <v>255</v>
      </c>
      <c r="R18" s="46"/>
    </row>
    <row r="19" spans="1:18" ht="15" customHeight="1" x14ac:dyDescent="0.25">
      <c r="A19" s="1" t="s">
        <v>279</v>
      </c>
      <c r="B19" s="1" t="s">
        <v>339</v>
      </c>
      <c r="C19" s="1" t="s">
        <v>176</v>
      </c>
      <c r="D19" s="1" t="s">
        <v>256</v>
      </c>
      <c r="E19" s="1" t="s">
        <v>263</v>
      </c>
      <c r="G19" s="4" t="s">
        <v>147</v>
      </c>
      <c r="H19" s="4" t="s">
        <v>153</v>
      </c>
      <c r="I19" s="4" t="s">
        <v>202</v>
      </c>
      <c r="J19" s="1" t="s">
        <v>255</v>
      </c>
      <c r="R19" s="46"/>
    </row>
    <row r="20" spans="1:18" ht="15" customHeight="1" x14ac:dyDescent="0.25">
      <c r="A20" s="1" t="s">
        <v>279</v>
      </c>
      <c r="B20" s="1" t="s">
        <v>329</v>
      </c>
      <c r="C20" s="1" t="s">
        <v>196</v>
      </c>
      <c r="D20" s="1" t="s">
        <v>278</v>
      </c>
      <c r="E20" s="1" t="s">
        <v>262</v>
      </c>
      <c r="G20" s="4" t="s">
        <v>146</v>
      </c>
      <c r="H20" s="4" t="s">
        <v>153</v>
      </c>
      <c r="I20" s="4" t="s">
        <v>193</v>
      </c>
      <c r="J20" s="1" t="s">
        <v>255</v>
      </c>
      <c r="R20" s="46"/>
    </row>
    <row r="21" spans="1:18" ht="15" customHeight="1" x14ac:dyDescent="0.25">
      <c r="A21" s="1" t="s">
        <v>279</v>
      </c>
      <c r="B21" s="1" t="s">
        <v>338</v>
      </c>
      <c r="C21" s="1" t="s">
        <v>177</v>
      </c>
      <c r="D21" s="1" t="s">
        <v>277</v>
      </c>
      <c r="E21" s="1" t="s">
        <v>262</v>
      </c>
      <c r="G21" s="4" t="s">
        <v>194</v>
      </c>
      <c r="H21" s="4" t="s">
        <v>153</v>
      </c>
      <c r="I21" s="4" t="s">
        <v>203</v>
      </c>
      <c r="J21" s="1" t="s">
        <v>255</v>
      </c>
      <c r="R21" s="46"/>
    </row>
    <row r="22" spans="1:18" ht="15" customHeight="1" x14ac:dyDescent="0.25">
      <c r="A22" s="1" t="s">
        <v>366</v>
      </c>
      <c r="B22" s="1" t="s">
        <v>333</v>
      </c>
      <c r="C22" s="1" t="s">
        <v>178</v>
      </c>
      <c r="D22" s="1" t="s">
        <v>276</v>
      </c>
      <c r="E22" s="1" t="s">
        <v>262</v>
      </c>
      <c r="G22" s="4" t="s">
        <v>148</v>
      </c>
      <c r="H22" s="4" t="s">
        <v>160</v>
      </c>
      <c r="I22" s="4" t="s">
        <v>204</v>
      </c>
      <c r="J22" s="1" t="s">
        <v>255</v>
      </c>
      <c r="K22" s="47"/>
      <c r="R22" s="46"/>
    </row>
    <row r="23" spans="1:18" ht="15" customHeight="1" x14ac:dyDescent="0.25">
      <c r="A23" s="1" t="s">
        <v>279</v>
      </c>
      <c r="B23" s="1" t="s">
        <v>331</v>
      </c>
      <c r="C23" s="1" t="s">
        <v>179</v>
      </c>
      <c r="D23" s="1" t="s">
        <v>276</v>
      </c>
      <c r="E23" s="1" t="s">
        <v>262</v>
      </c>
      <c r="G23" s="4" t="s">
        <v>197</v>
      </c>
      <c r="H23" s="4" t="s">
        <v>160</v>
      </c>
      <c r="I23" s="4" t="s">
        <v>205</v>
      </c>
      <c r="J23" s="1" t="s">
        <v>255</v>
      </c>
      <c r="K23" s="47"/>
      <c r="R23" s="45"/>
    </row>
    <row r="24" spans="1:18" ht="15" customHeight="1" x14ac:dyDescent="0.25">
      <c r="A24" s="1" t="s">
        <v>280</v>
      </c>
      <c r="B24" s="1" t="s">
        <v>310</v>
      </c>
      <c r="C24" s="1" t="s">
        <v>180</v>
      </c>
      <c r="E24" s="1" t="s">
        <v>264</v>
      </c>
      <c r="G24" s="4" t="s">
        <v>146</v>
      </c>
      <c r="H24" s="4" t="s">
        <v>146</v>
      </c>
      <c r="I24" s="4" t="s">
        <v>146</v>
      </c>
      <c r="J24" s="1" t="s">
        <v>255</v>
      </c>
      <c r="K24" s="47"/>
    </row>
    <row r="25" spans="1:18" ht="15" customHeight="1" x14ac:dyDescent="0.25">
      <c r="A25" s="1" t="s">
        <v>280</v>
      </c>
      <c r="B25" s="1" t="s">
        <v>309</v>
      </c>
      <c r="C25" s="1" t="s">
        <v>163</v>
      </c>
      <c r="E25" s="1" t="s">
        <v>264</v>
      </c>
      <c r="G25" s="4" t="s">
        <v>146</v>
      </c>
      <c r="H25" s="4" t="s">
        <v>146</v>
      </c>
      <c r="I25" s="4" t="s">
        <v>146</v>
      </c>
      <c r="J25" s="1" t="s">
        <v>255</v>
      </c>
      <c r="K25" s="47"/>
    </row>
    <row r="26" spans="1:18" ht="15" customHeight="1" x14ac:dyDescent="0.25">
      <c r="A26" s="1" t="s">
        <v>280</v>
      </c>
      <c r="B26" s="1" t="s">
        <v>311</v>
      </c>
      <c r="C26" s="1" t="s">
        <v>181</v>
      </c>
      <c r="D26" s="1" t="s">
        <v>167</v>
      </c>
      <c r="E26" s="1" t="s">
        <v>264</v>
      </c>
      <c r="G26" s="4" t="s">
        <v>146</v>
      </c>
      <c r="H26" s="4" t="s">
        <v>146</v>
      </c>
      <c r="I26" s="4" t="s">
        <v>146</v>
      </c>
      <c r="J26" s="1" t="s">
        <v>255</v>
      </c>
      <c r="K26" s="47"/>
    </row>
    <row r="27" spans="1:18" ht="15" customHeight="1" x14ac:dyDescent="0.25">
      <c r="A27" s="1" t="s">
        <v>282</v>
      </c>
      <c r="B27" s="1" t="s">
        <v>310</v>
      </c>
      <c r="C27" s="1" t="s">
        <v>182</v>
      </c>
      <c r="E27" s="1" t="s">
        <v>260</v>
      </c>
      <c r="G27" s="4" t="s">
        <v>146</v>
      </c>
      <c r="H27" s="4" t="s">
        <v>146</v>
      </c>
      <c r="I27" s="4" t="s">
        <v>146</v>
      </c>
      <c r="J27" s="1" t="s">
        <v>255</v>
      </c>
      <c r="K27" s="47"/>
    </row>
    <row r="28" spans="1:18" ht="15" customHeight="1" x14ac:dyDescent="0.25">
      <c r="A28" s="1" t="s">
        <v>280</v>
      </c>
      <c r="B28" s="1" t="s">
        <v>307</v>
      </c>
      <c r="C28" s="1" t="s">
        <v>180</v>
      </c>
      <c r="E28" s="1" t="s">
        <v>265</v>
      </c>
      <c r="G28" s="4" t="s">
        <v>146</v>
      </c>
      <c r="H28" s="4" t="s">
        <v>146</v>
      </c>
      <c r="I28" s="4" t="s">
        <v>146</v>
      </c>
      <c r="J28" s="1" t="s">
        <v>255</v>
      </c>
      <c r="K28" s="47"/>
    </row>
    <row r="29" spans="1:18" ht="15" customHeight="1" x14ac:dyDescent="0.25">
      <c r="A29" s="1" t="s">
        <v>280</v>
      </c>
      <c r="B29" s="1" t="s">
        <v>314</v>
      </c>
      <c r="C29" s="1" t="s">
        <v>164</v>
      </c>
      <c r="E29" s="1" t="s">
        <v>266</v>
      </c>
      <c r="G29" s="4" t="s">
        <v>146</v>
      </c>
      <c r="H29" s="4" t="s">
        <v>146</v>
      </c>
      <c r="I29" s="4" t="s">
        <v>146</v>
      </c>
      <c r="J29" s="1" t="s">
        <v>255</v>
      </c>
      <c r="K29" s="47"/>
    </row>
    <row r="30" spans="1:18" ht="15" customHeight="1" x14ac:dyDescent="0.25">
      <c r="A30" s="1" t="s">
        <v>280</v>
      </c>
      <c r="B30" s="1" t="s">
        <v>315</v>
      </c>
      <c r="C30" s="1" t="s">
        <v>183</v>
      </c>
      <c r="D30" s="1" t="s">
        <v>167</v>
      </c>
      <c r="E30" s="1" t="s">
        <v>266</v>
      </c>
      <c r="G30" s="4" t="s">
        <v>146</v>
      </c>
      <c r="H30" s="4" t="s">
        <v>146</v>
      </c>
      <c r="I30" s="4" t="s">
        <v>146</v>
      </c>
      <c r="J30" s="1" t="s">
        <v>255</v>
      </c>
      <c r="K30" s="47"/>
    </row>
    <row r="31" spans="1:18" ht="15" customHeight="1" x14ac:dyDescent="0.25">
      <c r="A31" s="1" t="s">
        <v>281</v>
      </c>
      <c r="B31" s="1" t="s">
        <v>315</v>
      </c>
      <c r="C31" s="1" t="s">
        <v>184</v>
      </c>
      <c r="E31" s="1" t="s">
        <v>267</v>
      </c>
      <c r="G31" s="4" t="s">
        <v>146</v>
      </c>
      <c r="H31" s="4" t="s">
        <v>146</v>
      </c>
      <c r="I31" s="4" t="s">
        <v>146</v>
      </c>
      <c r="J31" s="1" t="s">
        <v>255</v>
      </c>
      <c r="K31" s="47"/>
    </row>
    <row r="32" spans="1:18" ht="15" customHeight="1" x14ac:dyDescent="0.25">
      <c r="A32" s="1" t="s">
        <v>280</v>
      </c>
      <c r="B32" s="1" t="s">
        <v>313</v>
      </c>
      <c r="C32" s="1" t="s">
        <v>185</v>
      </c>
      <c r="E32" s="1" t="s">
        <v>266</v>
      </c>
      <c r="G32" s="4" t="s">
        <v>146</v>
      </c>
      <c r="H32" s="4" t="s">
        <v>146</v>
      </c>
      <c r="I32" s="4" t="s">
        <v>146</v>
      </c>
      <c r="J32" s="1" t="s">
        <v>255</v>
      </c>
      <c r="K32" s="47"/>
    </row>
    <row r="33" spans="1:15" ht="15" customHeight="1" x14ac:dyDescent="0.25">
      <c r="A33" s="1" t="s">
        <v>280</v>
      </c>
      <c r="B33" s="1" t="s">
        <v>316</v>
      </c>
      <c r="C33" s="1" t="s">
        <v>186</v>
      </c>
      <c r="E33" s="1" t="s">
        <v>266</v>
      </c>
      <c r="G33" s="4" t="s">
        <v>146</v>
      </c>
      <c r="H33" s="4" t="s">
        <v>146</v>
      </c>
      <c r="I33" s="4" t="s">
        <v>146</v>
      </c>
      <c r="J33" s="1" t="s">
        <v>255</v>
      </c>
      <c r="K33" s="47"/>
    </row>
    <row r="34" spans="1:15" ht="15" customHeight="1" x14ac:dyDescent="0.25">
      <c r="A34" s="1" t="s">
        <v>280</v>
      </c>
      <c r="B34" s="1" t="s">
        <v>317</v>
      </c>
      <c r="C34" s="1" t="s">
        <v>187</v>
      </c>
      <c r="E34" s="1" t="s">
        <v>268</v>
      </c>
      <c r="G34" s="4" t="s">
        <v>146</v>
      </c>
      <c r="H34" s="4" t="s">
        <v>146</v>
      </c>
      <c r="I34" s="4" t="s">
        <v>146</v>
      </c>
      <c r="J34" s="1" t="s">
        <v>255</v>
      </c>
      <c r="K34" s="47"/>
    </row>
    <row r="35" spans="1:15" ht="15" customHeight="1" x14ac:dyDescent="0.25">
      <c r="A35" s="1" t="s">
        <v>282</v>
      </c>
      <c r="B35" s="1" t="s">
        <v>317</v>
      </c>
      <c r="C35" s="1" t="s">
        <v>188</v>
      </c>
      <c r="E35" s="1" t="s">
        <v>260</v>
      </c>
      <c r="G35" s="4" t="s">
        <v>146</v>
      </c>
      <c r="H35" s="4" t="s">
        <v>146</v>
      </c>
      <c r="I35" s="4" t="s">
        <v>146</v>
      </c>
      <c r="J35" s="1" t="s">
        <v>255</v>
      </c>
      <c r="K35" s="47"/>
    </row>
    <row r="36" spans="1:15" x14ac:dyDescent="0.25">
      <c r="A36" s="1" t="s">
        <v>280</v>
      </c>
      <c r="B36" s="1" t="s">
        <v>321</v>
      </c>
      <c r="C36" s="1" t="s">
        <v>171</v>
      </c>
      <c r="E36" s="1" t="s">
        <v>265</v>
      </c>
      <c r="G36" s="4" t="s">
        <v>146</v>
      </c>
      <c r="H36" s="4" t="s">
        <v>146</v>
      </c>
      <c r="I36" s="4" t="s">
        <v>146</v>
      </c>
      <c r="J36" s="1" t="s">
        <v>255</v>
      </c>
      <c r="K36" s="46"/>
      <c r="L36" s="46"/>
    </row>
    <row r="37" spans="1:15" x14ac:dyDescent="0.25">
      <c r="A37" s="1" t="s">
        <v>280</v>
      </c>
      <c r="B37" s="1" t="s">
        <v>321</v>
      </c>
      <c r="C37" s="1" t="s">
        <v>172</v>
      </c>
      <c r="E37" s="1" t="s">
        <v>265</v>
      </c>
      <c r="G37" s="4" t="s">
        <v>146</v>
      </c>
      <c r="H37" s="4" t="s">
        <v>146</v>
      </c>
      <c r="I37" s="4" t="s">
        <v>146</v>
      </c>
      <c r="J37" s="1" t="s">
        <v>255</v>
      </c>
      <c r="K37" s="46"/>
      <c r="L37" s="46"/>
    </row>
    <row r="38" spans="1:15" x14ac:dyDescent="0.25">
      <c r="A38" s="1" t="s">
        <v>280</v>
      </c>
      <c r="B38" s="1" t="s">
        <v>321</v>
      </c>
      <c r="C38" s="1" t="s">
        <v>189</v>
      </c>
      <c r="D38" s="1" t="s">
        <v>191</v>
      </c>
      <c r="E38" s="1" t="s">
        <v>265</v>
      </c>
      <c r="G38" s="4" t="s">
        <v>146</v>
      </c>
      <c r="H38" s="4" t="s">
        <v>146</v>
      </c>
      <c r="I38" s="4" t="s">
        <v>146</v>
      </c>
      <c r="J38" s="1" t="s">
        <v>255</v>
      </c>
      <c r="K38" s="46"/>
      <c r="L38" s="46"/>
    </row>
    <row r="39" spans="1:15" x14ac:dyDescent="0.25">
      <c r="A39" s="1" t="s">
        <v>281</v>
      </c>
      <c r="B39" s="1" t="s">
        <v>321</v>
      </c>
      <c r="C39" s="1" t="s">
        <v>173</v>
      </c>
      <c r="E39" s="1" t="s">
        <v>267</v>
      </c>
      <c r="G39" s="4" t="s">
        <v>146</v>
      </c>
      <c r="H39" s="4" t="s">
        <v>146</v>
      </c>
      <c r="I39" s="4" t="s">
        <v>146</v>
      </c>
      <c r="J39" s="1" t="s">
        <v>255</v>
      </c>
      <c r="K39" s="46"/>
      <c r="L39" s="46"/>
    </row>
    <row r="40" spans="1:15" x14ac:dyDescent="0.25">
      <c r="A40" s="1" t="s">
        <v>281</v>
      </c>
      <c r="B40" s="1" t="s">
        <v>321</v>
      </c>
      <c r="C40" s="1" t="s">
        <v>174</v>
      </c>
      <c r="E40" s="1" t="s">
        <v>267</v>
      </c>
      <c r="G40" s="4" t="s">
        <v>146</v>
      </c>
      <c r="H40" s="4" t="s">
        <v>146</v>
      </c>
      <c r="I40" s="4" t="s">
        <v>146</v>
      </c>
      <c r="J40" s="1" t="s">
        <v>255</v>
      </c>
      <c r="K40" s="46"/>
      <c r="L40" s="46"/>
    </row>
    <row r="41" spans="1:15" ht="15" customHeight="1" x14ac:dyDescent="0.25">
      <c r="C41" s="2" t="s">
        <v>150</v>
      </c>
      <c r="D41" s="2" t="s">
        <v>125</v>
      </c>
      <c r="E41" s="2" t="s">
        <v>151</v>
      </c>
      <c r="F41" s="2" t="s">
        <v>127</v>
      </c>
    </row>
    <row r="42" spans="1:15" ht="15" customHeight="1" x14ac:dyDescent="0.25">
      <c r="A42" s="1" t="s">
        <v>283</v>
      </c>
      <c r="B42" s="1" t="s">
        <v>283</v>
      </c>
      <c r="C42" s="1" t="s">
        <v>283</v>
      </c>
      <c r="D42" s="1" t="s">
        <v>254</v>
      </c>
      <c r="E42" s="1">
        <v>2</v>
      </c>
      <c r="F42" s="1">
        <v>1</v>
      </c>
    </row>
    <row r="43" spans="1:15" ht="15" customHeight="1" x14ac:dyDescent="0.25">
      <c r="A43" s="1" t="s">
        <v>283</v>
      </c>
      <c r="B43" s="1" t="s">
        <v>283</v>
      </c>
      <c r="C43" s="1" t="s">
        <v>283</v>
      </c>
      <c r="D43" s="1" t="s">
        <v>254</v>
      </c>
      <c r="E43" s="1">
        <v>4</v>
      </c>
      <c r="F43" s="1">
        <v>3</v>
      </c>
    </row>
    <row r="44" spans="1:15" ht="15" customHeight="1" x14ac:dyDescent="0.25">
      <c r="A44" s="1" t="s">
        <v>283</v>
      </c>
      <c r="B44" s="1" t="s">
        <v>283</v>
      </c>
      <c r="C44" s="1" t="s">
        <v>283</v>
      </c>
      <c r="D44" s="1" t="s">
        <v>255</v>
      </c>
      <c r="E44" s="1">
        <v>2</v>
      </c>
      <c r="F44" s="1">
        <v>1</v>
      </c>
    </row>
    <row r="45" spans="1:15" ht="15" customHeight="1" x14ac:dyDescent="0.25">
      <c r="A45" s="1" t="s">
        <v>283</v>
      </c>
      <c r="B45" s="1" t="s">
        <v>283</v>
      </c>
      <c r="C45" s="1" t="s">
        <v>283</v>
      </c>
      <c r="D45" s="1" t="s">
        <v>255</v>
      </c>
      <c r="E45" s="1">
        <v>4</v>
      </c>
      <c r="F45" s="1">
        <v>3</v>
      </c>
    </row>
    <row r="46" spans="1:15" ht="15" customHeight="1" x14ac:dyDescent="0.25">
      <c r="A46" s="1" t="s">
        <v>284</v>
      </c>
      <c r="B46" s="1" t="s">
        <v>343</v>
      </c>
      <c r="D46" s="1" t="s">
        <v>350</v>
      </c>
      <c r="E46" s="1" t="s">
        <v>155</v>
      </c>
      <c r="F46" s="1" t="s">
        <v>254</v>
      </c>
      <c r="O46" s="1" t="str">
        <f>"NAP " &amp; SUBSTITUTE(D46,"-"," ")</f>
        <v>NAP NAP unit inf Dummy</v>
      </c>
    </row>
    <row r="47" spans="1:15" ht="15" customHeight="1" x14ac:dyDescent="0.25">
      <c r="A47" s="1" t="s">
        <v>284</v>
      </c>
      <c r="B47" s="1" t="s">
        <v>343</v>
      </c>
      <c r="D47" s="1" t="s">
        <v>351</v>
      </c>
      <c r="E47" s="1" t="s">
        <v>155</v>
      </c>
      <c r="F47" s="1" t="s">
        <v>254</v>
      </c>
      <c r="O47" s="1" t="str">
        <f>"NAP " &amp; SUBSTITUTE(D47,"-"," ")</f>
        <v>NAP NAP unit cav Dummy</v>
      </c>
    </row>
    <row r="48" spans="1:15" ht="15" customHeight="1" x14ac:dyDescent="0.25">
      <c r="A48" s="1" t="s">
        <v>284</v>
      </c>
      <c r="B48" s="1" t="s">
        <v>344</v>
      </c>
      <c r="D48" s="1" t="s">
        <v>350</v>
      </c>
      <c r="E48" s="1" t="s">
        <v>155</v>
      </c>
      <c r="F48" s="1" t="s">
        <v>255</v>
      </c>
      <c r="O48" s="1" t="str">
        <f>"NAP " &amp; SUBSTITUTE(D48,"-"," ")</f>
        <v>NAP NAP unit inf Dummy</v>
      </c>
    </row>
    <row r="49" spans="1:16" ht="15" customHeight="1" x14ac:dyDescent="0.25">
      <c r="A49" s="1" t="s">
        <v>284</v>
      </c>
      <c r="B49" s="1" t="s">
        <v>344</v>
      </c>
      <c r="D49" s="1" t="s">
        <v>351</v>
      </c>
      <c r="E49" s="1" t="s">
        <v>155</v>
      </c>
      <c r="F49" s="1" t="s">
        <v>255</v>
      </c>
      <c r="O49" s="1" t="str">
        <f>"NAP " &amp; SUBSTITUTE(D49,"-"," ")</f>
        <v>NAP NAP unit cav Dummy</v>
      </c>
    </row>
    <row r="50" spans="1:16" ht="15" customHeight="1" x14ac:dyDescent="0.25">
      <c r="C50" s="2" t="s">
        <v>149</v>
      </c>
      <c r="D50" s="2" t="s">
        <v>154</v>
      </c>
      <c r="E50" s="2" t="s">
        <v>127</v>
      </c>
      <c r="F50" s="4"/>
      <c r="I50" s="1"/>
    </row>
    <row r="51" spans="1:16" ht="15" customHeight="1" x14ac:dyDescent="0.25">
      <c r="A51" s="1" t="s">
        <v>285</v>
      </c>
      <c r="B51" s="1" t="s">
        <v>303</v>
      </c>
      <c r="C51" s="1" t="s">
        <v>352</v>
      </c>
      <c r="D51" s="1">
        <v>1</v>
      </c>
      <c r="E51" s="1" t="s">
        <v>254</v>
      </c>
      <c r="P51" s="1" t="str">
        <f>"NAP " &amp; SUBSTITUTE(E51,"-"," ")</f>
        <v>NAP NAP flag france</v>
      </c>
    </row>
    <row r="52" spans="1:16" ht="15" customHeight="1" x14ac:dyDescent="0.25">
      <c r="A52" s="1" t="s">
        <v>285</v>
      </c>
      <c r="B52" s="1" t="s">
        <v>303</v>
      </c>
      <c r="C52" s="1" t="s">
        <v>352</v>
      </c>
      <c r="D52" s="1">
        <v>2</v>
      </c>
      <c r="E52" s="1" t="s">
        <v>254</v>
      </c>
      <c r="I52" s="1"/>
    </row>
    <row r="53" spans="1:16" ht="15" customHeight="1" x14ac:dyDescent="0.25">
      <c r="A53" s="1" t="s">
        <v>285</v>
      </c>
      <c r="B53" s="1" t="s">
        <v>304</v>
      </c>
      <c r="C53" s="1" t="s">
        <v>352</v>
      </c>
      <c r="D53" s="1">
        <v>1</v>
      </c>
      <c r="E53" s="1" t="s">
        <v>255</v>
      </c>
      <c r="I53" s="1"/>
    </row>
    <row r="54" spans="1:16" ht="15" customHeight="1" x14ac:dyDescent="0.25">
      <c r="A54" s="1" t="s">
        <v>285</v>
      </c>
      <c r="B54" s="1" t="s">
        <v>304</v>
      </c>
      <c r="C54" s="1" t="s">
        <v>352</v>
      </c>
      <c r="D54" s="1">
        <v>2</v>
      </c>
      <c r="E54" s="1" t="s">
        <v>255</v>
      </c>
      <c r="I54" s="1"/>
    </row>
    <row r="55" spans="1:16" ht="15" customHeight="1" x14ac:dyDescent="0.25">
      <c r="C55" s="2" t="s">
        <v>129</v>
      </c>
      <c r="D55" s="2" t="s">
        <v>151</v>
      </c>
      <c r="E55" s="2" t="s">
        <v>127</v>
      </c>
    </row>
    <row r="56" spans="1:16" ht="15" customHeight="1" x14ac:dyDescent="0.25">
      <c r="A56" s="1" t="s">
        <v>300</v>
      </c>
      <c r="B56" s="1" t="s">
        <v>300</v>
      </c>
      <c r="C56" s="1" t="s">
        <v>271</v>
      </c>
      <c r="D56" s="1" t="s">
        <v>158</v>
      </c>
      <c r="E56" s="1" t="s">
        <v>156</v>
      </c>
    </row>
    <row r="57" spans="1:16" ht="15" customHeight="1" x14ac:dyDescent="0.25">
      <c r="A57" s="1" t="s">
        <v>300</v>
      </c>
      <c r="B57" s="1" t="s">
        <v>300</v>
      </c>
      <c r="C57" s="1" t="s">
        <v>272</v>
      </c>
      <c r="D57" s="1" t="s">
        <v>159</v>
      </c>
      <c r="E57" s="1" t="s">
        <v>157</v>
      </c>
    </row>
    <row r="58" spans="1:16" ht="15" customHeight="1" x14ac:dyDescent="0.25">
      <c r="A58" s="1" t="s">
        <v>300</v>
      </c>
      <c r="B58" s="1" t="s">
        <v>300</v>
      </c>
      <c r="C58" s="1" t="s">
        <v>273</v>
      </c>
      <c r="D58" s="1" t="s">
        <v>346</v>
      </c>
      <c r="E58" s="1" t="s">
        <v>347</v>
      </c>
    </row>
    <row r="59" spans="1:16" ht="15" customHeight="1" x14ac:dyDescent="0.25">
      <c r="A59" s="1" t="s">
        <v>300</v>
      </c>
      <c r="B59" s="1" t="s">
        <v>300</v>
      </c>
      <c r="C59" s="1" t="s">
        <v>273</v>
      </c>
      <c r="D59" s="1" t="s">
        <v>348</v>
      </c>
      <c r="E59" s="1" t="s">
        <v>349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25" r:id="rId3" name="Button 1">
              <controlPr defaultSize="0" print="0" autoFill="0" autoPict="0" macro="[0]!ReadInfo">
                <anchor>
                  <from>
                    <xdr:col>8</xdr:col>
                    <xdr:colOff>106680</xdr:colOff>
                    <xdr:row>2</xdr:row>
                    <xdr:rowOff>7620</xdr:rowOff>
                  </from>
                  <to>
                    <xdr:col>10</xdr:col>
                    <xdr:colOff>114300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2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3.2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O47"/>
  <sheetViews>
    <sheetView tabSelected="1" zoomScaleSheetLayoutView="100" workbookViewId="0">
      <selection activeCell="Q17" sqref="Q17"/>
    </sheetView>
  </sheetViews>
  <sheetFormatPr defaultColWidth="9.109375" defaultRowHeight="13.2" x14ac:dyDescent="0.25"/>
  <cols>
    <col min="1" max="1" width="5.88671875" style="4" bestFit="1" customWidth="1"/>
    <col min="2" max="2" width="13.44140625" style="4" bestFit="1" customWidth="1"/>
    <col min="3" max="3" width="14.5546875" style="4" bestFit="1" customWidth="1"/>
    <col min="4" max="4" width="7.6640625" style="4" bestFit="1" customWidth="1"/>
    <col min="5" max="5" width="11.44140625" style="4" bestFit="1" customWidth="1"/>
    <col min="6" max="6" width="15.77734375" style="4" bestFit="1" customWidth="1"/>
    <col min="7" max="7" width="6.21875" style="4" bestFit="1" customWidth="1"/>
    <col min="8" max="8" width="5.77734375" style="4" bestFit="1" customWidth="1"/>
    <col min="9" max="9" width="3.33203125" style="4" bestFit="1" customWidth="1"/>
    <col min="10" max="10" width="6.21875" style="4" bestFit="1" customWidth="1"/>
    <col min="11" max="11" width="4.5546875" style="4" bestFit="1" customWidth="1"/>
    <col min="12" max="12" width="4" style="4" bestFit="1" customWidth="1"/>
    <col min="13" max="13" width="3.33203125" style="4" bestFit="1" customWidth="1"/>
    <col min="14" max="14" width="6.21875" style="4" bestFit="1" customWidth="1"/>
    <col min="15" max="15" width="4.5546875" style="4" bestFit="1" customWidth="1"/>
    <col min="16" max="16384" width="9.109375" style="4"/>
  </cols>
  <sheetData>
    <row r="1" spans="1:15" x14ac:dyDescent="0.25">
      <c r="C1" s="52" t="s">
        <v>125</v>
      </c>
      <c r="D1" s="52" t="s">
        <v>68</v>
      </c>
      <c r="E1" s="52" t="s">
        <v>370</v>
      </c>
      <c r="F1" s="52" t="s">
        <v>126</v>
      </c>
      <c r="G1" s="52" t="s">
        <v>296</v>
      </c>
      <c r="H1" s="52" t="s">
        <v>297</v>
      </c>
    </row>
    <row r="2" spans="1:15" x14ac:dyDescent="0.25">
      <c r="A2" s="4" t="s">
        <v>368</v>
      </c>
      <c r="B2" s="4" t="s">
        <v>376</v>
      </c>
      <c r="C2" s="4" t="s">
        <v>382</v>
      </c>
      <c r="D2" s="4" t="s">
        <v>379</v>
      </c>
      <c r="E2" s="53" t="s">
        <v>270</v>
      </c>
      <c r="F2" s="4">
        <v>1</v>
      </c>
      <c r="G2" s="4">
        <v>1</v>
      </c>
      <c r="H2" s="4">
        <v>4</v>
      </c>
    </row>
    <row r="3" spans="1:15" x14ac:dyDescent="0.25">
      <c r="C3" s="52" t="s">
        <v>125</v>
      </c>
      <c r="D3" s="52" t="s">
        <v>68</v>
      </c>
      <c r="E3" s="52" t="s">
        <v>126</v>
      </c>
      <c r="F3" s="52" t="s">
        <v>297</v>
      </c>
    </row>
    <row r="4" spans="1:15" x14ac:dyDescent="0.25">
      <c r="A4" s="4" t="s">
        <v>367</v>
      </c>
      <c r="B4" s="4" t="s">
        <v>378</v>
      </c>
      <c r="C4" s="4" t="s">
        <v>382</v>
      </c>
      <c r="D4" s="4" t="s">
        <v>380</v>
      </c>
      <c r="E4" s="4">
        <v>0</v>
      </c>
      <c r="F4" s="4">
        <v>4</v>
      </c>
    </row>
    <row r="5" spans="1:15" x14ac:dyDescent="0.25">
      <c r="C5" s="54" t="s">
        <v>68</v>
      </c>
      <c r="D5" s="54" t="s">
        <v>371</v>
      </c>
      <c r="E5" s="54" t="s">
        <v>372</v>
      </c>
      <c r="F5" s="54" t="s">
        <v>144</v>
      </c>
      <c r="G5" s="54" t="s">
        <v>373</v>
      </c>
      <c r="H5" s="54" t="s">
        <v>374</v>
      </c>
      <c r="I5" s="54" t="s">
        <v>126</v>
      </c>
      <c r="J5" s="54" t="s">
        <v>296</v>
      </c>
      <c r="K5" s="54" t="s">
        <v>297</v>
      </c>
      <c r="L5" s="54" t="s">
        <v>375</v>
      </c>
      <c r="M5" s="54" t="s">
        <v>126</v>
      </c>
      <c r="N5" s="54" t="s">
        <v>296</v>
      </c>
      <c r="O5" s="54" t="s">
        <v>297</v>
      </c>
    </row>
    <row r="6" spans="1:15" x14ac:dyDescent="0.25">
      <c r="A6" s="4" t="s">
        <v>384</v>
      </c>
      <c r="B6" s="4" t="s">
        <v>377</v>
      </c>
      <c r="C6" s="4" t="s">
        <v>381</v>
      </c>
      <c r="F6" s="4" t="s">
        <v>391</v>
      </c>
      <c r="I6" s="4">
        <v>3</v>
      </c>
      <c r="J6" s="4">
        <v>5</v>
      </c>
      <c r="K6" s="4">
        <v>7</v>
      </c>
      <c r="L6" s="4">
        <v>6</v>
      </c>
      <c r="M6" s="4">
        <v>2</v>
      </c>
      <c r="N6" s="4">
        <v>4</v>
      </c>
      <c r="O6" s="4">
        <v>6</v>
      </c>
    </row>
    <row r="7" spans="1:15" x14ac:dyDescent="0.25">
      <c r="A7" s="4" t="s">
        <v>369</v>
      </c>
      <c r="B7" s="4" t="s">
        <v>377</v>
      </c>
      <c r="C7" s="4" t="s">
        <v>381</v>
      </c>
      <c r="F7" s="4" t="s">
        <v>383</v>
      </c>
      <c r="I7" s="4">
        <v>2</v>
      </c>
      <c r="J7" s="4">
        <v>4</v>
      </c>
      <c r="K7" s="4">
        <v>4</v>
      </c>
      <c r="L7" s="4">
        <v>4</v>
      </c>
      <c r="M7" s="4">
        <v>1</v>
      </c>
      <c r="N7" s="4">
        <v>3</v>
      </c>
      <c r="O7" s="4">
        <v>4</v>
      </c>
    </row>
    <row r="11" spans="1:15" x14ac:dyDescent="0.25">
      <c r="C11" s="44" t="s">
        <v>379</v>
      </c>
      <c r="D11" s="55">
        <v>1</v>
      </c>
      <c r="E11" s="55">
        <v>1</v>
      </c>
      <c r="F11" s="55">
        <v>4</v>
      </c>
      <c r="G11" s="55"/>
      <c r="H11" s="55"/>
      <c r="I11" s="55"/>
      <c r="J11" s="55"/>
    </row>
    <row r="12" spans="1:15" x14ac:dyDescent="0.25">
      <c r="C12" s="44" t="s">
        <v>392</v>
      </c>
      <c r="D12" s="55">
        <v>0</v>
      </c>
      <c r="E12" s="55">
        <v>4</v>
      </c>
      <c r="F12" s="55"/>
      <c r="G12" s="55"/>
      <c r="H12" s="55"/>
      <c r="I12" s="55"/>
      <c r="J12" s="55"/>
    </row>
    <row r="13" spans="1:15" x14ac:dyDescent="0.25">
      <c r="C13" s="44" t="s">
        <v>392</v>
      </c>
      <c r="D13" s="55">
        <v>0</v>
      </c>
      <c r="E13" s="55">
        <v>3</v>
      </c>
      <c r="F13" s="55"/>
      <c r="G13" s="55"/>
      <c r="H13" s="55"/>
      <c r="I13" s="55"/>
      <c r="J13" s="55"/>
    </row>
    <row r="14" spans="1:15" x14ac:dyDescent="0.25">
      <c r="C14" s="44" t="s">
        <v>393</v>
      </c>
      <c r="D14" s="55">
        <v>2</v>
      </c>
      <c r="E14" s="55">
        <v>4</v>
      </c>
      <c r="F14" s="55">
        <v>7</v>
      </c>
      <c r="G14" s="55">
        <v>6</v>
      </c>
      <c r="H14" s="55">
        <v>1</v>
      </c>
      <c r="I14" s="55">
        <v>3</v>
      </c>
      <c r="J14" s="55">
        <v>6</v>
      </c>
    </row>
    <row r="15" spans="1:15" x14ac:dyDescent="0.25">
      <c r="C15" s="44" t="s">
        <v>394</v>
      </c>
      <c r="D15" s="55">
        <v>3</v>
      </c>
      <c r="E15" s="55">
        <v>5</v>
      </c>
      <c r="F15" s="55">
        <v>7</v>
      </c>
      <c r="G15" s="55">
        <v>6</v>
      </c>
      <c r="H15" s="55">
        <v>2</v>
      </c>
      <c r="I15" s="55">
        <v>4</v>
      </c>
      <c r="J15" s="55">
        <v>6</v>
      </c>
    </row>
    <row r="16" spans="1:15" x14ac:dyDescent="0.25">
      <c r="C16" s="44" t="s">
        <v>395</v>
      </c>
      <c r="D16" s="55">
        <v>3</v>
      </c>
      <c r="E16" s="55">
        <v>5</v>
      </c>
      <c r="F16" s="55">
        <v>7</v>
      </c>
      <c r="G16" s="55">
        <v>6</v>
      </c>
      <c r="H16" s="55">
        <v>2</v>
      </c>
      <c r="I16" s="55">
        <v>4</v>
      </c>
      <c r="J16" s="55">
        <v>6</v>
      </c>
    </row>
    <row r="17" spans="3:10" x14ac:dyDescent="0.25">
      <c r="C17" s="44" t="s">
        <v>393</v>
      </c>
      <c r="D17" s="55">
        <v>2</v>
      </c>
      <c r="E17" s="55">
        <v>3</v>
      </c>
      <c r="F17" s="55">
        <v>4</v>
      </c>
      <c r="G17" s="55">
        <v>4</v>
      </c>
      <c r="H17" s="55">
        <v>1</v>
      </c>
      <c r="I17" s="55">
        <v>2</v>
      </c>
      <c r="J17" s="55">
        <v>3</v>
      </c>
    </row>
    <row r="18" spans="3:10" x14ac:dyDescent="0.25">
      <c r="C18" s="44" t="s">
        <v>394</v>
      </c>
      <c r="D18" s="55">
        <v>3</v>
      </c>
      <c r="E18" s="55">
        <v>5</v>
      </c>
      <c r="F18" s="55">
        <v>4</v>
      </c>
      <c r="G18" s="55">
        <v>4</v>
      </c>
      <c r="H18" s="55">
        <v>2</v>
      </c>
      <c r="I18" s="55">
        <v>4</v>
      </c>
      <c r="J18" s="55">
        <v>3</v>
      </c>
    </row>
    <row r="19" spans="3:10" x14ac:dyDescent="0.25">
      <c r="C19" s="44" t="s">
        <v>395</v>
      </c>
      <c r="D19" s="55">
        <v>3</v>
      </c>
      <c r="E19" s="55">
        <v>5</v>
      </c>
      <c r="F19" s="55">
        <v>4</v>
      </c>
      <c r="G19" s="55">
        <v>4</v>
      </c>
      <c r="H19" s="55">
        <v>2</v>
      </c>
      <c r="I19" s="55">
        <v>4</v>
      </c>
      <c r="J19" s="55">
        <v>3</v>
      </c>
    </row>
    <row r="20" spans="3:10" x14ac:dyDescent="0.25">
      <c r="C20" s="44" t="s">
        <v>396</v>
      </c>
      <c r="D20" s="55">
        <v>0</v>
      </c>
      <c r="E20" s="55">
        <v>4</v>
      </c>
      <c r="F20" s="55"/>
      <c r="G20" s="55"/>
      <c r="H20" s="55"/>
      <c r="I20" s="55"/>
      <c r="J20" s="55"/>
    </row>
    <row r="21" spans="3:10" x14ac:dyDescent="0.25">
      <c r="C21" s="44" t="s">
        <v>396</v>
      </c>
      <c r="D21" s="55">
        <v>0</v>
      </c>
      <c r="E21" s="55">
        <v>3</v>
      </c>
      <c r="F21" s="55"/>
      <c r="G21" s="55"/>
      <c r="H21" s="55"/>
      <c r="I21" s="55"/>
      <c r="J21" s="55"/>
    </row>
    <row r="22" spans="3:10" x14ac:dyDescent="0.25">
      <c r="C22" s="44" t="s">
        <v>397</v>
      </c>
      <c r="D22" s="55">
        <v>3</v>
      </c>
      <c r="E22" s="55">
        <v>5</v>
      </c>
      <c r="F22" s="55">
        <v>7</v>
      </c>
      <c r="G22" s="55">
        <v>6</v>
      </c>
      <c r="H22" s="55">
        <v>2</v>
      </c>
      <c r="I22" s="55">
        <v>4</v>
      </c>
      <c r="J22" s="55">
        <v>6</v>
      </c>
    </row>
    <row r="23" spans="3:10" x14ac:dyDescent="0.25">
      <c r="C23" s="44" t="s">
        <v>398</v>
      </c>
      <c r="D23" s="55">
        <v>3</v>
      </c>
      <c r="E23" s="55">
        <v>5</v>
      </c>
      <c r="F23" s="55">
        <v>7</v>
      </c>
      <c r="G23" s="55">
        <v>6</v>
      </c>
      <c r="H23" s="55">
        <v>2</v>
      </c>
      <c r="I23" s="55">
        <v>4</v>
      </c>
      <c r="J23" s="55">
        <v>6</v>
      </c>
    </row>
    <row r="24" spans="3:10" x14ac:dyDescent="0.25">
      <c r="C24" s="44" t="s">
        <v>399</v>
      </c>
      <c r="D24" s="55">
        <v>4</v>
      </c>
      <c r="E24" s="55">
        <v>6</v>
      </c>
      <c r="F24" s="55">
        <v>7</v>
      </c>
      <c r="G24" s="55">
        <v>6</v>
      </c>
      <c r="H24" s="55">
        <v>3</v>
      </c>
      <c r="I24" s="55">
        <v>5</v>
      </c>
      <c r="J24" s="55">
        <v>6</v>
      </c>
    </row>
    <row r="25" spans="3:10" x14ac:dyDescent="0.25">
      <c r="C25" s="44" t="s">
        <v>397</v>
      </c>
      <c r="D25" s="55">
        <v>3</v>
      </c>
      <c r="E25" s="55">
        <v>4</v>
      </c>
      <c r="F25" s="55">
        <v>4</v>
      </c>
      <c r="G25" s="55">
        <v>4</v>
      </c>
      <c r="H25" s="55">
        <v>2</v>
      </c>
      <c r="I25" s="55">
        <v>3</v>
      </c>
      <c r="J25" s="55">
        <v>3</v>
      </c>
    </row>
    <row r="26" spans="3:10" x14ac:dyDescent="0.25">
      <c r="C26" s="44" t="s">
        <v>398</v>
      </c>
      <c r="D26" s="55">
        <v>3</v>
      </c>
      <c r="E26" s="55">
        <v>4</v>
      </c>
      <c r="F26" s="55">
        <v>4</v>
      </c>
      <c r="G26" s="55">
        <v>4</v>
      </c>
      <c r="H26" s="55">
        <v>2</v>
      </c>
      <c r="I26" s="55">
        <v>3</v>
      </c>
      <c r="J26" s="55">
        <v>3</v>
      </c>
    </row>
    <row r="27" spans="3:10" x14ac:dyDescent="0.25">
      <c r="C27" s="44" t="s">
        <v>399</v>
      </c>
      <c r="D27" s="55">
        <v>4</v>
      </c>
      <c r="E27" s="55">
        <v>5</v>
      </c>
      <c r="F27" s="55">
        <v>4</v>
      </c>
      <c r="G27" s="55">
        <v>4</v>
      </c>
      <c r="H27" s="55">
        <v>3</v>
      </c>
      <c r="I27" s="55">
        <v>4</v>
      </c>
      <c r="J27" s="55">
        <v>3</v>
      </c>
    </row>
    <row r="28" spans="3:10" x14ac:dyDescent="0.25">
      <c r="C28" s="44" t="s">
        <v>400</v>
      </c>
      <c r="D28" s="55">
        <v>0</v>
      </c>
      <c r="E28" s="55">
        <v>5</v>
      </c>
      <c r="F28" s="55"/>
      <c r="G28" s="55"/>
      <c r="H28" s="55"/>
      <c r="I28" s="55"/>
      <c r="J28" s="55"/>
    </row>
    <row r="29" spans="3:10" x14ac:dyDescent="0.25">
      <c r="C29" s="44" t="s">
        <v>400</v>
      </c>
      <c r="D29" s="55">
        <v>0</v>
      </c>
      <c r="E29" s="55">
        <v>4</v>
      </c>
      <c r="F29" s="55"/>
      <c r="G29" s="55"/>
      <c r="H29" s="55"/>
      <c r="I29" s="55"/>
      <c r="J29" s="55"/>
    </row>
    <row r="30" spans="3:10" x14ac:dyDescent="0.25">
      <c r="C30" s="44" t="s">
        <v>401</v>
      </c>
      <c r="D30" s="55">
        <v>3</v>
      </c>
      <c r="E30" s="55">
        <v>5</v>
      </c>
      <c r="F30" s="55">
        <v>8</v>
      </c>
      <c r="G30" s="55">
        <v>5</v>
      </c>
      <c r="H30" s="55">
        <v>2</v>
      </c>
      <c r="I30" s="55">
        <v>4</v>
      </c>
      <c r="J30" s="55">
        <v>7</v>
      </c>
    </row>
    <row r="31" spans="3:10" x14ac:dyDescent="0.25">
      <c r="C31" s="44" t="s">
        <v>402</v>
      </c>
      <c r="D31" s="55">
        <v>4</v>
      </c>
      <c r="E31" s="55">
        <v>6</v>
      </c>
      <c r="F31" s="55">
        <v>8</v>
      </c>
      <c r="G31" s="55">
        <v>5</v>
      </c>
      <c r="H31" s="55">
        <v>3</v>
      </c>
      <c r="I31" s="55">
        <v>5</v>
      </c>
      <c r="J31" s="55">
        <v>7</v>
      </c>
    </row>
    <row r="32" spans="3:10" x14ac:dyDescent="0.25">
      <c r="C32" s="44" t="s">
        <v>403</v>
      </c>
      <c r="D32" s="56" t="s">
        <v>404</v>
      </c>
      <c r="E32" s="55">
        <v>7</v>
      </c>
      <c r="F32" s="55">
        <v>7</v>
      </c>
      <c r="G32" s="56" t="s">
        <v>405</v>
      </c>
      <c r="H32" s="55">
        <v>0</v>
      </c>
      <c r="I32" s="55">
        <v>6</v>
      </c>
      <c r="J32" s="55">
        <v>6</v>
      </c>
    </row>
    <row r="33" spans="3:10" x14ac:dyDescent="0.25">
      <c r="D33" s="55"/>
      <c r="E33" s="55"/>
      <c r="F33" s="55"/>
      <c r="G33" s="55"/>
      <c r="H33" s="55"/>
      <c r="I33" s="55"/>
      <c r="J33" s="55"/>
    </row>
    <row r="34" spans="3:10" x14ac:dyDescent="0.25">
      <c r="C34" s="4" t="s">
        <v>406</v>
      </c>
      <c r="D34" s="55">
        <v>0</v>
      </c>
      <c r="E34" s="55">
        <v>2</v>
      </c>
      <c r="F34" s="55">
        <v>4</v>
      </c>
      <c r="G34" s="55"/>
      <c r="H34" s="55"/>
      <c r="I34" s="55"/>
      <c r="J34" s="55"/>
    </row>
    <row r="35" spans="3:10" x14ac:dyDescent="0.25">
      <c r="C35" s="4" t="s">
        <v>407</v>
      </c>
      <c r="D35" s="57" t="s">
        <v>417</v>
      </c>
      <c r="E35" s="57" t="s">
        <v>194</v>
      </c>
      <c r="F35" s="55"/>
      <c r="G35" s="55"/>
      <c r="H35" s="55"/>
      <c r="I35" s="55"/>
      <c r="J35" s="55"/>
    </row>
    <row r="36" spans="3:10" x14ac:dyDescent="0.25">
      <c r="C36" s="4" t="s">
        <v>407</v>
      </c>
      <c r="D36" s="57" t="s">
        <v>417</v>
      </c>
      <c r="E36" s="57" t="s">
        <v>148</v>
      </c>
      <c r="F36" s="55"/>
      <c r="G36" s="55"/>
      <c r="H36" s="55"/>
      <c r="I36" s="55"/>
      <c r="J36" s="55"/>
    </row>
    <row r="37" spans="3:10" x14ac:dyDescent="0.25">
      <c r="C37" s="4" t="s">
        <v>408</v>
      </c>
      <c r="D37" s="57" t="s">
        <v>194</v>
      </c>
      <c r="E37" s="57" t="s">
        <v>147</v>
      </c>
      <c r="F37" s="57" t="s">
        <v>146</v>
      </c>
      <c r="G37" s="57" t="s">
        <v>146</v>
      </c>
      <c r="H37" s="57" t="s">
        <v>148</v>
      </c>
      <c r="I37" s="57" t="s">
        <v>146</v>
      </c>
      <c r="J37" s="57" t="s">
        <v>194</v>
      </c>
    </row>
    <row r="38" spans="3:10" x14ac:dyDescent="0.25">
      <c r="C38" s="4" t="s">
        <v>413</v>
      </c>
      <c r="D38" s="57" t="s">
        <v>194</v>
      </c>
      <c r="E38" s="57" t="s">
        <v>147</v>
      </c>
      <c r="F38" s="57" t="s">
        <v>146</v>
      </c>
      <c r="G38" s="57" t="s">
        <v>146</v>
      </c>
      <c r="H38" s="57" t="s">
        <v>148</v>
      </c>
      <c r="I38" s="57" t="s">
        <v>146</v>
      </c>
      <c r="J38" s="57" t="s">
        <v>194</v>
      </c>
    </row>
    <row r="39" spans="3:10" x14ac:dyDescent="0.25">
      <c r="C39" s="4" t="s">
        <v>414</v>
      </c>
      <c r="D39" s="57" t="s">
        <v>194</v>
      </c>
      <c r="E39" s="57" t="s">
        <v>147</v>
      </c>
      <c r="F39" s="57" t="s">
        <v>146</v>
      </c>
      <c r="G39" s="57" t="s">
        <v>146</v>
      </c>
      <c r="H39" s="57" t="s">
        <v>148</v>
      </c>
      <c r="I39" s="57" t="s">
        <v>146</v>
      </c>
      <c r="J39" s="57" t="s">
        <v>194</v>
      </c>
    </row>
    <row r="40" spans="3:10" x14ac:dyDescent="0.25">
      <c r="C40" s="4" t="s">
        <v>409</v>
      </c>
      <c r="D40" s="57" t="s">
        <v>417</v>
      </c>
      <c r="E40" s="57" t="s">
        <v>146</v>
      </c>
      <c r="F40" s="55"/>
      <c r="G40" s="55"/>
      <c r="H40" s="55"/>
      <c r="I40" s="55"/>
      <c r="J40" s="55"/>
    </row>
    <row r="41" spans="3:10" x14ac:dyDescent="0.25">
      <c r="C41" s="4" t="s">
        <v>409</v>
      </c>
      <c r="D41" s="57" t="s">
        <v>417</v>
      </c>
      <c r="E41" s="57" t="s">
        <v>194</v>
      </c>
      <c r="F41" s="55"/>
      <c r="G41" s="55"/>
      <c r="H41" s="55"/>
      <c r="I41" s="55"/>
      <c r="J41" s="55"/>
    </row>
    <row r="42" spans="3:10" x14ac:dyDescent="0.25">
      <c r="C42" s="4" t="s">
        <v>410</v>
      </c>
      <c r="D42" s="57" t="s">
        <v>148</v>
      </c>
      <c r="E42" s="57" t="s">
        <v>147</v>
      </c>
      <c r="F42" s="57" t="s">
        <v>418</v>
      </c>
      <c r="G42" s="57" t="s">
        <v>147</v>
      </c>
      <c r="H42" s="57" t="s">
        <v>197</v>
      </c>
      <c r="I42" s="57" t="s">
        <v>146</v>
      </c>
      <c r="J42" s="57" t="s">
        <v>199</v>
      </c>
    </row>
    <row r="43" spans="3:10" x14ac:dyDescent="0.25">
      <c r="C43" s="4" t="s">
        <v>415</v>
      </c>
      <c r="D43" s="57" t="s">
        <v>197</v>
      </c>
      <c r="E43" s="57" t="s">
        <v>147</v>
      </c>
      <c r="F43" s="57" t="s">
        <v>418</v>
      </c>
      <c r="G43" s="57" t="s">
        <v>147</v>
      </c>
      <c r="H43" s="57" t="s">
        <v>197</v>
      </c>
      <c r="I43" s="57" t="s">
        <v>146</v>
      </c>
      <c r="J43" s="57" t="s">
        <v>199</v>
      </c>
    </row>
    <row r="44" spans="3:10" x14ac:dyDescent="0.25">
      <c r="C44" s="4" t="s">
        <v>416</v>
      </c>
      <c r="D44" s="57" t="s">
        <v>197</v>
      </c>
      <c r="E44" s="57" t="s">
        <v>147</v>
      </c>
      <c r="F44" s="57" t="s">
        <v>418</v>
      </c>
      <c r="G44" s="57" t="s">
        <v>147</v>
      </c>
      <c r="H44" s="57" t="s">
        <v>197</v>
      </c>
      <c r="I44" s="57" t="s">
        <v>146</v>
      </c>
      <c r="J44" s="57" t="s">
        <v>199</v>
      </c>
    </row>
    <row r="45" spans="3:10" x14ac:dyDescent="0.25">
      <c r="C45" s="4" t="s">
        <v>411</v>
      </c>
      <c r="D45" s="57" t="s">
        <v>148</v>
      </c>
      <c r="E45" s="57" t="s">
        <v>194</v>
      </c>
      <c r="F45" s="57" t="s">
        <v>418</v>
      </c>
      <c r="G45" s="57" t="s">
        <v>194</v>
      </c>
      <c r="H45" s="57" t="s">
        <v>197</v>
      </c>
      <c r="I45" s="57" t="s">
        <v>148</v>
      </c>
      <c r="J45" s="57" t="s">
        <v>199</v>
      </c>
    </row>
    <row r="46" spans="3:10" x14ac:dyDescent="0.25">
      <c r="C46" s="4" t="s">
        <v>411</v>
      </c>
      <c r="D46" s="57" t="s">
        <v>148</v>
      </c>
      <c r="E46" s="57" t="s">
        <v>194</v>
      </c>
      <c r="F46" s="57" t="s">
        <v>418</v>
      </c>
      <c r="G46" s="57" t="s">
        <v>194</v>
      </c>
      <c r="H46" s="57" t="s">
        <v>197</v>
      </c>
      <c r="I46" s="57" t="s">
        <v>148</v>
      </c>
      <c r="J46" s="57" t="s">
        <v>199</v>
      </c>
    </row>
    <row r="47" spans="3:10" x14ac:dyDescent="0.25">
      <c r="C47" s="4" t="s">
        <v>412</v>
      </c>
      <c r="D47" s="57" t="s">
        <v>404</v>
      </c>
      <c r="E47" s="57" t="s">
        <v>200</v>
      </c>
      <c r="F47" s="57" t="s">
        <v>199</v>
      </c>
      <c r="G47" s="57" t="s">
        <v>405</v>
      </c>
      <c r="H47" s="57" t="s">
        <v>417</v>
      </c>
      <c r="I47" s="57" t="s">
        <v>147</v>
      </c>
      <c r="J47" s="57" t="s">
        <v>200</v>
      </c>
    </row>
  </sheetData>
  <conditionalFormatting sqref="C5:O5">
    <cfRule type="expression" dxfId="2" priority="2" stopIfTrue="1">
      <formula>($A12&lt;&gt;$A13)</formula>
    </cfRule>
  </conditionalFormatting>
  <conditionalFormatting sqref="C1:H1">
    <cfRule type="expression" dxfId="1" priority="1" stopIfTrue="1">
      <formula>($A13&lt;&gt;$A14)</formula>
    </cfRule>
  </conditionalFormatting>
  <conditionalFormatting sqref="C3:F3">
    <cfRule type="expression" dxfId="0" priority="3" stopIfTrue="1">
      <formula>($A13&lt;&gt;$A14)</formula>
    </cfRule>
  </conditionalFormatting>
  <pageMargins left="0.75" right="0.75" top="1" bottom="1" header="0.51180555555555551" footer="0.5118055555555555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145" r:id="rId4" name="Button 1">
              <controlPr defaultSize="0" print="0" autoFill="0" autoPict="0" macro="[0]!ReadInfo">
                <anchor moveWithCells="1" sizeWithCells="1">
                  <from>
                    <xdr:col>16</xdr:col>
                    <xdr:colOff>556260</xdr:colOff>
                    <xdr:row>3</xdr:row>
                    <xdr:rowOff>91440</xdr:rowOff>
                  </from>
                  <to>
                    <xdr:col>19</xdr:col>
                    <xdr:colOff>152400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points to cm</vt:lpstr>
      <vt:lpstr>To do</vt:lpstr>
      <vt:lpstr>Parameters</vt:lpstr>
      <vt:lpstr>Types</vt:lpstr>
      <vt:lpstr>Fields</vt:lpstr>
      <vt:lpstr>Schemes</vt:lpstr>
      <vt:lpstr>FieldColours</vt:lpstr>
      <vt:lpstr>Colours</vt:lpstr>
      <vt:lpstr>Colours (4)</vt:lpstr>
      <vt:lpstr>MOD</vt:lpstr>
      <vt:lpstr>NAP</vt:lpstr>
      <vt:lpstr>Sheet2</vt:lpstr>
      <vt:lpstr>Sheet3</vt:lpstr>
      <vt:lpstr>test</vt:lpstr>
      <vt:lpstr>counter_size_pixels</vt:lpstr>
      <vt:lpstr>margins</vt:lpstr>
      <vt:lpstr>size_of_grid</vt:lpstr>
      <vt:lpstr>units_per_row</vt:lpstr>
    </vt:vector>
  </TitlesOfParts>
  <Company>ARROW Communication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cjn</dc:creator>
  <cp:lastModifiedBy>Newell, Christopher (Ireland Dundrum)</cp:lastModifiedBy>
  <cp:lastPrinted>2010-06-24T19:29:14Z</cp:lastPrinted>
  <dcterms:created xsi:type="dcterms:W3CDTF">2008-11-07T10:01:17Z</dcterms:created>
  <dcterms:modified xsi:type="dcterms:W3CDTF">2020-03-02T16:55:02Z</dcterms:modified>
</cp:coreProperties>
</file>