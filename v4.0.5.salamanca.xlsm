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60" windowWidth="19680" windowHeight="6528" firstSheet="2" activeTab="11"/>
  </bookViews>
  <sheets>
    <sheet name="To do" sheetId="407" r:id="rId1"/>
    <sheet name="Parameters" sheetId="430" r:id="rId2"/>
    <sheet name="Sizes" sheetId="31" r:id="rId3"/>
    <sheet name="Templates" sheetId="34" r:id="rId4"/>
    <sheet name="Elements" sheetId="32" r:id="rId5"/>
    <sheet name="Schemes" sheetId="36" r:id="rId6"/>
    <sheet name="ElementColours" sheetId="35" r:id="rId7"/>
    <sheet name="Gradients" sheetId="426" state="hidden" r:id="rId8"/>
    <sheet name="SysColours" sheetId="465" r:id="rId9"/>
    <sheet name="UserColours" sheetId="622" r:id="rId10"/>
    <sheet name="Shapes" sheetId="423" r:id="rId11"/>
    <sheet name="Bgde_regt" sheetId="733" r:id="rId12"/>
    <sheet name="Sheet1" sheetId="734" r:id="rId13"/>
  </sheets>
  <functionGroups builtInGroupCount="17"/>
  <definedNames>
    <definedName name="_xlnm._FilterDatabase" localSheetId="6" hidden="1">ElementColours!$A$1:$I$192</definedName>
    <definedName name="_xlnm._FilterDatabase" localSheetId="4" hidden="1">Elements!$A$1:$U$53</definedName>
    <definedName name="bordercolour">Parameters!$B$6</definedName>
    <definedName name="commonfolder">Parameters!$B$5</definedName>
    <definedName name="doublesided">Parameters!$B$7</definedName>
    <definedName name="imagefolder">Parameters!$B$4</definedName>
    <definedName name="margin">Parameters!$B$2</definedName>
    <definedName name="sprueheight">Parameters!$B$3</definedName>
  </definedNames>
  <calcPr calcId="145621"/>
</workbook>
</file>

<file path=xl/calcChain.xml><?xml version="1.0" encoding="utf-8"?>
<calcChain xmlns="http://schemas.openxmlformats.org/spreadsheetml/2006/main">
  <c r="D132" i="733" l="1"/>
  <c r="D131" i="733"/>
  <c r="D130" i="733"/>
  <c r="D129" i="733"/>
  <c r="D119" i="733" l="1"/>
  <c r="D118" i="733"/>
  <c r="D117" i="733"/>
  <c r="D116" i="733"/>
  <c r="D113" i="733"/>
  <c r="D112" i="733"/>
  <c r="D111" i="733"/>
  <c r="D108" i="733"/>
  <c r="D107" i="733"/>
  <c r="D106" i="733"/>
  <c r="D103" i="733"/>
  <c r="D102" i="733"/>
  <c r="D101" i="733"/>
  <c r="D100" i="733"/>
  <c r="D97" i="733"/>
  <c r="D96" i="733"/>
  <c r="D95" i="733"/>
  <c r="D92" i="733"/>
  <c r="D91" i="733"/>
  <c r="D90" i="733"/>
  <c r="D89" i="733"/>
  <c r="D86" i="733"/>
  <c r="D85" i="733"/>
  <c r="D84" i="733"/>
  <c r="D83" i="733"/>
  <c r="D80" i="733"/>
  <c r="D79" i="733"/>
  <c r="D78" i="733"/>
  <c r="D77" i="733"/>
  <c r="T46" i="733" l="1"/>
  <c r="T45" i="733"/>
  <c r="D45" i="733" s="1"/>
  <c r="P45" i="733"/>
  <c r="O45" i="733"/>
  <c r="D140" i="733" l="1"/>
  <c r="D139" i="733"/>
  <c r="T131" i="733"/>
  <c r="P131" i="733"/>
  <c r="O131" i="733"/>
  <c r="D143" i="733" l="1"/>
  <c r="D145" i="733"/>
  <c r="D146" i="733"/>
  <c r="D147" i="733"/>
  <c r="D148" i="733"/>
  <c r="D149" i="733"/>
  <c r="D150" i="733"/>
  <c r="D151" i="733"/>
  <c r="D152" i="733"/>
  <c r="D144" i="733"/>
  <c r="D138" i="733" l="1"/>
  <c r="D137" i="733"/>
  <c r="D64" i="733"/>
  <c r="D65" i="733"/>
  <c r="D66" i="733"/>
  <c r="D67" i="733"/>
  <c r="D68" i="733"/>
  <c r="D69" i="733"/>
  <c r="D70" i="733"/>
  <c r="D71" i="733"/>
  <c r="D63" i="733"/>
  <c r="E76" i="733"/>
  <c r="D189" i="733" l="1"/>
  <c r="D190" i="733"/>
  <c r="D191" i="733"/>
  <c r="D192" i="733"/>
  <c r="D193" i="733"/>
  <c r="D194" i="733"/>
  <c r="D195" i="733"/>
  <c r="D196" i="733"/>
  <c r="D197" i="733"/>
  <c r="D198" i="733"/>
  <c r="D188" i="733"/>
  <c r="E201" i="465"/>
  <c r="E202" i="465"/>
  <c r="E203" i="465"/>
  <c r="E204" i="465"/>
  <c r="E205" i="465"/>
  <c r="E206" i="465"/>
  <c r="E207" i="465"/>
  <c r="E208" i="465"/>
  <c r="E209" i="465"/>
  <c r="E210" i="465"/>
  <c r="E200" i="465"/>
  <c r="D187" i="733"/>
  <c r="D186" i="733"/>
  <c r="E199" i="465"/>
  <c r="E198" i="465"/>
  <c r="D174" i="733"/>
  <c r="D175" i="733"/>
  <c r="D176" i="733"/>
  <c r="D177" i="733"/>
  <c r="D178" i="733"/>
  <c r="D179" i="733"/>
  <c r="D180" i="733"/>
  <c r="D181" i="733"/>
  <c r="D182" i="733"/>
  <c r="D183" i="733"/>
  <c r="D184" i="733"/>
  <c r="D185" i="733"/>
  <c r="D173" i="733"/>
  <c r="E192" i="465"/>
  <c r="E191" i="465"/>
  <c r="E190" i="465"/>
  <c r="E188" i="465"/>
  <c r="E186" i="465"/>
  <c r="E197" i="465"/>
  <c r="E196" i="465"/>
  <c r="E195" i="465"/>
  <c r="E194" i="465"/>
  <c r="E193" i="465"/>
  <c r="E189" i="465"/>
  <c r="E187" i="465"/>
  <c r="E185" i="465"/>
  <c r="E184" i="465"/>
  <c r="E172" i="465"/>
  <c r="E173" i="465"/>
  <c r="E174" i="465"/>
  <c r="E175" i="465"/>
  <c r="E176" i="465"/>
  <c r="E177" i="465"/>
  <c r="E178" i="465"/>
  <c r="E179" i="465"/>
  <c r="E180" i="465"/>
  <c r="E181" i="465"/>
  <c r="E182" i="465"/>
  <c r="E183" i="465"/>
  <c r="E171" i="465"/>
  <c r="P58" i="733" l="1"/>
  <c r="O58" i="733"/>
  <c r="N58" i="733"/>
  <c r="P57" i="733"/>
  <c r="O57" i="733"/>
  <c r="N57" i="733"/>
  <c r="P56" i="733"/>
  <c r="O56" i="733"/>
  <c r="P55" i="733"/>
  <c r="O55" i="733"/>
  <c r="P54" i="733"/>
  <c r="O54" i="733"/>
  <c r="P53" i="733"/>
  <c r="O53" i="733"/>
  <c r="N53" i="733"/>
  <c r="P52" i="733"/>
  <c r="O52" i="733"/>
  <c r="N52" i="733"/>
  <c r="P51" i="733"/>
  <c r="O51" i="733"/>
  <c r="N51" i="733"/>
  <c r="P50" i="733"/>
  <c r="O50" i="733"/>
  <c r="N50" i="733"/>
  <c r="P49" i="733"/>
  <c r="O49" i="733"/>
  <c r="N49" i="733"/>
  <c r="P47" i="733"/>
  <c r="O47" i="733"/>
  <c r="P46" i="733"/>
  <c r="O46" i="733"/>
  <c r="N46" i="733"/>
  <c r="P44" i="733"/>
  <c r="O44" i="733"/>
  <c r="N44" i="733"/>
  <c r="P43" i="733"/>
  <c r="O43" i="733"/>
  <c r="N43" i="733"/>
  <c r="P41" i="733"/>
  <c r="O41" i="733"/>
  <c r="P40" i="733"/>
  <c r="O40" i="733"/>
  <c r="N40" i="733"/>
  <c r="P39" i="733"/>
  <c r="O39" i="733"/>
  <c r="N39" i="733"/>
  <c r="P38" i="733"/>
  <c r="O38" i="733"/>
  <c r="N38" i="733"/>
  <c r="P36" i="733"/>
  <c r="O36" i="733"/>
  <c r="P35" i="733"/>
  <c r="O35" i="733"/>
  <c r="N35" i="733"/>
  <c r="P34" i="733"/>
  <c r="O34" i="733"/>
  <c r="N34" i="733"/>
  <c r="P33" i="733"/>
  <c r="O33" i="733"/>
  <c r="N33" i="733"/>
  <c r="P31" i="733"/>
  <c r="O31" i="733"/>
  <c r="P30" i="733"/>
  <c r="O30" i="733"/>
  <c r="N30" i="733"/>
  <c r="P29" i="733"/>
  <c r="O29" i="733"/>
  <c r="N29" i="733"/>
  <c r="P28" i="733"/>
  <c r="O28" i="733"/>
  <c r="N28" i="733"/>
  <c r="P26" i="733"/>
  <c r="O26" i="733"/>
  <c r="P25" i="733"/>
  <c r="O25" i="733"/>
  <c r="N25" i="733"/>
  <c r="P24" i="733"/>
  <c r="O24" i="733"/>
  <c r="N24" i="733"/>
  <c r="P23" i="733"/>
  <c r="O23" i="733"/>
  <c r="N23" i="733"/>
  <c r="P21" i="733"/>
  <c r="O21" i="733"/>
  <c r="P20" i="733"/>
  <c r="O20" i="733"/>
  <c r="N20" i="733"/>
  <c r="P19" i="733"/>
  <c r="O19" i="733"/>
  <c r="N19" i="733"/>
  <c r="P18" i="733"/>
  <c r="O18" i="733"/>
  <c r="N18" i="733"/>
  <c r="P16" i="733"/>
  <c r="O16" i="733"/>
  <c r="P15" i="733"/>
  <c r="O15" i="733"/>
  <c r="N15" i="733"/>
  <c r="P14" i="733"/>
  <c r="O14" i="733"/>
  <c r="N14" i="733"/>
  <c r="P13" i="733"/>
  <c r="O13" i="733"/>
  <c r="N13" i="733"/>
  <c r="P11" i="733"/>
  <c r="O11" i="733"/>
  <c r="P10" i="733"/>
  <c r="O10" i="733"/>
  <c r="N10" i="733"/>
  <c r="P9" i="733"/>
  <c r="O9" i="733"/>
  <c r="N9" i="733"/>
  <c r="T83" i="733" l="1"/>
  <c r="T116" i="733"/>
  <c r="T111" i="733"/>
  <c r="T106" i="733"/>
  <c r="T100" i="733"/>
  <c r="T95" i="733"/>
  <c r="T89" i="733"/>
  <c r="P114" i="733"/>
  <c r="O114" i="733"/>
  <c r="P109" i="733"/>
  <c r="O109" i="733"/>
  <c r="P104" i="733"/>
  <c r="O104" i="733"/>
  <c r="P98" i="733"/>
  <c r="O98" i="733"/>
  <c r="P93" i="733"/>
  <c r="O93" i="733"/>
  <c r="P87" i="733"/>
  <c r="O87" i="733"/>
  <c r="P118" i="733"/>
  <c r="O118" i="733"/>
  <c r="N118" i="733"/>
  <c r="P116" i="733"/>
  <c r="O116" i="733"/>
  <c r="N116" i="733"/>
  <c r="P111" i="733"/>
  <c r="O111" i="733"/>
  <c r="N111" i="733"/>
  <c r="P106" i="733"/>
  <c r="O106" i="733"/>
  <c r="N106" i="733"/>
  <c r="P102" i="733"/>
  <c r="O102" i="733"/>
  <c r="N102" i="733"/>
  <c r="P100" i="733"/>
  <c r="O100" i="733"/>
  <c r="N100" i="733"/>
  <c r="P95" i="733"/>
  <c r="O95" i="733"/>
  <c r="N95" i="733"/>
  <c r="P91" i="733"/>
  <c r="O91" i="733"/>
  <c r="N91" i="733"/>
  <c r="P89" i="733"/>
  <c r="O89" i="733"/>
  <c r="N89" i="733"/>
  <c r="P85" i="733"/>
  <c r="O85" i="733"/>
  <c r="N85" i="733"/>
  <c r="P83" i="733"/>
  <c r="O83" i="733"/>
  <c r="N83" i="733"/>
  <c r="O81" i="733"/>
  <c r="P81" i="733"/>
  <c r="P79" i="733"/>
  <c r="O79" i="733"/>
  <c r="N79" i="733"/>
  <c r="P78" i="733"/>
  <c r="O78" i="733"/>
  <c r="N78" i="733"/>
  <c r="P132" i="733"/>
  <c r="O132" i="733"/>
  <c r="P130" i="733"/>
  <c r="O130" i="733"/>
  <c r="P129" i="733"/>
  <c r="O129" i="733"/>
  <c r="P128" i="733"/>
  <c r="O128" i="733"/>
  <c r="P127" i="733"/>
  <c r="O127" i="733"/>
  <c r="N127" i="733"/>
  <c r="P126" i="733"/>
  <c r="O126" i="733"/>
  <c r="N126" i="733"/>
  <c r="P124" i="733"/>
  <c r="O124" i="733"/>
  <c r="P123" i="733"/>
  <c r="O123" i="733"/>
  <c r="N123" i="733"/>
  <c r="P122" i="733"/>
  <c r="O122" i="733"/>
  <c r="N122" i="733"/>
  <c r="P120" i="733"/>
  <c r="O120" i="733"/>
  <c r="T77" i="733"/>
  <c r="P119" i="733"/>
  <c r="O119" i="733"/>
  <c r="N119" i="733"/>
  <c r="P117" i="733"/>
  <c r="O117" i="733"/>
  <c r="N117" i="733"/>
  <c r="P113" i="733"/>
  <c r="O113" i="733"/>
  <c r="N113" i="733"/>
  <c r="P112" i="733"/>
  <c r="O112" i="733"/>
  <c r="N112" i="733"/>
  <c r="P108" i="733"/>
  <c r="O108" i="733"/>
  <c r="N108" i="733"/>
  <c r="P107" i="733"/>
  <c r="O107" i="733"/>
  <c r="N107" i="733"/>
  <c r="P103" i="733"/>
  <c r="O103" i="733"/>
  <c r="N103" i="733"/>
  <c r="P101" i="733"/>
  <c r="O101" i="733"/>
  <c r="N101" i="733"/>
  <c r="P97" i="733"/>
  <c r="O97" i="733"/>
  <c r="N97" i="733"/>
  <c r="P96" i="733"/>
  <c r="O96" i="733"/>
  <c r="N96" i="733"/>
  <c r="P92" i="733"/>
  <c r="O92" i="733"/>
  <c r="N92" i="733"/>
  <c r="P90" i="733"/>
  <c r="O90" i="733"/>
  <c r="N90" i="733"/>
  <c r="P86" i="733"/>
  <c r="O86" i="733"/>
  <c r="N86" i="733"/>
  <c r="P84" i="733"/>
  <c r="O84" i="733"/>
  <c r="N84" i="733"/>
  <c r="P80" i="733"/>
  <c r="O80" i="733"/>
  <c r="N80" i="733"/>
  <c r="P77" i="733"/>
  <c r="O77" i="733"/>
  <c r="N77" i="733"/>
  <c r="E169" i="465"/>
  <c r="E170" i="465"/>
  <c r="E168" i="465"/>
  <c r="T78" i="733" l="1"/>
  <c r="T79" i="733"/>
  <c r="T81" i="733" s="1"/>
  <c r="E48" i="733"/>
  <c r="E42" i="733"/>
  <c r="E8" i="733"/>
  <c r="E32" i="733"/>
  <c r="E27" i="733"/>
  <c r="E22" i="733"/>
  <c r="E17" i="733"/>
  <c r="E12" i="733"/>
  <c r="T18" i="733"/>
  <c r="T19" i="733" s="1"/>
  <c r="T20" i="733" s="1"/>
  <c r="T21" i="733" s="1"/>
  <c r="T13" i="733"/>
  <c r="D13" i="733" s="1"/>
  <c r="T80" i="733" l="1"/>
  <c r="T84" i="733"/>
  <c r="E82" i="733"/>
  <c r="D18" i="733"/>
  <c r="D20" i="733"/>
  <c r="D19" i="733"/>
  <c r="D55" i="733"/>
  <c r="T14" i="733"/>
  <c r="J3" i="622"/>
  <c r="J4" i="622"/>
  <c r="J5" i="622"/>
  <c r="J6" i="622"/>
  <c r="J7" i="622"/>
  <c r="J8" i="622"/>
  <c r="J9" i="622"/>
  <c r="J10" i="622"/>
  <c r="J11" i="622"/>
  <c r="J12" i="622"/>
  <c r="I3" i="622"/>
  <c r="I4" i="622"/>
  <c r="I5" i="622"/>
  <c r="I6" i="622"/>
  <c r="I7" i="622"/>
  <c r="I8" i="622"/>
  <c r="I9" i="622"/>
  <c r="I10" i="622"/>
  <c r="I11" i="622"/>
  <c r="I12" i="622"/>
  <c r="I13" i="622"/>
  <c r="D81" i="733" l="1"/>
  <c r="T86" i="733"/>
  <c r="T43" i="733"/>
  <c r="D14" i="733"/>
  <c r="T15" i="733"/>
  <c r="E66" i="622"/>
  <c r="E65" i="622"/>
  <c r="E64" i="622"/>
  <c r="E63" i="622"/>
  <c r="E62" i="622"/>
  <c r="E61" i="622"/>
  <c r="E60" i="622"/>
  <c r="E59" i="622"/>
  <c r="E58" i="622"/>
  <c r="E57" i="622"/>
  <c r="E56" i="622"/>
  <c r="E55" i="622"/>
  <c r="E54" i="622"/>
  <c r="E53" i="622"/>
  <c r="E52" i="622"/>
  <c r="E51" i="622"/>
  <c r="E50" i="622"/>
  <c r="E49" i="622"/>
  <c r="E48" i="622"/>
  <c r="E47" i="622"/>
  <c r="E46" i="622"/>
  <c r="E45" i="622"/>
  <c r="E44" i="622"/>
  <c r="E43" i="622"/>
  <c r="E42" i="622"/>
  <c r="E41" i="622"/>
  <c r="E40" i="622"/>
  <c r="E39" i="622"/>
  <c r="E38" i="622"/>
  <c r="E37" i="622"/>
  <c r="E36" i="622"/>
  <c r="E35" i="622"/>
  <c r="E34" i="622"/>
  <c r="E33" i="622"/>
  <c r="E32" i="622"/>
  <c r="E31" i="622"/>
  <c r="E30" i="622"/>
  <c r="E29" i="622"/>
  <c r="E28" i="622"/>
  <c r="T91" i="733" l="1"/>
  <c r="T85" i="733"/>
  <c r="T44" i="733"/>
  <c r="D43" i="733"/>
  <c r="T16" i="733"/>
  <c r="D16" i="733" s="1"/>
  <c r="D15" i="733"/>
  <c r="T87" i="733" l="1"/>
  <c r="D87" i="733" s="1"/>
  <c r="T93" i="733"/>
  <c r="D93" i="733" s="1"/>
  <c r="T90" i="733"/>
  <c r="E88" i="733"/>
  <c r="D44" i="733"/>
  <c r="T92" i="733" l="1"/>
  <c r="T47" i="733"/>
  <c r="D46" i="733"/>
  <c r="T49" i="733" l="1"/>
  <c r="D47" i="733"/>
  <c r="E94" i="733" l="1"/>
  <c r="T96" i="733"/>
  <c r="T98" i="733" s="1"/>
  <c r="D98" i="733" s="1"/>
  <c r="T50" i="733"/>
  <c r="D49" i="733"/>
  <c r="T97" i="733" l="1"/>
  <c r="T51" i="733"/>
  <c r="D50" i="733"/>
  <c r="T102" i="733" l="1"/>
  <c r="T52" i="733"/>
  <c r="D51" i="733"/>
  <c r="T104" i="733" l="1"/>
  <c r="D104" i="733" s="1"/>
  <c r="T101" i="733"/>
  <c r="E99" i="733"/>
  <c r="T53" i="733"/>
  <c r="D52" i="733"/>
  <c r="T103" i="733" l="1"/>
  <c r="T54" i="733"/>
  <c r="D53" i="733"/>
  <c r="T56" i="733" l="1"/>
  <c r="D54" i="733"/>
  <c r="T23" i="733"/>
  <c r="D21" i="733"/>
  <c r="T107" i="733" l="1"/>
  <c r="T109" i="733" s="1"/>
  <c r="D109" i="733" s="1"/>
  <c r="E105" i="733"/>
  <c r="T24" i="733"/>
  <c r="D23" i="733"/>
  <c r="T57" i="733"/>
  <c r="D56" i="733"/>
  <c r="T108" i="733" l="1"/>
  <c r="T58" i="733"/>
  <c r="D58" i="733" s="1"/>
  <c r="D57" i="733"/>
  <c r="T25" i="733"/>
  <c r="D24" i="733"/>
  <c r="T26" i="733" l="1"/>
  <c r="D25" i="733"/>
  <c r="T112" i="733" l="1"/>
  <c r="T114" i="733" s="1"/>
  <c r="D114" i="733" s="1"/>
  <c r="E110" i="733"/>
  <c r="T28" i="733"/>
  <c r="D26" i="733"/>
  <c r="T113" i="733" l="1"/>
  <c r="T29" i="733"/>
  <c r="D28" i="733"/>
  <c r="T118" i="733" l="1"/>
  <c r="T30" i="733"/>
  <c r="D29" i="733"/>
  <c r="E115" i="733" l="1"/>
  <c r="T117" i="733"/>
  <c r="T31" i="733"/>
  <c r="D30" i="733"/>
  <c r="T119" i="733" l="1"/>
  <c r="T33" i="733"/>
  <c r="D31" i="733"/>
  <c r="T120" i="733" l="1"/>
  <c r="T34" i="733"/>
  <c r="D33" i="733"/>
  <c r="D120" i="733" l="1"/>
  <c r="T35" i="733"/>
  <c r="D34" i="733"/>
  <c r="E121" i="733" l="1"/>
  <c r="T122" i="733"/>
  <c r="T36" i="733"/>
  <c r="D35" i="733"/>
  <c r="D122" i="733" l="1"/>
  <c r="T123" i="733"/>
  <c r="T124" i="733" s="1"/>
  <c r="D36" i="733"/>
  <c r="D123" i="733" l="1"/>
  <c r="T38" i="733"/>
  <c r="E37" i="733"/>
  <c r="D124" i="733" l="1"/>
  <c r="T39" i="733"/>
  <c r="D38" i="733"/>
  <c r="T126" i="733" l="1"/>
  <c r="E125" i="733"/>
  <c r="T40" i="733"/>
  <c r="D39" i="733"/>
  <c r="T127" i="733" l="1"/>
  <c r="D126" i="733"/>
  <c r="T41" i="733"/>
  <c r="D40" i="733"/>
  <c r="T128" i="733" l="1"/>
  <c r="D127" i="733"/>
  <c r="T9" i="733"/>
  <c r="D9" i="733" s="1"/>
  <c r="D41" i="733"/>
  <c r="D128" i="733" l="1"/>
  <c r="T10" i="733"/>
  <c r="T11" i="733" s="1"/>
  <c r="T130" i="733" l="1"/>
  <c r="D11" i="733"/>
  <c r="D10" i="733"/>
  <c r="T132" i="733" l="1"/>
</calcChain>
</file>

<file path=xl/sharedStrings.xml><?xml version="1.0" encoding="utf-8"?>
<sst xmlns="http://schemas.openxmlformats.org/spreadsheetml/2006/main" count="2762" uniqueCount="918">
  <si>
    <t>Name</t>
  </si>
  <si>
    <t>FRANCE</t>
  </si>
  <si>
    <t>RUSSIA_2</t>
  </si>
  <si>
    <t>GERMANY</t>
  </si>
  <si>
    <t>ITALY</t>
  </si>
  <si>
    <t>RUSSIA</t>
  </si>
  <si>
    <t>PRUSSIA</t>
  </si>
  <si>
    <t>AUSTRIA</t>
  </si>
  <si>
    <t>BRITAIN</t>
  </si>
  <si>
    <t>SPAIN</t>
  </si>
  <si>
    <t>PORTUGAL</t>
  </si>
  <si>
    <t>OTTOMAN</t>
  </si>
  <si>
    <t>RUSSIA_GD</t>
  </si>
  <si>
    <t>USA_DK</t>
  </si>
  <si>
    <t>USA_LT</t>
  </si>
  <si>
    <t>COMMONWEALTH</t>
  </si>
  <si>
    <t>GERMANY_SS</t>
  </si>
  <si>
    <t>FRANCE_2</t>
  </si>
  <si>
    <t>ROMANIA</t>
  </si>
  <si>
    <t>HUNGARY</t>
  </si>
  <si>
    <t>H</t>
  </si>
  <si>
    <t>POLAND</t>
  </si>
  <si>
    <t>SWEDEN</t>
  </si>
  <si>
    <t>SAXONY</t>
  </si>
  <si>
    <t>name</t>
  </si>
  <si>
    <t>rgb</t>
  </si>
  <si>
    <t>font</t>
  </si>
  <si>
    <t>size</t>
  </si>
  <si>
    <t>bold</t>
  </si>
  <si>
    <t>uline</t>
  </si>
  <si>
    <t>orientation</t>
  </si>
  <si>
    <t>align</t>
  </si>
  <si>
    <t>transp</t>
  </si>
  <si>
    <t>text</t>
  </si>
  <si>
    <t>Scheme</t>
  </si>
  <si>
    <t>FG</t>
  </si>
  <si>
    <t>BG</t>
  </si>
  <si>
    <t>Nature</t>
  </si>
  <si>
    <t>left</t>
  </si>
  <si>
    <t>top</t>
  </si>
  <si>
    <t>width</t>
  </si>
  <si>
    <t>height</t>
  </si>
  <si>
    <t>f</t>
  </si>
  <si>
    <t>b</t>
  </si>
  <si>
    <t>empty</t>
  </si>
  <si>
    <t>r</t>
  </si>
  <si>
    <t>g</t>
  </si>
  <si>
    <t>Different size units (LCU, SCU, etc)</t>
  </si>
  <si>
    <t>Different shapes (rectangle, circle, hexagon, etc)</t>
  </si>
  <si>
    <t>Output formats: - CounterSheet/DTP/ZunTsu - Individual/Vassal - GTL/Cyberboard</t>
  </si>
  <si>
    <t>V</t>
  </si>
  <si>
    <t>DD</t>
  </si>
  <si>
    <t>CE</t>
  </si>
  <si>
    <t>BG2</t>
  </si>
  <si>
    <t>Gradient type can be one of the following values:</t>
  </si>
  <si>
    <t>Vertical</t>
  </si>
  <si>
    <t>Horizontal</t>
  </si>
  <si>
    <t>DU</t>
  </si>
  <si>
    <t>Diagonal up</t>
  </si>
  <si>
    <t>Diagonal down</t>
  </si>
  <si>
    <t>CO</t>
  </si>
  <si>
    <t>From corner</t>
  </si>
  <si>
    <t>From centre</t>
  </si>
  <si>
    <t>Subtype is 1 to 4, except for type CE, where only 1 and 2 are allowed.</t>
  </si>
  <si>
    <t>Any other value will cause the programme to crash.</t>
  </si>
  <si>
    <t>To know what the types and subtypes correspond to, see the examples below:</t>
  </si>
  <si>
    <t>frontback</t>
  </si>
  <si>
    <t>gradtype</t>
  </si>
  <si>
    <t>gradval</t>
  </si>
  <si>
    <t>Different coloured elements (eg: dots)</t>
  </si>
  <si>
    <t>Italic</t>
  </si>
  <si>
    <t>3.3: italic</t>
  </si>
  <si>
    <t>3.3: dbseek to simplify rewrites</t>
  </si>
  <si>
    <t>mso name</t>
  </si>
  <si>
    <t>shape</t>
  </si>
  <si>
    <t>param1</t>
  </si>
  <si>
    <t>param2</t>
  </si>
  <si>
    <t xml:space="preserve">16pointStar </t>
  </si>
  <si>
    <t>4pointStar</t>
  </si>
  <si>
    <t>5pointStar</t>
  </si>
  <si>
    <t>8pointStar</t>
  </si>
  <si>
    <t>Arc</t>
  </si>
  <si>
    <t>BlockArc</t>
  </si>
  <si>
    <t>Can</t>
  </si>
  <si>
    <t>Chevron</t>
  </si>
  <si>
    <t>Cross</t>
  </si>
  <si>
    <t>Cube</t>
  </si>
  <si>
    <t>Diamond</t>
  </si>
  <si>
    <t>DoubleWave</t>
  </si>
  <si>
    <t>DownArrow</t>
  </si>
  <si>
    <t>Explosion1</t>
  </si>
  <si>
    <t>Explosion2</t>
  </si>
  <si>
    <t>Hexagon</t>
  </si>
  <si>
    <t>IsoscelesTriangle</t>
  </si>
  <si>
    <t>LeftArrow</t>
  </si>
  <si>
    <t>LeftRightArrow</t>
  </si>
  <si>
    <t>Moon</t>
  </si>
  <si>
    <t>Octagon</t>
  </si>
  <si>
    <t>Oval</t>
  </si>
  <si>
    <t>Parallelogram</t>
  </si>
  <si>
    <t>Pentagon</t>
  </si>
  <si>
    <t>Rectangle</t>
  </si>
  <si>
    <t>RegularPentagon</t>
  </si>
  <si>
    <t>RightArrow</t>
  </si>
  <si>
    <t>RightTriangle</t>
  </si>
  <si>
    <t>RoundedRectangle</t>
  </si>
  <si>
    <t>Sun</t>
  </si>
  <si>
    <t>Trapezoid</t>
  </si>
  <si>
    <t>UpArrow</t>
  </si>
  <si>
    <t>UpDownArrow</t>
  </si>
  <si>
    <t>Wave</t>
  </si>
  <si>
    <t>shapes:</t>
  </si>
  <si>
    <t>- basic done</t>
  </si>
  <si>
    <t>- rotation</t>
  </si>
  <si>
    <t>- variable fill colour (if -1 then transparent)</t>
  </si>
  <si>
    <t>- shape params p1 &amp; p2 (determine limits)</t>
  </si>
  <si>
    <t>0 - 0.5</t>
  </si>
  <si>
    <t>-180 - 180</t>
  </si>
  <si>
    <t>0 - 1</t>
  </si>
  <si>
    <t>0 - 0.1</t>
  </si>
  <si>
    <t>0.4 - 0.6</t>
  </si>
  <si>
    <t>0 - 0.875</t>
  </si>
  <si>
    <t>0 - 0.2</t>
  </si>
  <si>
    <t>p1</t>
  </si>
  <si>
    <t>p2</t>
  </si>
  <si>
    <t>angle</t>
  </si>
  <si>
    <t>- line</t>
  </si>
  <si>
    <t>0.125 - 0.47</t>
  </si>
  <si>
    <t>- flip horizontal &amp; vertical</t>
  </si>
  <si>
    <t>p1p2</t>
  </si>
  <si>
    <t>line</t>
  </si>
  <si>
    <t>sizes</t>
  </si>
  <si>
    <t>angled text</t>
  </si>
  <si>
    <t>flip</t>
  </si>
  <si>
    <t>move unit f &amp; b fill to schemes tab</t>
  </si>
  <si>
    <t>write help file</t>
  </si>
  <si>
    <t>pdl</t>
  </si>
  <si>
    <t>pcl</t>
  </si>
  <si>
    <t>hpcl</t>
  </si>
  <si>
    <t>svg</t>
  </si>
  <si>
    <t>png</t>
  </si>
  <si>
    <t>scheme designer</t>
  </si>
  <si>
    <t>Width</t>
  </si>
  <si>
    <t>Height</t>
  </si>
  <si>
    <t>n identical counters</t>
  </si>
  <si>
    <t>separate app from data (à la AC)  ====&gt; v.5</t>
  </si>
  <si>
    <t>standalone compiled app ====&gt; v.6</t>
  </si>
  <si>
    <t>v4 (change of major version as change of structure)</t>
  </si>
  <si>
    <t>rewrite code</t>
  </si>
  <si>
    <t>image subfolder</t>
  </si>
  <si>
    <t>Margin</t>
  </si>
  <si>
    <t>Sprue Height</t>
  </si>
  <si>
    <t>Image folder</t>
  </si>
  <si>
    <t>Parameter</t>
  </si>
  <si>
    <t>Value</t>
  </si>
  <si>
    <t>pb with single gridsize for shapes (squares, circles)</t>
  </si>
  <si>
    <t>sprues, number of rows per bloc (depends on size)</t>
  </si>
  <si>
    <t xml:space="preserve">  =&gt; hgridsize and vgridsize</t>
  </si>
  <si>
    <t>coordinates (text/shape/image and line)</t>
  </si>
  <si>
    <t>flip/rotate pictures</t>
  </si>
  <si>
    <t>hex values for colours</t>
  </si>
  <si>
    <t>true colours on colours tab</t>
  </si>
  <si>
    <t>HGridsize</t>
  </si>
  <si>
    <t>VGridsize</t>
  </si>
  <si>
    <t>autoit, basic, awk, convert…</t>
  </si>
  <si>
    <t>generate svg file</t>
  </si>
  <si>
    <t>Half inch</t>
  </si>
  <si>
    <t>Five eighths</t>
  </si>
  <si>
    <t>Three quarters</t>
  </si>
  <si>
    <t>One inch</t>
  </si>
  <si>
    <t>US card width</t>
  </si>
  <si>
    <t>US card height</t>
  </si>
  <si>
    <t>increment values on identical counters (/+)</t>
  </si>
  <si>
    <t>v4.1</t>
  </si>
  <si>
    <t>image</t>
  </si>
  <si>
    <t>double sided as option</t>
  </si>
  <si>
    <t>parameterize border colour</t>
  </si>
  <si>
    <t>check coordinates calculations</t>
  </si>
  <si>
    <t>x hides counter</t>
  </si>
  <si>
    <t>Two</t>
  </si>
  <si>
    <t>Three</t>
  </si>
  <si>
    <t>Four</t>
  </si>
  <si>
    <t>Five</t>
  </si>
  <si>
    <t>Six</t>
  </si>
  <si>
    <t>Seven</t>
  </si>
  <si>
    <t>Eight</t>
  </si>
  <si>
    <t>Nine</t>
  </si>
  <si>
    <t>Ten</t>
  </si>
  <si>
    <t>Joker</t>
  </si>
  <si>
    <t>Ace</t>
  </si>
  <si>
    <t>Red</t>
  </si>
  <si>
    <t>front</t>
  </si>
  <si>
    <t>back</t>
  </si>
  <si>
    <t>Border colour</t>
  </si>
  <si>
    <t>Double sided</t>
  </si>
  <si>
    <t>hex</t>
  </si>
  <si>
    <t>00FF00</t>
  </si>
  <si>
    <t>FF00FF</t>
  </si>
  <si>
    <t>008B8B</t>
  </si>
  <si>
    <t>B8860B</t>
  </si>
  <si>
    <t>A9A9A9</t>
  </si>
  <si>
    <t>BDB76B</t>
  </si>
  <si>
    <t>8B008B</t>
  </si>
  <si>
    <t>556B2F</t>
  </si>
  <si>
    <t>FF8C00</t>
  </si>
  <si>
    <t>9932CC</t>
  </si>
  <si>
    <t>E9967A</t>
  </si>
  <si>
    <t>8FBC8F</t>
  </si>
  <si>
    <t>483D8B</t>
  </si>
  <si>
    <t>2F4F4F</t>
  </si>
  <si>
    <t>00CED1</t>
  </si>
  <si>
    <t>9400D3</t>
  </si>
  <si>
    <t>FF1493</t>
  </si>
  <si>
    <t>00BFFF</t>
  </si>
  <si>
    <t>1E90FF</t>
  </si>
  <si>
    <t>B22222</t>
  </si>
  <si>
    <t>FFFAF0</t>
  </si>
  <si>
    <t>228B22</t>
  </si>
  <si>
    <t>DCDCDC</t>
  </si>
  <si>
    <t>F8F8FF</t>
  </si>
  <si>
    <t>FFD700</t>
  </si>
  <si>
    <t>DAA520</t>
  </si>
  <si>
    <t>ADFF2F</t>
  </si>
  <si>
    <t>F0FFF0</t>
  </si>
  <si>
    <t>FF69B4</t>
  </si>
  <si>
    <t>CD5C5C</t>
  </si>
  <si>
    <t>4B0082</t>
  </si>
  <si>
    <t>FFFFF0</t>
  </si>
  <si>
    <t>F0E68C</t>
  </si>
  <si>
    <t>FFF0F5</t>
  </si>
  <si>
    <t>7CFC00</t>
  </si>
  <si>
    <t>FFFACD</t>
  </si>
  <si>
    <t>F08080</t>
  </si>
  <si>
    <t>E0FFFF</t>
  </si>
  <si>
    <t>FAFAD2</t>
  </si>
  <si>
    <t>D3D3D3</t>
  </si>
  <si>
    <t>90EE90</t>
  </si>
  <si>
    <t>FFB6C1</t>
  </si>
  <si>
    <t>FFA07A</t>
  </si>
  <si>
    <t>20B2AA</t>
  </si>
  <si>
    <t>87CEFA</t>
  </si>
  <si>
    <t>B0C4DE</t>
  </si>
  <si>
    <t>FFFFE0</t>
  </si>
  <si>
    <t>32CD32</t>
  </si>
  <si>
    <t>FAF0E6</t>
  </si>
  <si>
    <t>66CDAA</t>
  </si>
  <si>
    <t>0000CD</t>
  </si>
  <si>
    <t>BA55D3</t>
  </si>
  <si>
    <t>3CB371</t>
  </si>
  <si>
    <t>7B68EE</t>
  </si>
  <si>
    <t>00FA9A</t>
  </si>
  <si>
    <t>48D1CC</t>
  </si>
  <si>
    <t>C71585</t>
  </si>
  <si>
    <t>F5FFFA</t>
  </si>
  <si>
    <t>FFE4E1</t>
  </si>
  <si>
    <t>FFE4B5</t>
  </si>
  <si>
    <t>FFDEAD</t>
  </si>
  <si>
    <t>FDF5E6</t>
  </si>
  <si>
    <t>6B8E23</t>
  </si>
  <si>
    <t>FFA500</t>
  </si>
  <si>
    <t>FF4500</t>
  </si>
  <si>
    <t>DA70D6</t>
  </si>
  <si>
    <t>EEE8AA</t>
  </si>
  <si>
    <t>98FB98</t>
  </si>
  <si>
    <t>AFEEEE</t>
  </si>
  <si>
    <t>FFEFD5</t>
  </si>
  <si>
    <t>FFDAB9</t>
  </si>
  <si>
    <t>CD853F</t>
  </si>
  <si>
    <t>FFC0CB</t>
  </si>
  <si>
    <t>B0E0E6</t>
  </si>
  <si>
    <t>FF0000</t>
  </si>
  <si>
    <t>BC8F8F</t>
  </si>
  <si>
    <t>8B4513</t>
  </si>
  <si>
    <t>FA8072</t>
  </si>
  <si>
    <t>F4A460</t>
  </si>
  <si>
    <t>2E8B57</t>
  </si>
  <si>
    <t>FFF5EE</t>
  </si>
  <si>
    <t>A0522D</t>
  </si>
  <si>
    <t>C0C0C0</t>
  </si>
  <si>
    <t>87CEEB</t>
  </si>
  <si>
    <t>6A5ACD</t>
  </si>
  <si>
    <t>FFFAFA</t>
  </si>
  <si>
    <t>00FF7F</t>
  </si>
  <si>
    <t>4682B4</t>
  </si>
  <si>
    <t>D2B48C</t>
  </si>
  <si>
    <t>D8BFD8</t>
  </si>
  <si>
    <t>FF6347</t>
  </si>
  <si>
    <t>40E0D0</t>
  </si>
  <si>
    <t>EE82EE</t>
  </si>
  <si>
    <t>F5DEB3</t>
  </si>
  <si>
    <t>FFFFFF</t>
  </si>
  <si>
    <t>F5F5F5</t>
  </si>
  <si>
    <t>FFFF00</t>
  </si>
  <si>
    <t>9ACD32</t>
  </si>
  <si>
    <t>000000</t>
  </si>
  <si>
    <t>008000</t>
  </si>
  <si>
    <t>000080</t>
  </si>
  <si>
    <t>008080</t>
  </si>
  <si>
    <t>696969</t>
  </si>
  <si>
    <t>808080</t>
  </si>
  <si>
    <t>778899</t>
  </si>
  <si>
    <t>800000</t>
  </si>
  <si>
    <t>191970</t>
  </si>
  <si>
    <t>808000</t>
  </si>
  <si>
    <t>800080</t>
  </si>
  <si>
    <t>708090</t>
  </si>
  <si>
    <t>sample</t>
  </si>
  <si>
    <t>00008B</t>
  </si>
  <si>
    <t>0000FF</t>
  </si>
  <si>
    <t>F0F8FF</t>
  </si>
  <si>
    <t>FAEBD7</t>
  </si>
  <si>
    <t>00FFFF</t>
  </si>
  <si>
    <t>7FFFD4</t>
  </si>
  <si>
    <t>F0FFFF</t>
  </si>
  <si>
    <t>F5F5DC</t>
  </si>
  <si>
    <t>FFE4C4</t>
  </si>
  <si>
    <t>FFEBCD</t>
  </si>
  <si>
    <t>8A2BE2</t>
  </si>
  <si>
    <t>DEB887</t>
  </si>
  <si>
    <t>5F9EA0</t>
  </si>
  <si>
    <t>7FFF00</t>
  </si>
  <si>
    <t>D2691E</t>
  </si>
  <si>
    <t>FF7F50</t>
  </si>
  <si>
    <t>6495ED</t>
  </si>
  <si>
    <t>FFF8DC</t>
  </si>
  <si>
    <t>DC143C</t>
  </si>
  <si>
    <t>don't move and resize with cells</t>
  </si>
  <si>
    <t xml:space="preserve">   if ++, till next value in field</t>
  </si>
  <si>
    <t>calculate column width and row height...</t>
  </si>
  <si>
    <t>red</t>
  </si>
  <si>
    <t>template designer</t>
  </si>
  <si>
    <t>template</t>
  </si>
  <si>
    <t>Element</t>
  </si>
  <si>
    <t>Comment</t>
  </si>
  <si>
    <t>black</t>
  </si>
  <si>
    <t>Comments</t>
  </si>
  <si>
    <t>CCCC00</t>
  </si>
  <si>
    <t>99CC00</t>
  </si>
  <si>
    <t>3366FF</t>
  </si>
  <si>
    <t>99CCFF</t>
  </si>
  <si>
    <t>CC99FF</t>
  </si>
  <si>
    <t>333333</t>
  </si>
  <si>
    <t>666666</t>
  </si>
  <si>
    <t>999999</t>
  </si>
  <si>
    <t>CCCCCC</t>
  </si>
  <si>
    <t>E5E5E5</t>
  </si>
  <si>
    <t>Grey10</t>
  </si>
  <si>
    <t>Grey20</t>
  </si>
  <si>
    <t>Grey40</t>
  </si>
  <si>
    <t>Grey60</t>
  </si>
  <si>
    <t>Grey80</t>
  </si>
  <si>
    <t>Grey50</t>
  </si>
  <si>
    <t>Grey30</t>
  </si>
  <si>
    <t>Grey70</t>
  </si>
  <si>
    <t>Grey90</t>
  </si>
  <si>
    <t>B3B3B3</t>
  </si>
  <si>
    <t>4C4C4C</t>
  </si>
  <si>
    <t>1A1A1A</t>
  </si>
  <si>
    <t>Crimson</t>
  </si>
  <si>
    <t>PaleGreen</t>
  </si>
  <si>
    <t>AliceBlue</t>
  </si>
  <si>
    <t>AntiqueWhite</t>
  </si>
  <si>
    <t>Aqua</t>
  </si>
  <si>
    <t>Aquamarine</t>
  </si>
  <si>
    <t>Azure</t>
  </si>
  <si>
    <t>Beige</t>
  </si>
  <si>
    <t>Bisque</t>
  </si>
  <si>
    <t>Black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</si>
  <si>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</si>
  <si>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</si>
  <si>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</si>
  <si>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</si>
  <si>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</si>
  <si>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</si>
  <si>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</si>
  <si>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</si>
  <si>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</si>
  <si>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</si>
  <si>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</si>
  <si>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Cyan</t>
  </si>
  <si>
    <t>DarkBlue</t>
  </si>
  <si>
    <t>DarkCyan</t>
  </si>
  <si>
    <t>DarkGray</t>
  </si>
  <si>
    <t>DarkGrey</t>
  </si>
  <si>
    <t>DarkKhaki</t>
  </si>
  <si>
    <t>DarkMagenta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</si>
  <si>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</si>
  <si>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</si>
  <si>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</si>
  <si>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</si>
  <si>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</si>
  <si>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</si>
  <si>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</si>
  <si>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</si>
  <si>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DarkSlateGrey</t>
  </si>
  <si>
    <t>DarkTurquoise</t>
  </si>
  <si>
    <t>DarkViolet</t>
  </si>
  <si>
    <t>DeepPink</t>
  </si>
  <si>
    <t>DeepSkyBlue</t>
  </si>
  <si>
    <t>DimGray</t>
  </si>
  <si>
    <t>DimGrey</t>
  </si>
  <si>
    <t>DodgerBlue</t>
  </si>
  <si>
    <t>FireBrick</t>
  </si>
  <si>
    <t>FloralWhite</t>
  </si>
  <si>
    <t>ForestGreen</t>
  </si>
  <si>
    <t>Fuchsia</t>
  </si>
  <si>
    <t>Gainsboro</t>
  </si>
  <si>
    <t>GhostWhite</t>
  </si>
  <si>
    <t>Gold</t>
  </si>
  <si>
    <t>Gray</t>
  </si>
  <si>
    <t>Green</t>
  </si>
  <si>
    <t>GreenYellow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</si>
  <si>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</si>
  <si>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</si>
  <si>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</si>
  <si>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</si>
  <si>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</si>
  <si>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</si>
  <si>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</si>
  <si>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</si>
  <si>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</si>
  <si>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</si>
  <si>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</si>
  <si>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</si>
  <si>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LightGray</t>
  </si>
  <si>
    <t>LightGreen</t>
  </si>
  <si>
    <t>LightGrey</t>
  </si>
  <si>
    <t>LightPink</t>
  </si>
  <si>
    <t>LightSalmon</t>
  </si>
  <si>
    <t>LightSeaGreen</t>
  </si>
  <si>
    <t>LightSkyBlue</t>
  </si>
  <si>
    <t>LightSlateGray</t>
  </si>
  <si>
    <t>LightSlateGrey</t>
  </si>
  <si>
    <t>LightSteelBlue</t>
  </si>
  <si>
    <t>LightYellow</t>
  </si>
  <si>
    <t>Lime</t>
  </si>
  <si>
    <t>LimeGreen</t>
  </si>
  <si>
    <t>Linen</t>
  </si>
  <si>
    <t>Magenta</t>
  </si>
  <si>
    <t>Maroon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</si>
  <si>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</si>
  <si>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</si>
  <si>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</si>
  <si>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</si>
  <si>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</si>
  <si>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</si>
  <si>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</si>
  <si>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</si>
  <si>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</si>
  <si>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</si>
  <si>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</si>
  <si>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</si>
  <si>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</si>
  <si>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</si>
  <si>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</si>
  <si>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</si>
  <si>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</si>
  <si>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</t>
  </si>
  <si>
    <t>OrangeRed</t>
  </si>
  <si>
    <t>Orchid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</si>
  <si>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</si>
  <si>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</si>
  <si>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</si>
  <si>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</si>
  <si>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</si>
  <si>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</si>
  <si>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</si>
  <si>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</si>
  <si>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</si>
  <si>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</si>
  <si>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</si>
  <si>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</si>
  <si>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</si>
  <si>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</si>
  <si>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</si>
  <si>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Sienna</t>
  </si>
  <si>
    <t>Silver</t>
  </si>
  <si>
    <t>SkyBlue</t>
  </si>
  <si>
    <t>SlateBlue</t>
  </si>
  <si>
    <t>SlateGray</t>
  </si>
  <si>
    <t>SlateGrey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</si>
  <si>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</si>
  <si>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</si>
  <si>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</si>
  <si>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</si>
  <si>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</si>
  <si>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</si>
  <si>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</si>
  <si>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</si>
  <si>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Violet</t>
  </si>
  <si>
    <t>Wheat</t>
  </si>
  <si>
    <t>White</t>
  </si>
  <si>
    <t>WhiteSmoke</t>
  </si>
  <si>
    <t>Yellow</t>
  </si>
  <si>
    <t>YellowGreen</t>
  </si>
  <si>
    <t>LightGoldenrodYellow</t>
  </si>
  <si>
    <t>PaleGoldenrod</t>
  </si>
  <si>
    <t>DarkGreen</t>
  </si>
  <si>
    <t>MediumAquamarine</t>
  </si>
  <si>
    <t>Goldenrod</t>
  </si>
  <si>
    <t>DarkGoldenrod</t>
  </si>
  <si>
    <t>Honeydew</t>
  </si>
  <si>
    <t>Seashell</t>
  </si>
  <si>
    <t>symbol</t>
  </si>
  <si>
    <t>GREY20</t>
  </si>
  <si>
    <t>BLACK</t>
  </si>
  <si>
    <t>GREY40</t>
  </si>
  <si>
    <t>GOLD</t>
  </si>
  <si>
    <t>YELLOW</t>
  </si>
  <si>
    <t>Margin size in points between the edge of the page and the counters</t>
  </si>
  <si>
    <t>Vertical separation between blocks of counters</t>
  </si>
  <si>
    <t>Where any images are stored</t>
  </si>
  <si>
    <t>8B0000</t>
  </si>
  <si>
    <t>DB7093</t>
  </si>
  <si>
    <t>E6E6FA</t>
  </si>
  <si>
    <t>DDA0DD</t>
  </si>
  <si>
    <t>9370DB</t>
  </si>
  <si>
    <t>006400</t>
  </si>
  <si>
    <t>4169E1</t>
  </si>
  <si>
    <t>ADD8E6</t>
  </si>
  <si>
    <t>A52A2A</t>
  </si>
  <si>
    <t>Grey</t>
  </si>
  <si>
    <t>Gray30</t>
  </si>
  <si>
    <t>Gray40</t>
  </si>
  <si>
    <t>Gray50</t>
  </si>
  <si>
    <t>Gray60</t>
  </si>
  <si>
    <t>Gray70</t>
  </si>
  <si>
    <t>Gray80</t>
  </si>
  <si>
    <t>Gray90</t>
  </si>
  <si>
    <t>Gray10</t>
  </si>
  <si>
    <t>Gray20</t>
  </si>
  <si>
    <t>33CC33</t>
  </si>
  <si>
    <t>FFFF66</t>
  </si>
  <si>
    <t>FF8080</t>
  </si>
  <si>
    <t>FFCC00</t>
  </si>
  <si>
    <t>99FF33</t>
  </si>
  <si>
    <t>CC9900</t>
  </si>
  <si>
    <t>809900</t>
  </si>
  <si>
    <t>99FF66</t>
  </si>
  <si>
    <t>6699FF</t>
  </si>
  <si>
    <t>33CCCC</t>
  </si>
  <si>
    <t>FALSE for single-sided counters</t>
  </si>
  <si>
    <t>grey50</t>
  </si>
  <si>
    <t>up</t>
  </si>
  <si>
    <t>fb</t>
  </si>
  <si>
    <t>white</t>
  </si>
  <si>
    <t>Common image folder</t>
  </si>
  <si>
    <t>Look here if not found in previous folder</t>
  </si>
  <si>
    <t>BlockWidth</t>
  </si>
  <si>
    <t>BlockHeight</t>
  </si>
  <si>
    <t>flag</t>
  </si>
  <si>
    <t>pic</t>
  </si>
  <si>
    <t>middle</t>
  </si>
  <si>
    <t>right</t>
  </si>
  <si>
    <t>jdg ldr</t>
  </si>
  <si>
    <t>jdg fr ldr</t>
  </si>
  <si>
    <t>NAP flag France</t>
  </si>
  <si>
    <t>Klein</t>
  </si>
  <si>
    <t>jdg ma</t>
  </si>
  <si>
    <t>Lasalles</t>
  </si>
  <si>
    <t>reduced</t>
  </si>
  <si>
    <t>subunit</t>
  </si>
  <si>
    <t>elite</t>
  </si>
  <si>
    <t>heavy</t>
  </si>
  <si>
    <t>eng</t>
  </si>
  <si>
    <t>jdg cav</t>
  </si>
  <si>
    <t>NAP unit cav dummy</t>
  </si>
  <si>
    <t>jdg inf</t>
  </si>
  <si>
    <t>NAP unit inf dummy</t>
  </si>
  <si>
    <t>(1)</t>
  </si>
  <si>
    <t>2-4</t>
  </si>
  <si>
    <t>3</t>
  </si>
  <si>
    <t>2</t>
  </si>
  <si>
    <t>1</t>
  </si>
  <si>
    <t>SIZE</t>
  </si>
  <si>
    <t>TEMPLATE</t>
  </si>
  <si>
    <t>SCHEME</t>
  </si>
  <si>
    <t>JDG 3/4 inch</t>
  </si>
  <si>
    <t>3++</t>
  </si>
  <si>
    <t>fleft</t>
  </si>
  <si>
    <t>fmiddle</t>
  </si>
  <si>
    <t>fright</t>
  </si>
  <si>
    <t>bleft</t>
  </si>
  <si>
    <t>bmiddle</t>
  </si>
  <si>
    <t>bright</t>
  </si>
  <si>
    <t>RED</t>
  </si>
  <si>
    <t>PALE_BLUE</t>
  </si>
  <si>
    <t>LIME</t>
  </si>
  <si>
    <t>WHITE</t>
  </si>
  <si>
    <t>images</t>
  </si>
  <si>
    <t>DK_RED</t>
  </si>
  <si>
    <t>LT_RED</t>
  </si>
  <si>
    <t>ROSE</t>
  </si>
  <si>
    <t>BROWN</t>
  </si>
  <si>
    <t>ORANGE</t>
  </si>
  <si>
    <t>LT_ORANGE</t>
  </si>
  <si>
    <t>TAN</t>
  </si>
  <si>
    <t>DK_OLIVE</t>
  </si>
  <si>
    <t>DK_YELLOW</t>
  </si>
  <si>
    <t>LT_YELLOW</t>
  </si>
  <si>
    <t>DK_GREEN</t>
  </si>
  <si>
    <t>GREEN</t>
  </si>
  <si>
    <t>SEA_GREEN</t>
  </si>
  <si>
    <t>BT_GREEN</t>
  </si>
  <si>
    <t>LT_GREEN</t>
  </si>
  <si>
    <t>TEAL</t>
  </si>
  <si>
    <t>AQUA</t>
  </si>
  <si>
    <t>TURQUOISE</t>
  </si>
  <si>
    <t>LT_TURQUOISE</t>
  </si>
  <si>
    <t>DK_BLUE</t>
  </si>
  <si>
    <t>BLUE</t>
  </si>
  <si>
    <t>LT_BLUE</t>
  </si>
  <si>
    <t>SKY_BLUE</t>
  </si>
  <si>
    <t>INDIGO</t>
  </si>
  <si>
    <t>BLUE_GREY</t>
  </si>
  <si>
    <t>VIOLET</t>
  </si>
  <si>
    <t>PLUM</t>
  </si>
  <si>
    <t>LAVENDER</t>
  </si>
  <si>
    <t>GREY80</t>
  </si>
  <si>
    <t>GREY60</t>
  </si>
  <si>
    <t>orange</t>
  </si>
  <si>
    <t>jdg fr ma</t>
  </si>
  <si>
    <t>jdg fr cbt</t>
  </si>
  <si>
    <t>ldr3</t>
  </si>
  <si>
    <t>dims</t>
  </si>
  <si>
    <t>bot</t>
  </si>
  <si>
    <t>yellow</t>
  </si>
  <si>
    <t>aqua</t>
  </si>
  <si>
    <t>green</t>
  </si>
  <si>
    <t>blue</t>
  </si>
  <si>
    <t>rose</t>
  </si>
  <si>
    <t>seagreen</t>
  </si>
  <si>
    <t>lightgray</t>
  </si>
  <si>
    <t>overrides for all types of element</t>
  </si>
  <si>
    <t>image frame</t>
  </si>
  <si>
    <t>back values in same column : 4|2</t>
  </si>
  <si>
    <t>qty as fixed column after scheme</t>
  </si>
  <si>
    <t>check size and pos calculations, 1 pixel border around each unit</t>
  </si>
  <si>
    <t>jdg art</t>
  </si>
  <si>
    <t>overrides for font, size, all colours etc</t>
  </si>
  <si>
    <t>text outline</t>
  </si>
  <si>
    <t>art2</t>
  </si>
  <si>
    <t>jdg ru cbt</t>
  </si>
  <si>
    <t>jdg ru ma</t>
  </si>
  <si>
    <t>jdg ru ldr</t>
  </si>
  <si>
    <t>arial narrow</t>
  </si>
  <si>
    <t>element order</t>
  </si>
  <si>
    <t>define colour combos ? Eg : fauconnet = "black/salmon"</t>
  </si>
  <si>
    <t>russia_lt</t>
  </si>
  <si>
    <t>dpi, paper size</t>
  </si>
  <si>
    <t>viewport</t>
  </si>
  <si>
    <t>reverse: side-by-side, following, fronts-only backs-only</t>
  </si>
  <si>
    <t>attribute order (alignment on sheets tab)</t>
  </si>
  <si>
    <t>image aspect ratio (viewport)</t>
  </si>
  <si>
    <t>sizes, units (inches, cm)</t>
  </si>
  <si>
    <t>output: svg, png/jpg/bmp/etc, gtl, nandeck, imagemagick</t>
  </si>
  <si>
    <t>jdg ha</t>
  </si>
  <si>
    <t>horsehead-trans</t>
  </si>
  <si>
    <t>Wellington</t>
  </si>
  <si>
    <t>Pack</t>
  </si>
  <si>
    <t>Bradford</t>
  </si>
  <si>
    <t>May</t>
  </si>
  <si>
    <t>Arriaga</t>
  </si>
  <si>
    <t>Marmont</t>
  </si>
  <si>
    <t>Clausel</t>
  </si>
  <si>
    <t>Foy</t>
  </si>
  <si>
    <t>Ferey</t>
  </si>
  <si>
    <t>Sarrut</t>
  </si>
  <si>
    <t>Maucune</t>
  </si>
  <si>
    <t>Brennier</t>
  </si>
  <si>
    <t>Thomières</t>
  </si>
  <si>
    <t>Bonnet</t>
  </si>
  <si>
    <t>Curto</t>
  </si>
  <si>
    <t>Boyer</t>
  </si>
  <si>
    <t>Carrié</t>
  </si>
  <si>
    <t>jdg br ldr</t>
  </si>
  <si>
    <t>jdg br ma</t>
  </si>
  <si>
    <t>jdg sp ma</t>
  </si>
  <si>
    <t>O</t>
  </si>
  <si>
    <t>Sanchez</t>
  </si>
  <si>
    <t>L</t>
  </si>
  <si>
    <t>(3)</t>
  </si>
  <si>
    <t>(2)</t>
  </si>
  <si>
    <t>pink</t>
  </si>
  <si>
    <t>jdg br cbt</t>
  </si>
  <si>
    <t>jdg kgl cbt</t>
  </si>
  <si>
    <t>jdg po cbt</t>
  </si>
  <si>
    <t>jdg brpo cbt</t>
  </si>
  <si>
    <t>jdg sp cbt</t>
  </si>
  <si>
    <t>jdg brkgl cbt</t>
  </si>
  <si>
    <t>grey30</t>
  </si>
  <si>
    <t>Lt</t>
  </si>
  <si>
    <t>E</t>
  </si>
  <si>
    <t>C</t>
  </si>
  <si>
    <t>centre</t>
  </si>
  <si>
    <t>Campbell</t>
  </si>
  <si>
    <t>Pakenham</t>
  </si>
  <si>
    <t>Cole</t>
  </si>
  <si>
    <t>Leith</t>
  </si>
  <si>
    <t>Clinton</t>
  </si>
  <si>
    <t>Hope</t>
  </si>
  <si>
    <t>Alten</t>
  </si>
  <si>
    <t>Cotton</t>
  </si>
  <si>
    <t>black/red</t>
  </si>
  <si>
    <t>black/yellow</t>
  </si>
  <si>
    <t>white/brown</t>
  </si>
  <si>
    <t>white/black</t>
  </si>
  <si>
    <t>1-2</t>
  </si>
  <si>
    <t>black/pale_blue</t>
  </si>
  <si>
    <t>crimson</t>
  </si>
  <si>
    <t>white/teal</t>
  </si>
  <si>
    <t>black/lt_green</t>
  </si>
  <si>
    <t>white/indigo</t>
  </si>
  <si>
    <t>white/purple</t>
  </si>
  <si>
    <t>eras bold itc</t>
  </si>
  <si>
    <t>2-3</t>
  </si>
  <si>
    <t>gold</t>
  </si>
  <si>
    <t>DarkPink</t>
  </si>
  <si>
    <t>darkpink</t>
  </si>
  <si>
    <t>FF6AAF</t>
  </si>
  <si>
    <t>DarkPink1</t>
  </si>
  <si>
    <t>darkpink1</t>
  </si>
  <si>
    <t>Barnard</t>
  </si>
  <si>
    <t>Vandeleur</t>
  </si>
  <si>
    <t>Ross</t>
  </si>
  <si>
    <t>Fermor</t>
  </si>
  <si>
    <t>Wheatley</t>
  </si>
  <si>
    <t>Lowe</t>
  </si>
  <si>
    <t>Gardiner</t>
  </si>
  <si>
    <t>Wallace</t>
  </si>
  <si>
    <t>Power</t>
  </si>
  <si>
    <t>Douglas</t>
  </si>
  <si>
    <t>Anson</t>
  </si>
  <si>
    <t>Ellis</t>
  </si>
  <si>
    <t>Stubbs</t>
  </si>
  <si>
    <t>Sympher</t>
  </si>
  <si>
    <t>Greville</t>
  </si>
  <si>
    <t>Pringle</t>
  </si>
  <si>
    <t>Spry</t>
  </si>
  <si>
    <t>Lawson</t>
  </si>
  <si>
    <t>Hulse</t>
  </si>
  <si>
    <t>Hinde</t>
  </si>
  <si>
    <t>Rezende</t>
  </si>
  <si>
    <t>Greene</t>
  </si>
  <si>
    <t>Halkett</t>
  </si>
  <si>
    <t>Bernewitz</t>
  </si>
  <si>
    <t>Collins</t>
  </si>
  <si>
    <t>McDonald</t>
  </si>
  <si>
    <t>Le Marchant</t>
  </si>
  <si>
    <t>Bock</t>
  </si>
  <si>
    <t>D'Urban</t>
  </si>
  <si>
    <t>Bull</t>
  </si>
  <si>
    <t>lt_green</t>
  </si>
  <si>
    <t>black/lightseagreen</t>
  </si>
  <si>
    <t>black/orange</t>
  </si>
  <si>
    <t>black/pink</t>
  </si>
  <si>
    <t>white/darkgreen</t>
  </si>
  <si>
    <t>yellow/brown</t>
  </si>
  <si>
    <t>darkblue</t>
  </si>
  <si>
    <t>LC</t>
  </si>
  <si>
    <t>HC</t>
  </si>
  <si>
    <t>jdg</t>
  </si>
  <si>
    <t>yellow/darkblue</t>
  </si>
  <si>
    <t>cornflowerblue</t>
  </si>
  <si>
    <t>white/blue</t>
  </si>
  <si>
    <t>white/green</t>
  </si>
  <si>
    <t>black/darkturquoise</t>
  </si>
  <si>
    <t>I/ArtRes</t>
  </si>
  <si>
    <t>II/ArtRes</t>
  </si>
  <si>
    <t>III/ArtRes</t>
  </si>
  <si>
    <t>2nd Bgde</t>
  </si>
  <si>
    <t>1st Bgde</t>
  </si>
  <si>
    <t>España</t>
  </si>
  <si>
    <t>I</t>
  </si>
  <si>
    <t>jdg mac</t>
  </si>
  <si>
    <t>arial</t>
  </si>
  <si>
    <t>jdg fr mac</t>
  </si>
  <si>
    <t>jdg br mac</t>
  </si>
  <si>
    <t>jdg fr text</t>
  </si>
  <si>
    <t>jdg br text</t>
  </si>
  <si>
    <t>darkpink2</t>
  </si>
  <si>
    <t>test lines</t>
  </si>
  <si>
    <t>jdg text 1</t>
  </si>
  <si>
    <t>jdg text 2</t>
  </si>
  <si>
    <t>jdg text 3</t>
  </si>
  <si>
    <t>jdg text 4</t>
  </si>
  <si>
    <t>lines lines lines[blue/orange]</t>
  </si>
  <si>
    <t>lines lines lines lines lines[red]</t>
  </si>
  <si>
    <t>LightOrange</t>
  </si>
  <si>
    <t>[blue/DarkOrange]</t>
  </si>
  <si>
    <t>lines lines lines lines[blue/lightorange]</t>
  </si>
  <si>
    <t>orange1</t>
  </si>
  <si>
    <t>orange2</t>
  </si>
  <si>
    <t>orange3</t>
  </si>
  <si>
    <t>orange4</t>
  </si>
  <si>
    <t>orange5</t>
  </si>
  <si>
    <t>orange6</t>
  </si>
  <si>
    <t>orange7</t>
  </si>
  <si>
    <t>orange8</t>
  </si>
  <si>
    <t>orange9</t>
  </si>
  <si>
    <t>orange10</t>
  </si>
  <si>
    <t>orange11</t>
  </si>
  <si>
    <t>orange12</t>
  </si>
  <si>
    <t>lines lines lines lines[blue/orange3]</t>
  </si>
  <si>
    <t>lines lines lines lines[blue/orange2]</t>
  </si>
  <si>
    <t>lines lines lines lines[blue/orange4]</t>
  </si>
  <si>
    <t>lines lines lines lines[blue/orange5]</t>
  </si>
  <si>
    <t>lines lines lines lines[blue/orange6]</t>
  </si>
  <si>
    <t>lines lines lines lines[blue/orange7]</t>
  </si>
  <si>
    <t>lines lines lines lines[blue/orange8]</t>
  </si>
  <si>
    <t>lines lines lines lines[blue/orange9]</t>
  </si>
  <si>
    <t>lines lines lines lines[blue/orange10]</t>
  </si>
  <si>
    <t>lines lines lines lines[blue/orange11]</t>
  </si>
  <si>
    <t>lines lines lines lines[blue/orange12]</t>
  </si>
  <si>
    <t>Att.
C[blue/orange2]</t>
  </si>
  <si>
    <t>rgb_w</t>
  </si>
  <si>
    <t>rgb_k</t>
  </si>
  <si>
    <t>rgb_1</t>
  </si>
  <si>
    <t>rgb_2</t>
  </si>
  <si>
    <t>rgb_3</t>
  </si>
  <si>
    <t>rgb_4</t>
  </si>
  <si>
    <t>rgb_5</t>
  </si>
  <si>
    <t>rgb_6</t>
  </si>
  <si>
    <t>rgb_7</t>
  </si>
  <si>
    <t>rgb_8</t>
  </si>
  <si>
    <t>rgb_9</t>
  </si>
  <si>
    <t>rgb_10</t>
  </si>
  <si>
    <t>rgb_11</t>
  </si>
  <si>
    <t>or</t>
  </si>
  <si>
    <t>cy</t>
  </si>
  <si>
    <t>vi</t>
  </si>
  <si>
    <t>rgb_br_1</t>
  </si>
  <si>
    <t>rgb_br_2</t>
  </si>
  <si>
    <t>rgb_br_3</t>
  </si>
  <si>
    <t>br_1</t>
  </si>
  <si>
    <t>br_2</t>
  </si>
  <si>
    <t>br_3</t>
  </si>
  <si>
    <t>br_4</t>
  </si>
  <si>
    <t>br_5</t>
  </si>
  <si>
    <t>br_6</t>
  </si>
  <si>
    <t>br_7</t>
  </si>
  <si>
    <t>br_8</t>
  </si>
  <si>
    <t>br_9</t>
  </si>
  <si>
    <t>br_10</t>
  </si>
  <si>
    <t>br_11</t>
  </si>
  <si>
    <t>Combined Attack</t>
  </si>
  <si>
    <t>Surprise Attack</t>
  </si>
  <si>
    <t>Mixed order</t>
  </si>
  <si>
    <t>Hold!</t>
  </si>
  <si>
    <t>Marmont injured[black/grey20]</t>
  </si>
  <si>
    <t xml:space="preserve">Counter-attack </t>
  </si>
  <si>
    <t>darkred</t>
  </si>
  <si>
    <t>Turn[black/lightorange]</t>
  </si>
  <si>
    <t>generate front and back separately</t>
  </si>
  <si>
    <t>gradient colours: eg [black/red&gt;yellow:2-7]</t>
  </si>
  <si>
    <t>Rout</t>
  </si>
  <si>
    <t>Charge</t>
  </si>
  <si>
    <t>Orders</t>
  </si>
  <si>
    <t>No orders</t>
  </si>
  <si>
    <t>Square</t>
  </si>
  <si>
    <t>Reinf</t>
  </si>
  <si>
    <t>Shock</t>
  </si>
  <si>
    <t>Fired</t>
  </si>
  <si>
    <t>Shock + test</t>
  </si>
  <si>
    <t>lightorange</t>
  </si>
  <si>
    <t>darkgreen</t>
  </si>
  <si>
    <t>blank</t>
  </si>
  <si>
    <t>IV/Art.Res</t>
  </si>
  <si>
    <t>2-3 (3) 7 7</t>
  </si>
  <si>
    <t>2-4 (3) 7 6</t>
  </si>
  <si>
    <t>2-4 (2) 5 6</t>
  </si>
  <si>
    <t>L[red]</t>
  </si>
  <si>
    <t>arial bold</t>
  </si>
  <si>
    <t>(0)</t>
  </si>
  <si>
    <t>Taupin</t>
  </si>
  <si>
    <t>Chemineau</t>
  </si>
  <si>
    <t>Berlier</t>
  </si>
  <si>
    <t>Barbot</t>
  </si>
  <si>
    <t>Menne</t>
  </si>
  <si>
    <t>Arnaud</t>
  </si>
  <si>
    <t>Fririon</t>
  </si>
  <si>
    <t>Montfort</t>
  </si>
  <si>
    <t>Bonté</t>
  </si>
  <si>
    <t>Gautier</t>
  </si>
  <si>
    <t>Art.Res</t>
  </si>
  <si>
    <t>Desgraviers</t>
  </si>
  <si>
    <t>6°Lg</t>
  </si>
  <si>
    <t>69°Li</t>
  </si>
  <si>
    <t>39°Li</t>
  </si>
  <si>
    <t>76°Li</t>
  </si>
  <si>
    <t>25°Lg</t>
  </si>
  <si>
    <t>27°Li</t>
  </si>
  <si>
    <t>50°Li</t>
  </si>
  <si>
    <t>59°Li</t>
  </si>
  <si>
    <t>31°Lg</t>
  </si>
  <si>
    <t>26°Li</t>
  </si>
  <si>
    <t>47°Li</t>
  </si>
  <si>
    <t>70°Li</t>
  </si>
  <si>
    <t>2°Lg</t>
  </si>
  <si>
    <t>36°Li</t>
  </si>
  <si>
    <t>4°Lg</t>
  </si>
  <si>
    <t>15°Li</t>
  </si>
  <si>
    <t>66°Li</t>
  </si>
  <si>
    <t>82°Li</t>
  </si>
  <si>
    <t>86°Li</t>
  </si>
  <si>
    <t>17°Lg</t>
  </si>
  <si>
    <t>65°Li</t>
  </si>
  <si>
    <t>22°Li</t>
  </si>
  <si>
    <t>1°Li</t>
  </si>
  <si>
    <t>62°Li</t>
  </si>
  <si>
    <t>101°Li</t>
  </si>
  <si>
    <t>118°Li</t>
  </si>
  <si>
    <t>119°Li</t>
  </si>
  <si>
    <t>120°Li</t>
  </si>
  <si>
    <t>122°Li</t>
  </si>
  <si>
    <t>II</t>
  </si>
  <si>
    <t>III</t>
  </si>
  <si>
    <t>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</si>
</sst>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sz val="10"/>
      <name val="Courier New"/>
      <family val="3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0"/>
      <color indexed="48"/>
      <name val="Arial"/>
      <family val="2"/>
    </font>
    <font>
      <b/>
      <sz val="10"/>
      <color indexed="1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7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/>
    <xf numFmtId="49" fontId="2" fillId="2" borderId="1" xfId="0" applyNumberFormat="1" applyFont="1" applyFill="1" applyBorder="1"/>
    <xf numFmtId="49" fontId="0" fillId="0" borderId="0" xfId="0" applyNumberFormat="1"/>
    <xf numFmtId="0" fontId="2" fillId="2" borderId="1" xfId="0" applyNumberFormat="1" applyFont="1" applyFill="1" applyBorder="1"/>
    <xf numFmtId="0" fontId="0" fillId="0" borderId="0" xfId="0" applyNumberFormat="1"/>
    <xf numFmtId="0" fontId="0" fillId="0" borderId="0" xfId="0" applyBorder="1"/>
    <xf numFmtId="0" fontId="0" fillId="0" borderId="0" xfId="0" applyAlignment="1">
      <alignment vertical="center"/>
    </xf>
    <xf numFmtId="49" fontId="3" fillId="0" borderId="0" xfId="0" applyNumberFormat="1" applyFont="1"/>
    <xf numFmtId="49" fontId="0" fillId="0" borderId="0" xfId="0" applyNumberFormat="1" applyAlignment="1">
      <alignment vertical="center"/>
    </xf>
    <xf numFmtId="0" fontId="2" fillId="2" borderId="0" xfId="0" applyFont="1" applyFill="1" applyBorder="1"/>
    <xf numFmtId="0" fontId="4" fillId="0" borderId="0" xfId="0" applyFont="1" applyAlignment="1">
      <alignment vertical="center"/>
    </xf>
    <xf numFmtId="0" fontId="2" fillId="0" borderId="0" xfId="0" applyFont="1"/>
    <xf numFmtId="49" fontId="5" fillId="0" borderId="0" xfId="0" applyNumberFormat="1" applyFont="1"/>
    <xf numFmtId="49" fontId="2" fillId="0" borderId="0" xfId="0" applyNumberFormat="1" applyFont="1"/>
    <xf numFmtId="49" fontId="6" fillId="0" borderId="0" xfId="0" applyNumberFormat="1" applyFont="1"/>
    <xf numFmtId="49" fontId="0" fillId="0" borderId="0" xfId="0" applyNumberFormat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0" fillId="0" borderId="0" xfId="0" applyNumberFormat="1" applyAlignment="1"/>
    <xf numFmtId="49" fontId="0" fillId="3" borderId="0" xfId="0" applyNumberFormat="1" applyFill="1"/>
    <xf numFmtId="49" fontId="4" fillId="0" borderId="0" xfId="0" applyNumberFormat="1" applyFont="1" applyAlignment="1">
      <alignment horizontal="left"/>
    </xf>
    <xf numFmtId="49" fontId="0" fillId="3" borderId="0" xfId="0" applyNumberFormat="1" applyFill="1" applyAlignment="1">
      <alignment horizontal="left"/>
    </xf>
    <xf numFmtId="49" fontId="0" fillId="0" borderId="0" xfId="0" quotePrefix="1" applyNumberFormat="1" applyAlignment="1">
      <alignment horizontal="center"/>
    </xf>
    <xf numFmtId="49" fontId="4" fillId="0" borderId="0" xfId="0" applyNumberFormat="1" applyFont="1"/>
    <xf numFmtId="0" fontId="4" fillId="0" borderId="0" xfId="0" applyFont="1"/>
    <xf numFmtId="0" fontId="0" fillId="0" borderId="0" xfId="0" applyFont="1"/>
    <xf numFmtId="49" fontId="0" fillId="0" borderId="0" xfId="0" applyNumberFormat="1" applyFon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quotePrefix="1" applyFont="1" applyAlignment="1">
      <alignment horizontal="center"/>
    </xf>
    <xf numFmtId="49" fontId="4" fillId="0" borderId="0" xfId="0" quotePrefix="1" applyNumberFormat="1" applyFont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Font="1" applyAlignment="1">
      <alignment horizontal="center"/>
    </xf>
    <xf numFmtId="49" fontId="2" fillId="3" borderId="0" xfId="0" applyNumberFormat="1" applyFont="1" applyFill="1" applyAlignment="1">
      <alignment horizontal="center"/>
    </xf>
  </cellXfs>
  <cellStyles count="2">
    <cellStyle name="Non défini" xfId="1"/>
    <cellStyle name="Normal" xfId="0" builtinId="0"/>
  </cellStyles>
  <dxfs count="8"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B0B9E8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A3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gif"/><Relationship Id="rId1" Type="http://schemas.openxmlformats.org/officeDocument/2006/relationships/image" Target="../media/image1.png"/><Relationship Id="rId6" Type="http://schemas.openxmlformats.org/officeDocument/2006/relationships/image" Target="../media/image6.gif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464820</xdr:colOff>
          <xdr:row>0</xdr:row>
          <xdr:rowOff>68580</xdr:rowOff>
        </xdr:from>
        <xdr:to>
          <xdr:col>13</xdr:col>
          <xdr:colOff>411480</xdr:colOff>
          <xdr:row>3</xdr:row>
          <xdr:rowOff>144780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673100</xdr:colOff>
      <xdr:row>4</xdr:row>
      <xdr:rowOff>2540</xdr:rowOff>
    </xdr:to>
    <xdr:sp macro="" textlink="">
      <xdr:nvSpPr>
        <xdr:cNvPr id="2" name="outline 1"/>
        <xdr:cNvSpPr/>
      </xdr:nvSpPr>
      <xdr:spPr>
        <a:xfrm>
          <a:off x="0" y="0"/>
          <a:ext cx="673100" cy="673100"/>
        </a:xfrm>
        <a:prstGeom prst="rect">
          <a:avLst/>
        </a:prstGeom>
        <a:solidFill>
          <a:srgbClr val="FFC0CB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152400</xdr:colOff>
      <xdr:row>2</xdr:row>
      <xdr:rowOff>121920</xdr:rowOff>
    </xdr:to>
    <xdr:sp macro="" textlink="">
      <xdr:nvSpPr>
        <xdr:cNvPr id="3" name="name 2"/>
        <xdr:cNvSpPr/>
      </xdr:nvSpPr>
      <xdr:spPr>
        <a:xfrm>
          <a:off x="12700" y="12700"/>
          <a:ext cx="139700" cy="444500"/>
        </a:xfrm>
        <a:prstGeom prst="rect">
          <a:avLst/>
        </a:prstGeom>
        <a:solidFill>
          <a:srgbClr val="FF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Wellington</a:t>
          </a:r>
        </a:p>
      </xdr:txBody>
    </xdr:sp>
    <xdr:clientData/>
  </xdr:twoCellAnchor>
  <xdr:twoCellAnchor editAs="absolute">
    <xdr:from>
      <xdr:col>0</xdr:col>
      <xdr:colOff>165100</xdr:colOff>
      <xdr:row>0</xdr:row>
      <xdr:rowOff>63500</xdr:rowOff>
    </xdr:from>
    <xdr:to>
      <xdr:col>0</xdr:col>
      <xdr:colOff>660400</xdr:colOff>
      <xdr:row>3</xdr:row>
      <xdr:rowOff>55880</xdr:rowOff>
    </xdr:to>
    <xdr:pic>
      <xdr:nvPicPr>
        <xdr:cNvPr id="4" name="pic 3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" y="63500"/>
          <a:ext cx="495300" cy="495300"/>
        </a:xfrm>
        <a:prstGeom prst="rect">
          <a:avLst/>
        </a:prstGeom>
      </xdr:spPr>
    </xdr:pic>
    <xdr:clientData/>
  </xdr:twoCellAnchor>
  <xdr:twoCellAnchor editAs="absolute">
    <xdr:from>
      <xdr:col>0</xdr:col>
      <xdr:colOff>88900</xdr:colOff>
      <xdr:row>2</xdr:row>
      <xdr:rowOff>134620</xdr:rowOff>
    </xdr:from>
    <xdr:to>
      <xdr:col>0</xdr:col>
      <xdr:colOff>228600</xdr:colOff>
      <xdr:row>3</xdr:row>
      <xdr:rowOff>157480</xdr:rowOff>
    </xdr:to>
    <xdr:sp macro="" textlink="">
      <xdr:nvSpPr>
        <xdr:cNvPr id="5" name="left 4"/>
        <xdr:cNvSpPr/>
      </xdr:nvSpPr>
      <xdr:spPr>
        <a:xfrm>
          <a:off x="889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292100</xdr:colOff>
      <xdr:row>2</xdr:row>
      <xdr:rowOff>134620</xdr:rowOff>
    </xdr:from>
    <xdr:to>
      <xdr:col>0</xdr:col>
      <xdr:colOff>431800</xdr:colOff>
      <xdr:row>3</xdr:row>
      <xdr:rowOff>157480</xdr:rowOff>
    </xdr:to>
    <xdr:sp macro="" textlink="">
      <xdr:nvSpPr>
        <xdr:cNvPr id="6" name="middle 5"/>
        <xdr:cNvSpPr/>
      </xdr:nvSpPr>
      <xdr:spPr>
        <a:xfrm>
          <a:off x="2921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495300</xdr:colOff>
      <xdr:row>2</xdr:row>
      <xdr:rowOff>134620</xdr:rowOff>
    </xdr:from>
    <xdr:to>
      <xdr:col>0</xdr:col>
      <xdr:colOff>635000</xdr:colOff>
      <xdr:row>3</xdr:row>
      <xdr:rowOff>157480</xdr:rowOff>
    </xdr:to>
    <xdr:sp macro="" textlink="">
      <xdr:nvSpPr>
        <xdr:cNvPr id="7" name="right 6"/>
        <xdr:cNvSpPr/>
      </xdr:nvSpPr>
      <xdr:spPr>
        <a:xfrm>
          <a:off x="4953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673100</xdr:colOff>
      <xdr:row>0</xdr:row>
      <xdr:rowOff>0</xdr:rowOff>
    </xdr:from>
    <xdr:to>
      <xdr:col>0</xdr:col>
      <xdr:colOff>1346200</xdr:colOff>
      <xdr:row>4</xdr:row>
      <xdr:rowOff>2540</xdr:rowOff>
    </xdr:to>
    <xdr:sp macro="" textlink="">
      <xdr:nvSpPr>
        <xdr:cNvPr id="8" name="outline 7"/>
        <xdr:cNvSpPr/>
      </xdr:nvSpPr>
      <xdr:spPr>
        <a:xfrm>
          <a:off x="673100" y="0"/>
          <a:ext cx="673100" cy="673100"/>
        </a:xfrm>
        <a:prstGeom prst="rect">
          <a:avLst/>
        </a:prstGeom>
        <a:solidFill>
          <a:srgbClr val="FFA3C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838200</xdr:colOff>
      <xdr:row>0</xdr:row>
      <xdr:rowOff>38100</xdr:rowOff>
    </xdr:from>
    <xdr:to>
      <xdr:col>0</xdr:col>
      <xdr:colOff>1333500</xdr:colOff>
      <xdr:row>2</xdr:row>
      <xdr:rowOff>121920</xdr:rowOff>
    </xdr:to>
    <xdr:sp macro="" textlink="">
      <xdr:nvSpPr>
        <xdr:cNvPr id="9" name="flag 8"/>
        <xdr:cNvSpPr/>
      </xdr:nvSpPr>
      <xdr:spPr>
        <a:xfrm>
          <a:off x="838200" y="38100"/>
          <a:ext cx="495300" cy="419100"/>
        </a:xfrm>
        <a:prstGeom prst="rect">
          <a:avLst/>
        </a:prstGeom>
        <a:solidFill>
          <a:srgbClr val="FFA3C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Lt</a:t>
          </a:r>
        </a:p>
      </xdr:txBody>
    </xdr:sp>
    <xdr:clientData/>
  </xdr:twoCellAnchor>
  <xdr:twoCellAnchor editAs="absolute">
    <xdr:from>
      <xdr:col>0</xdr:col>
      <xdr:colOff>685800</xdr:colOff>
      <xdr:row>0</xdr:row>
      <xdr:rowOff>12700</xdr:rowOff>
    </xdr:from>
    <xdr:to>
      <xdr:col>0</xdr:col>
      <xdr:colOff>825500</xdr:colOff>
      <xdr:row>2</xdr:row>
      <xdr:rowOff>147320</xdr:rowOff>
    </xdr:to>
    <xdr:sp macro="" textlink="">
      <xdr:nvSpPr>
        <xdr:cNvPr id="10" name="name 9"/>
        <xdr:cNvSpPr/>
      </xdr:nvSpPr>
      <xdr:spPr>
        <a:xfrm>
          <a:off x="685800" y="12700"/>
          <a:ext cx="139700" cy="469900"/>
        </a:xfrm>
        <a:prstGeom prst="rect">
          <a:avLst/>
        </a:prstGeom>
        <a:solidFill>
          <a:srgbClr val="008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Alten</a:t>
          </a:r>
        </a:p>
      </xdr:txBody>
    </xdr:sp>
    <xdr:clientData/>
  </xdr:twoCellAnchor>
  <xdr:twoCellAnchor editAs="absolute">
    <xdr:from>
      <xdr:col>0</xdr:col>
      <xdr:colOff>762000</xdr:colOff>
      <xdr:row>2</xdr:row>
      <xdr:rowOff>134620</xdr:rowOff>
    </xdr:from>
    <xdr:to>
      <xdr:col>0</xdr:col>
      <xdr:colOff>901700</xdr:colOff>
      <xdr:row>3</xdr:row>
      <xdr:rowOff>157480</xdr:rowOff>
    </xdr:to>
    <xdr:sp macro="" textlink="">
      <xdr:nvSpPr>
        <xdr:cNvPr id="11" name="left 10"/>
        <xdr:cNvSpPr/>
      </xdr:nvSpPr>
      <xdr:spPr>
        <a:xfrm>
          <a:off x="7620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1168400</xdr:colOff>
      <xdr:row>2</xdr:row>
      <xdr:rowOff>134620</xdr:rowOff>
    </xdr:from>
    <xdr:to>
      <xdr:col>0</xdr:col>
      <xdr:colOff>1308100</xdr:colOff>
      <xdr:row>3</xdr:row>
      <xdr:rowOff>157480</xdr:rowOff>
    </xdr:to>
    <xdr:sp macro="" textlink="">
      <xdr:nvSpPr>
        <xdr:cNvPr id="12" name="right 11"/>
        <xdr:cNvSpPr/>
      </xdr:nvSpPr>
      <xdr:spPr>
        <a:xfrm>
          <a:off x="11684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1346200</xdr:colOff>
      <xdr:row>0</xdr:row>
      <xdr:rowOff>0</xdr:rowOff>
    </xdr:from>
    <xdr:to>
      <xdr:col>0</xdr:col>
      <xdr:colOff>2019300</xdr:colOff>
      <xdr:row>4</xdr:row>
      <xdr:rowOff>2540</xdr:rowOff>
    </xdr:to>
    <xdr:sp macro="" textlink="">
      <xdr:nvSpPr>
        <xdr:cNvPr id="13" name="outline 12"/>
        <xdr:cNvSpPr/>
      </xdr:nvSpPr>
      <xdr:spPr>
        <a:xfrm>
          <a:off x="1346200" y="0"/>
          <a:ext cx="673100" cy="673100"/>
        </a:xfrm>
        <a:prstGeom prst="rect">
          <a:avLst/>
        </a:prstGeom>
        <a:solidFill>
          <a:srgbClr val="FFA3C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1511300</xdr:colOff>
      <xdr:row>0</xdr:row>
      <xdr:rowOff>38100</xdr:rowOff>
    </xdr:from>
    <xdr:to>
      <xdr:col>0</xdr:col>
      <xdr:colOff>2006600</xdr:colOff>
      <xdr:row>2</xdr:row>
      <xdr:rowOff>121920</xdr:rowOff>
    </xdr:to>
    <xdr:sp macro="" textlink="">
      <xdr:nvSpPr>
        <xdr:cNvPr id="14" name="flag 13"/>
        <xdr:cNvSpPr/>
      </xdr:nvSpPr>
      <xdr:spPr>
        <a:xfrm>
          <a:off x="1511300" y="38100"/>
          <a:ext cx="495300" cy="419100"/>
        </a:xfrm>
        <a:prstGeom prst="rect">
          <a:avLst/>
        </a:prstGeom>
        <a:solidFill>
          <a:srgbClr val="FFA3C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Lt</a:t>
          </a:r>
        </a:p>
      </xdr:txBody>
    </xdr:sp>
    <xdr:clientData/>
  </xdr:twoCellAnchor>
  <xdr:twoCellAnchor editAs="absolute">
    <xdr:from>
      <xdr:col>0</xdr:col>
      <xdr:colOff>1358900</xdr:colOff>
      <xdr:row>0</xdr:row>
      <xdr:rowOff>12700</xdr:rowOff>
    </xdr:from>
    <xdr:to>
      <xdr:col>0</xdr:col>
      <xdr:colOff>1498600</xdr:colOff>
      <xdr:row>2</xdr:row>
      <xdr:rowOff>147320</xdr:rowOff>
    </xdr:to>
    <xdr:sp macro="" textlink="">
      <xdr:nvSpPr>
        <xdr:cNvPr id="15" name="name 14"/>
        <xdr:cNvSpPr/>
      </xdr:nvSpPr>
      <xdr:spPr>
        <a:xfrm>
          <a:off x="1358900" y="12700"/>
          <a:ext cx="139700" cy="469900"/>
        </a:xfrm>
        <a:prstGeom prst="rect">
          <a:avLst/>
        </a:prstGeom>
        <a:solidFill>
          <a:srgbClr val="008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Alten</a:t>
          </a:r>
        </a:p>
      </xdr:txBody>
    </xdr:sp>
    <xdr:clientData/>
  </xdr:twoCellAnchor>
  <xdr:twoCellAnchor editAs="absolute">
    <xdr:from>
      <xdr:col>0</xdr:col>
      <xdr:colOff>1435100</xdr:colOff>
      <xdr:row>2</xdr:row>
      <xdr:rowOff>134620</xdr:rowOff>
    </xdr:from>
    <xdr:to>
      <xdr:col>0</xdr:col>
      <xdr:colOff>1574800</xdr:colOff>
      <xdr:row>3</xdr:row>
      <xdr:rowOff>157480</xdr:rowOff>
    </xdr:to>
    <xdr:sp macro="" textlink="">
      <xdr:nvSpPr>
        <xdr:cNvPr id="16" name="left 15"/>
        <xdr:cNvSpPr/>
      </xdr:nvSpPr>
      <xdr:spPr>
        <a:xfrm>
          <a:off x="14351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1841500</xdr:colOff>
      <xdr:row>2</xdr:row>
      <xdr:rowOff>134620</xdr:rowOff>
    </xdr:from>
    <xdr:to>
      <xdr:col>0</xdr:col>
      <xdr:colOff>1981200</xdr:colOff>
      <xdr:row>3</xdr:row>
      <xdr:rowOff>157480</xdr:rowOff>
    </xdr:to>
    <xdr:sp macro="" textlink="">
      <xdr:nvSpPr>
        <xdr:cNvPr id="17" name="right 16"/>
        <xdr:cNvSpPr/>
      </xdr:nvSpPr>
      <xdr:spPr>
        <a:xfrm>
          <a:off x="18415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2019300</xdr:colOff>
      <xdr:row>0</xdr:row>
      <xdr:rowOff>0</xdr:rowOff>
    </xdr:from>
    <xdr:to>
      <xdr:col>0</xdr:col>
      <xdr:colOff>2692400</xdr:colOff>
      <xdr:row>4</xdr:row>
      <xdr:rowOff>2540</xdr:rowOff>
    </xdr:to>
    <xdr:sp macro="" textlink="">
      <xdr:nvSpPr>
        <xdr:cNvPr id="18" name="outline 17"/>
        <xdr:cNvSpPr/>
      </xdr:nvSpPr>
      <xdr:spPr>
        <a:xfrm>
          <a:off x="2019300" y="0"/>
          <a:ext cx="673100" cy="673100"/>
        </a:xfrm>
        <a:prstGeom prst="rect">
          <a:avLst/>
        </a:prstGeom>
        <a:gradFill flip="none" rotWithShape="1">
          <a:gsLst>
            <a:gs pos="0">
              <a:srgbClr val="FFC0CB"/>
            </a:gs>
            <a:gs pos="49000">
              <a:srgbClr val="FFC0CB"/>
            </a:gs>
            <a:gs pos="51000">
              <a:srgbClr val="FFA500"/>
            </a:gs>
            <a:gs pos="100000">
              <a:srgbClr val="FFA500"/>
            </a:gs>
          </a:gsLst>
          <a:lin ang="2700000" scaled="1"/>
          <a:tileRect/>
        </a:gra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2032000</xdr:colOff>
      <xdr:row>0</xdr:row>
      <xdr:rowOff>12700</xdr:rowOff>
    </xdr:from>
    <xdr:to>
      <xdr:col>0</xdr:col>
      <xdr:colOff>2679700</xdr:colOff>
      <xdr:row>0</xdr:row>
      <xdr:rowOff>152400</xdr:rowOff>
    </xdr:to>
    <xdr:sp macro="" textlink="">
      <xdr:nvSpPr>
        <xdr:cNvPr id="19" name="name 18"/>
        <xdr:cNvSpPr/>
      </xdr:nvSpPr>
      <xdr:spPr>
        <a:xfrm>
          <a:off x="2032000" y="12700"/>
          <a:ext cx="647700" cy="139700"/>
        </a:xfrm>
        <a:prstGeom prst="rect">
          <a:avLst/>
        </a:prstGeom>
        <a:solidFill>
          <a:srgbClr val="008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Barnard</a:t>
          </a:r>
        </a:p>
      </xdr:txBody>
    </xdr:sp>
    <xdr:clientData/>
  </xdr:twoCellAnchor>
  <xdr:twoCellAnchor editAs="absolute">
    <xdr:from>
      <xdr:col>0</xdr:col>
      <xdr:colOff>2235200</xdr:colOff>
      <xdr:row>0</xdr:row>
      <xdr:rowOff>165100</xdr:rowOff>
    </xdr:from>
    <xdr:to>
      <xdr:col>0</xdr:col>
      <xdr:colOff>2603500</xdr:colOff>
      <xdr:row>3</xdr:row>
      <xdr:rowOff>81280</xdr:rowOff>
    </xdr:to>
    <xdr:pic>
      <xdr:nvPicPr>
        <xdr:cNvPr id="20" name="symbol 1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65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2082800</xdr:colOff>
      <xdr:row>2</xdr:row>
      <xdr:rowOff>134620</xdr:rowOff>
    </xdr:from>
    <xdr:to>
      <xdr:col>0</xdr:col>
      <xdr:colOff>2247900</xdr:colOff>
      <xdr:row>3</xdr:row>
      <xdr:rowOff>157480</xdr:rowOff>
    </xdr:to>
    <xdr:sp macro="" textlink="">
      <xdr:nvSpPr>
        <xdr:cNvPr id="21" name="fleft 20"/>
        <xdr:cNvSpPr/>
      </xdr:nvSpPr>
      <xdr:spPr>
        <a:xfrm>
          <a:off x="20828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2387600</xdr:colOff>
      <xdr:row>2</xdr:row>
      <xdr:rowOff>134620</xdr:rowOff>
    </xdr:from>
    <xdr:to>
      <xdr:col>0</xdr:col>
      <xdr:colOff>2527300</xdr:colOff>
      <xdr:row>3</xdr:row>
      <xdr:rowOff>157480</xdr:rowOff>
    </xdr:to>
    <xdr:sp macro="" textlink="">
      <xdr:nvSpPr>
        <xdr:cNvPr id="22" name="fmiddle 21"/>
        <xdr:cNvSpPr/>
      </xdr:nvSpPr>
      <xdr:spPr>
        <a:xfrm>
          <a:off x="2387600" y="469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2514600</xdr:colOff>
      <xdr:row>2</xdr:row>
      <xdr:rowOff>134620</xdr:rowOff>
    </xdr:from>
    <xdr:to>
      <xdr:col>0</xdr:col>
      <xdr:colOff>2679700</xdr:colOff>
      <xdr:row>3</xdr:row>
      <xdr:rowOff>157480</xdr:rowOff>
    </xdr:to>
    <xdr:sp macro="" textlink="">
      <xdr:nvSpPr>
        <xdr:cNvPr id="23" name="fright 22"/>
        <xdr:cNvSpPr/>
      </xdr:nvSpPr>
      <xdr:spPr>
        <a:xfrm>
          <a:off x="25146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2540000</xdr:colOff>
      <xdr:row>1</xdr:row>
      <xdr:rowOff>48260</xdr:rowOff>
    </xdr:from>
    <xdr:to>
      <xdr:col>0</xdr:col>
      <xdr:colOff>2679700</xdr:colOff>
      <xdr:row>2</xdr:row>
      <xdr:rowOff>45720</xdr:rowOff>
    </xdr:to>
    <xdr:sp macro="" textlink="">
      <xdr:nvSpPr>
        <xdr:cNvPr id="24" name="eng 23"/>
        <xdr:cNvSpPr/>
      </xdr:nvSpPr>
      <xdr:spPr>
        <a:xfrm>
          <a:off x="2540000" y="2159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2692400</xdr:colOff>
      <xdr:row>0</xdr:row>
      <xdr:rowOff>0</xdr:rowOff>
    </xdr:from>
    <xdr:to>
      <xdr:col>0</xdr:col>
      <xdr:colOff>3365500</xdr:colOff>
      <xdr:row>4</xdr:row>
      <xdr:rowOff>2540</xdr:rowOff>
    </xdr:to>
    <xdr:sp macro="" textlink="">
      <xdr:nvSpPr>
        <xdr:cNvPr id="25" name="outline 24"/>
        <xdr:cNvSpPr/>
      </xdr:nvSpPr>
      <xdr:spPr>
        <a:xfrm>
          <a:off x="2692400" y="0"/>
          <a:ext cx="673100" cy="673100"/>
        </a:xfrm>
        <a:prstGeom prst="rect">
          <a:avLst/>
        </a:prstGeom>
        <a:gradFill flip="none" rotWithShape="1">
          <a:gsLst>
            <a:gs pos="0">
              <a:srgbClr val="FFC0CB"/>
            </a:gs>
            <a:gs pos="49000">
              <a:srgbClr val="FFC0CB"/>
            </a:gs>
            <a:gs pos="51000">
              <a:srgbClr val="FFA500"/>
            </a:gs>
            <a:gs pos="100000">
              <a:srgbClr val="FFA500"/>
            </a:gs>
          </a:gsLst>
          <a:lin ang="2700000" scaled="1"/>
          <a:tileRect/>
        </a:gra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2705100</xdr:colOff>
      <xdr:row>0</xdr:row>
      <xdr:rowOff>12700</xdr:rowOff>
    </xdr:from>
    <xdr:to>
      <xdr:col>0</xdr:col>
      <xdr:colOff>3352800</xdr:colOff>
      <xdr:row>0</xdr:row>
      <xdr:rowOff>152400</xdr:rowOff>
    </xdr:to>
    <xdr:sp macro="" textlink="">
      <xdr:nvSpPr>
        <xdr:cNvPr id="26" name="name 25"/>
        <xdr:cNvSpPr/>
      </xdr:nvSpPr>
      <xdr:spPr>
        <a:xfrm>
          <a:off x="2705100" y="12700"/>
          <a:ext cx="647700" cy="139700"/>
        </a:xfrm>
        <a:prstGeom prst="rect">
          <a:avLst/>
        </a:prstGeom>
        <a:solidFill>
          <a:srgbClr val="008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Vandeleur</a:t>
          </a:r>
        </a:p>
      </xdr:txBody>
    </xdr:sp>
    <xdr:clientData/>
  </xdr:twoCellAnchor>
  <xdr:twoCellAnchor editAs="absolute">
    <xdr:from>
      <xdr:col>0</xdr:col>
      <xdr:colOff>2908300</xdr:colOff>
      <xdr:row>0</xdr:row>
      <xdr:rowOff>165100</xdr:rowOff>
    </xdr:from>
    <xdr:to>
      <xdr:col>0</xdr:col>
      <xdr:colOff>3276600</xdr:colOff>
      <xdr:row>3</xdr:row>
      <xdr:rowOff>81280</xdr:rowOff>
    </xdr:to>
    <xdr:pic>
      <xdr:nvPicPr>
        <xdr:cNvPr id="27" name="symbol 2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300" y="165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2755900</xdr:colOff>
      <xdr:row>2</xdr:row>
      <xdr:rowOff>134620</xdr:rowOff>
    </xdr:from>
    <xdr:to>
      <xdr:col>0</xdr:col>
      <xdr:colOff>2921000</xdr:colOff>
      <xdr:row>3</xdr:row>
      <xdr:rowOff>157480</xdr:rowOff>
    </xdr:to>
    <xdr:sp macro="" textlink="">
      <xdr:nvSpPr>
        <xdr:cNvPr id="28" name="fleft 27"/>
        <xdr:cNvSpPr/>
      </xdr:nvSpPr>
      <xdr:spPr>
        <a:xfrm>
          <a:off x="27559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3060700</xdr:colOff>
      <xdr:row>2</xdr:row>
      <xdr:rowOff>134620</xdr:rowOff>
    </xdr:from>
    <xdr:to>
      <xdr:col>0</xdr:col>
      <xdr:colOff>3200400</xdr:colOff>
      <xdr:row>3</xdr:row>
      <xdr:rowOff>157480</xdr:rowOff>
    </xdr:to>
    <xdr:sp macro="" textlink="">
      <xdr:nvSpPr>
        <xdr:cNvPr id="29" name="fmiddle 28"/>
        <xdr:cNvSpPr/>
      </xdr:nvSpPr>
      <xdr:spPr>
        <a:xfrm>
          <a:off x="3060700" y="469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3187700</xdr:colOff>
      <xdr:row>2</xdr:row>
      <xdr:rowOff>134620</xdr:rowOff>
    </xdr:from>
    <xdr:to>
      <xdr:col>0</xdr:col>
      <xdr:colOff>3352800</xdr:colOff>
      <xdr:row>3</xdr:row>
      <xdr:rowOff>157480</xdr:rowOff>
    </xdr:to>
    <xdr:sp macro="" textlink="">
      <xdr:nvSpPr>
        <xdr:cNvPr id="30" name="fright 29"/>
        <xdr:cNvSpPr/>
      </xdr:nvSpPr>
      <xdr:spPr>
        <a:xfrm>
          <a:off x="31877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3213100</xdr:colOff>
      <xdr:row>1</xdr:row>
      <xdr:rowOff>48260</xdr:rowOff>
    </xdr:from>
    <xdr:to>
      <xdr:col>0</xdr:col>
      <xdr:colOff>3352800</xdr:colOff>
      <xdr:row>2</xdr:row>
      <xdr:rowOff>45720</xdr:rowOff>
    </xdr:to>
    <xdr:sp macro="" textlink="">
      <xdr:nvSpPr>
        <xdr:cNvPr id="31" name="eng 30"/>
        <xdr:cNvSpPr/>
      </xdr:nvSpPr>
      <xdr:spPr>
        <a:xfrm>
          <a:off x="3213100" y="2159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3365500</xdr:colOff>
      <xdr:row>0</xdr:row>
      <xdr:rowOff>0</xdr:rowOff>
    </xdr:from>
    <xdr:to>
      <xdr:col>0</xdr:col>
      <xdr:colOff>4038600</xdr:colOff>
      <xdr:row>4</xdr:row>
      <xdr:rowOff>2540</xdr:rowOff>
    </xdr:to>
    <xdr:sp macro="" textlink="">
      <xdr:nvSpPr>
        <xdr:cNvPr id="32" name="outline 31"/>
        <xdr:cNvSpPr/>
      </xdr:nvSpPr>
      <xdr:spPr>
        <a:xfrm>
          <a:off x="3365500" y="0"/>
          <a:ext cx="673100" cy="673100"/>
        </a:xfrm>
        <a:prstGeom prst="rect">
          <a:avLst/>
        </a:prstGeom>
        <a:solidFill>
          <a:srgbClr val="FFC0CB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3581400</xdr:colOff>
      <xdr:row>0</xdr:row>
      <xdr:rowOff>12700</xdr:rowOff>
    </xdr:from>
    <xdr:to>
      <xdr:col>0</xdr:col>
      <xdr:colOff>4025900</xdr:colOff>
      <xdr:row>0</xdr:row>
      <xdr:rowOff>152400</xdr:rowOff>
    </xdr:to>
    <xdr:sp macro="" textlink="">
      <xdr:nvSpPr>
        <xdr:cNvPr id="33" name="name 32"/>
        <xdr:cNvSpPr/>
      </xdr:nvSpPr>
      <xdr:spPr>
        <a:xfrm>
          <a:off x="3581400" y="12700"/>
          <a:ext cx="444500" cy="139700"/>
        </a:xfrm>
        <a:prstGeom prst="rect">
          <a:avLst/>
        </a:prstGeom>
        <a:solidFill>
          <a:srgbClr val="008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Ross</a:t>
          </a:r>
        </a:p>
      </xdr:txBody>
    </xdr:sp>
    <xdr:clientData/>
  </xdr:twoCellAnchor>
  <xdr:twoCellAnchor editAs="absolute">
    <xdr:from>
      <xdr:col>0</xdr:col>
      <xdr:colOff>3429000</xdr:colOff>
      <xdr:row>1</xdr:row>
      <xdr:rowOff>73660</xdr:rowOff>
    </xdr:from>
    <xdr:to>
      <xdr:col>0</xdr:col>
      <xdr:colOff>3822700</xdr:colOff>
      <xdr:row>2</xdr:row>
      <xdr:rowOff>147320</xdr:rowOff>
    </xdr:to>
    <xdr:pic>
      <xdr:nvPicPr>
        <xdr:cNvPr id="34" name="symbol 33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0" y="241300"/>
          <a:ext cx="393700" cy="241300"/>
        </a:xfrm>
        <a:prstGeom prst="rect">
          <a:avLst/>
        </a:prstGeom>
      </xdr:spPr>
    </xdr:pic>
    <xdr:clientData/>
  </xdr:twoCellAnchor>
  <xdr:twoCellAnchor editAs="absolute">
    <xdr:from>
      <xdr:col>0</xdr:col>
      <xdr:colOff>3733800</xdr:colOff>
      <xdr:row>0</xdr:row>
      <xdr:rowOff>139700</xdr:rowOff>
    </xdr:from>
    <xdr:to>
      <xdr:col>0</xdr:col>
      <xdr:colOff>4025900</xdr:colOff>
      <xdr:row>2</xdr:row>
      <xdr:rowOff>96520</xdr:rowOff>
    </xdr:to>
    <xdr:pic>
      <xdr:nvPicPr>
        <xdr:cNvPr id="35" name="elite 34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3800" y="139700"/>
          <a:ext cx="2921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3429000</xdr:colOff>
      <xdr:row>2</xdr:row>
      <xdr:rowOff>134620</xdr:rowOff>
    </xdr:from>
    <xdr:to>
      <xdr:col>0</xdr:col>
      <xdr:colOff>3619500</xdr:colOff>
      <xdr:row>3</xdr:row>
      <xdr:rowOff>132080</xdr:rowOff>
    </xdr:to>
    <xdr:sp macro="" textlink="">
      <xdr:nvSpPr>
        <xdr:cNvPr id="36" name="fleft 35"/>
        <xdr:cNvSpPr/>
      </xdr:nvSpPr>
      <xdr:spPr>
        <a:xfrm>
          <a:off x="3429000" y="4699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3657600</xdr:colOff>
      <xdr:row>2</xdr:row>
      <xdr:rowOff>134620</xdr:rowOff>
    </xdr:from>
    <xdr:to>
      <xdr:col>0</xdr:col>
      <xdr:colOff>3797300</xdr:colOff>
      <xdr:row>3</xdr:row>
      <xdr:rowOff>157480</xdr:rowOff>
    </xdr:to>
    <xdr:sp macro="" textlink="">
      <xdr:nvSpPr>
        <xdr:cNvPr id="37" name="fmiddle 36"/>
        <xdr:cNvSpPr/>
      </xdr:nvSpPr>
      <xdr:spPr>
        <a:xfrm>
          <a:off x="3657600" y="469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3835400</xdr:colOff>
      <xdr:row>2</xdr:row>
      <xdr:rowOff>134620</xdr:rowOff>
    </xdr:from>
    <xdr:to>
      <xdr:col>0</xdr:col>
      <xdr:colOff>4000500</xdr:colOff>
      <xdr:row>3</xdr:row>
      <xdr:rowOff>157480</xdr:rowOff>
    </xdr:to>
    <xdr:sp macro="" textlink="">
      <xdr:nvSpPr>
        <xdr:cNvPr id="38" name="fright 37"/>
        <xdr:cNvSpPr/>
      </xdr:nvSpPr>
      <xdr:spPr>
        <a:xfrm>
          <a:off x="38354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3378200</xdr:colOff>
      <xdr:row>0</xdr:row>
      <xdr:rowOff>12700</xdr:rowOff>
    </xdr:from>
    <xdr:to>
      <xdr:col>0</xdr:col>
      <xdr:colOff>3568700</xdr:colOff>
      <xdr:row>0</xdr:row>
      <xdr:rowOff>127000</xdr:rowOff>
    </xdr:to>
    <xdr:sp macro="" textlink="">
      <xdr:nvSpPr>
        <xdr:cNvPr id="39" name="eng 38"/>
        <xdr:cNvSpPr/>
      </xdr:nvSpPr>
      <xdr:spPr>
        <a:xfrm>
          <a:off x="3378200" y="127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2-3</a:t>
          </a:r>
        </a:p>
      </xdr:txBody>
    </xdr:sp>
    <xdr:clientData/>
  </xdr:twoCellAnchor>
  <xdr:twoCellAnchor editAs="absolute">
    <xdr:from>
      <xdr:col>0</xdr:col>
      <xdr:colOff>4038600</xdr:colOff>
      <xdr:row>0</xdr:row>
      <xdr:rowOff>0</xdr:rowOff>
    </xdr:from>
    <xdr:to>
      <xdr:col>0</xdr:col>
      <xdr:colOff>4711700</xdr:colOff>
      <xdr:row>4</xdr:row>
      <xdr:rowOff>2540</xdr:rowOff>
    </xdr:to>
    <xdr:sp macro="" textlink="">
      <xdr:nvSpPr>
        <xdr:cNvPr id="40" name="outline 39"/>
        <xdr:cNvSpPr/>
      </xdr:nvSpPr>
      <xdr:spPr>
        <a:xfrm>
          <a:off x="4038600" y="0"/>
          <a:ext cx="673100" cy="673100"/>
        </a:xfrm>
        <a:prstGeom prst="rect">
          <a:avLst/>
        </a:prstGeom>
        <a:solidFill>
          <a:srgbClr val="FFA3C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4203700</xdr:colOff>
      <xdr:row>0</xdr:row>
      <xdr:rowOff>38100</xdr:rowOff>
    </xdr:from>
    <xdr:to>
      <xdr:col>0</xdr:col>
      <xdr:colOff>4699000</xdr:colOff>
      <xdr:row>2</xdr:row>
      <xdr:rowOff>121920</xdr:rowOff>
    </xdr:to>
    <xdr:sp macro="" textlink="">
      <xdr:nvSpPr>
        <xdr:cNvPr id="41" name="flag 40"/>
        <xdr:cNvSpPr/>
      </xdr:nvSpPr>
      <xdr:spPr>
        <a:xfrm>
          <a:off x="4203700" y="38100"/>
          <a:ext cx="495300" cy="419100"/>
        </a:xfrm>
        <a:prstGeom prst="rect">
          <a:avLst/>
        </a:prstGeom>
        <a:solidFill>
          <a:srgbClr val="FFA3C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1</a:t>
          </a:r>
        </a:p>
      </xdr:txBody>
    </xdr:sp>
    <xdr:clientData/>
  </xdr:twoCellAnchor>
  <xdr:twoCellAnchor editAs="absolute">
    <xdr:from>
      <xdr:col>0</xdr:col>
      <xdr:colOff>4051300</xdr:colOff>
      <xdr:row>0</xdr:row>
      <xdr:rowOff>12700</xdr:rowOff>
    </xdr:from>
    <xdr:to>
      <xdr:col>0</xdr:col>
      <xdr:colOff>4191000</xdr:colOff>
      <xdr:row>2</xdr:row>
      <xdr:rowOff>147320</xdr:rowOff>
    </xdr:to>
    <xdr:sp macro="" textlink="">
      <xdr:nvSpPr>
        <xdr:cNvPr id="42" name="name 41"/>
        <xdr:cNvSpPr/>
      </xdr:nvSpPr>
      <xdr:spPr>
        <a:xfrm>
          <a:off x="4051300" y="12700"/>
          <a:ext cx="139700" cy="4699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Campbell</a:t>
          </a:r>
        </a:p>
      </xdr:txBody>
    </xdr:sp>
    <xdr:clientData/>
  </xdr:twoCellAnchor>
  <xdr:twoCellAnchor editAs="absolute">
    <xdr:from>
      <xdr:col>0</xdr:col>
      <xdr:colOff>4127500</xdr:colOff>
      <xdr:row>2</xdr:row>
      <xdr:rowOff>134620</xdr:rowOff>
    </xdr:from>
    <xdr:to>
      <xdr:col>0</xdr:col>
      <xdr:colOff>4267200</xdr:colOff>
      <xdr:row>3</xdr:row>
      <xdr:rowOff>157480</xdr:rowOff>
    </xdr:to>
    <xdr:sp macro="" textlink="">
      <xdr:nvSpPr>
        <xdr:cNvPr id="43" name="left 42"/>
        <xdr:cNvSpPr/>
      </xdr:nvSpPr>
      <xdr:spPr>
        <a:xfrm>
          <a:off x="41275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4533900</xdr:colOff>
      <xdr:row>2</xdr:row>
      <xdr:rowOff>134620</xdr:rowOff>
    </xdr:from>
    <xdr:to>
      <xdr:col>0</xdr:col>
      <xdr:colOff>4673600</xdr:colOff>
      <xdr:row>3</xdr:row>
      <xdr:rowOff>157480</xdr:rowOff>
    </xdr:to>
    <xdr:sp macro="" textlink="">
      <xdr:nvSpPr>
        <xdr:cNvPr id="44" name="right 43"/>
        <xdr:cNvSpPr/>
      </xdr:nvSpPr>
      <xdr:spPr>
        <a:xfrm>
          <a:off x="45339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4711700</xdr:colOff>
      <xdr:row>0</xdr:row>
      <xdr:rowOff>0</xdr:rowOff>
    </xdr:from>
    <xdr:to>
      <xdr:col>0</xdr:col>
      <xdr:colOff>5384800</xdr:colOff>
      <xdr:row>4</xdr:row>
      <xdr:rowOff>2540</xdr:rowOff>
    </xdr:to>
    <xdr:sp macro="" textlink="">
      <xdr:nvSpPr>
        <xdr:cNvPr id="45" name="outline 44"/>
        <xdr:cNvSpPr/>
      </xdr:nvSpPr>
      <xdr:spPr>
        <a:xfrm>
          <a:off x="4711700" y="0"/>
          <a:ext cx="673100" cy="673100"/>
        </a:xfrm>
        <a:prstGeom prst="rect">
          <a:avLst/>
        </a:prstGeom>
        <a:solidFill>
          <a:srgbClr val="FFA3C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4876800</xdr:colOff>
      <xdr:row>0</xdr:row>
      <xdr:rowOff>38100</xdr:rowOff>
    </xdr:from>
    <xdr:to>
      <xdr:col>0</xdr:col>
      <xdr:colOff>5372100</xdr:colOff>
      <xdr:row>2</xdr:row>
      <xdr:rowOff>121920</xdr:rowOff>
    </xdr:to>
    <xdr:sp macro="" textlink="">
      <xdr:nvSpPr>
        <xdr:cNvPr id="46" name="flag 45"/>
        <xdr:cNvSpPr/>
      </xdr:nvSpPr>
      <xdr:spPr>
        <a:xfrm>
          <a:off x="4876800" y="38100"/>
          <a:ext cx="495300" cy="419100"/>
        </a:xfrm>
        <a:prstGeom prst="rect">
          <a:avLst/>
        </a:prstGeom>
        <a:solidFill>
          <a:srgbClr val="FFA3C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1</a:t>
          </a:r>
        </a:p>
      </xdr:txBody>
    </xdr:sp>
    <xdr:clientData/>
  </xdr:twoCellAnchor>
  <xdr:twoCellAnchor editAs="absolute">
    <xdr:from>
      <xdr:col>0</xdr:col>
      <xdr:colOff>4724400</xdr:colOff>
      <xdr:row>0</xdr:row>
      <xdr:rowOff>12700</xdr:rowOff>
    </xdr:from>
    <xdr:to>
      <xdr:col>0</xdr:col>
      <xdr:colOff>4864100</xdr:colOff>
      <xdr:row>2</xdr:row>
      <xdr:rowOff>147320</xdr:rowOff>
    </xdr:to>
    <xdr:sp macro="" textlink="">
      <xdr:nvSpPr>
        <xdr:cNvPr id="47" name="name 46"/>
        <xdr:cNvSpPr/>
      </xdr:nvSpPr>
      <xdr:spPr>
        <a:xfrm>
          <a:off x="4724400" y="12700"/>
          <a:ext cx="139700" cy="4699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Campbell</a:t>
          </a:r>
        </a:p>
      </xdr:txBody>
    </xdr:sp>
    <xdr:clientData/>
  </xdr:twoCellAnchor>
  <xdr:twoCellAnchor editAs="absolute">
    <xdr:from>
      <xdr:col>0</xdr:col>
      <xdr:colOff>4800600</xdr:colOff>
      <xdr:row>2</xdr:row>
      <xdr:rowOff>134620</xdr:rowOff>
    </xdr:from>
    <xdr:to>
      <xdr:col>0</xdr:col>
      <xdr:colOff>4940300</xdr:colOff>
      <xdr:row>3</xdr:row>
      <xdr:rowOff>157480</xdr:rowOff>
    </xdr:to>
    <xdr:sp macro="" textlink="">
      <xdr:nvSpPr>
        <xdr:cNvPr id="48" name="left 47"/>
        <xdr:cNvSpPr/>
      </xdr:nvSpPr>
      <xdr:spPr>
        <a:xfrm>
          <a:off x="48006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5207000</xdr:colOff>
      <xdr:row>2</xdr:row>
      <xdr:rowOff>134620</xdr:rowOff>
    </xdr:from>
    <xdr:to>
      <xdr:col>0</xdr:col>
      <xdr:colOff>5346700</xdr:colOff>
      <xdr:row>3</xdr:row>
      <xdr:rowOff>157480</xdr:rowOff>
    </xdr:to>
    <xdr:sp macro="" textlink="">
      <xdr:nvSpPr>
        <xdr:cNvPr id="49" name="right 48"/>
        <xdr:cNvSpPr/>
      </xdr:nvSpPr>
      <xdr:spPr>
        <a:xfrm>
          <a:off x="52070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5384800</xdr:colOff>
      <xdr:row>0</xdr:row>
      <xdr:rowOff>0</xdr:rowOff>
    </xdr:from>
    <xdr:to>
      <xdr:col>0</xdr:col>
      <xdr:colOff>6057900</xdr:colOff>
      <xdr:row>4</xdr:row>
      <xdr:rowOff>2540</xdr:rowOff>
    </xdr:to>
    <xdr:sp macro="" textlink="">
      <xdr:nvSpPr>
        <xdr:cNvPr id="50" name="outline 49"/>
        <xdr:cNvSpPr/>
      </xdr:nvSpPr>
      <xdr:spPr>
        <a:xfrm>
          <a:off x="5384800" y="0"/>
          <a:ext cx="673100" cy="673100"/>
        </a:xfrm>
        <a:prstGeom prst="rect">
          <a:avLst/>
        </a:prstGeom>
        <a:solidFill>
          <a:srgbClr val="FFC0CB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5397500</xdr:colOff>
      <xdr:row>0</xdr:row>
      <xdr:rowOff>12700</xdr:rowOff>
    </xdr:from>
    <xdr:to>
      <xdr:col>0</xdr:col>
      <xdr:colOff>6045200</xdr:colOff>
      <xdr:row>0</xdr:row>
      <xdr:rowOff>152400</xdr:rowOff>
    </xdr:to>
    <xdr:sp macro="" textlink="">
      <xdr:nvSpPr>
        <xdr:cNvPr id="51" name="name 50"/>
        <xdr:cNvSpPr/>
      </xdr:nvSpPr>
      <xdr:spPr>
        <a:xfrm>
          <a:off x="5397500" y="12700"/>
          <a:ext cx="647700" cy="1397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Fermor</a:t>
          </a:r>
        </a:p>
      </xdr:txBody>
    </xdr:sp>
    <xdr:clientData/>
  </xdr:twoCellAnchor>
  <xdr:twoCellAnchor editAs="absolute">
    <xdr:from>
      <xdr:col>0</xdr:col>
      <xdr:colOff>5600700</xdr:colOff>
      <xdr:row>0</xdr:row>
      <xdr:rowOff>165100</xdr:rowOff>
    </xdr:from>
    <xdr:to>
      <xdr:col>0</xdr:col>
      <xdr:colOff>5969000</xdr:colOff>
      <xdr:row>3</xdr:row>
      <xdr:rowOff>81280</xdr:rowOff>
    </xdr:to>
    <xdr:pic>
      <xdr:nvPicPr>
        <xdr:cNvPr id="52" name="symbol 5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165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5448300</xdr:colOff>
      <xdr:row>2</xdr:row>
      <xdr:rowOff>134620</xdr:rowOff>
    </xdr:from>
    <xdr:to>
      <xdr:col>0</xdr:col>
      <xdr:colOff>5613400</xdr:colOff>
      <xdr:row>3</xdr:row>
      <xdr:rowOff>157480</xdr:rowOff>
    </xdr:to>
    <xdr:sp macro="" textlink="">
      <xdr:nvSpPr>
        <xdr:cNvPr id="53" name="fleft 52"/>
        <xdr:cNvSpPr/>
      </xdr:nvSpPr>
      <xdr:spPr>
        <a:xfrm>
          <a:off x="54483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5753100</xdr:colOff>
      <xdr:row>2</xdr:row>
      <xdr:rowOff>134620</xdr:rowOff>
    </xdr:from>
    <xdr:to>
      <xdr:col>0</xdr:col>
      <xdr:colOff>5892800</xdr:colOff>
      <xdr:row>3</xdr:row>
      <xdr:rowOff>157480</xdr:rowOff>
    </xdr:to>
    <xdr:sp macro="" textlink="">
      <xdr:nvSpPr>
        <xdr:cNvPr id="54" name="fmiddle 53"/>
        <xdr:cNvSpPr/>
      </xdr:nvSpPr>
      <xdr:spPr>
        <a:xfrm>
          <a:off x="5753100" y="469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5880100</xdr:colOff>
      <xdr:row>2</xdr:row>
      <xdr:rowOff>134620</xdr:rowOff>
    </xdr:from>
    <xdr:to>
      <xdr:col>0</xdr:col>
      <xdr:colOff>6045200</xdr:colOff>
      <xdr:row>3</xdr:row>
      <xdr:rowOff>157480</xdr:rowOff>
    </xdr:to>
    <xdr:sp macro="" textlink="">
      <xdr:nvSpPr>
        <xdr:cNvPr id="55" name="fright 54"/>
        <xdr:cNvSpPr/>
      </xdr:nvSpPr>
      <xdr:spPr>
        <a:xfrm>
          <a:off x="58801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5905500</xdr:colOff>
      <xdr:row>1</xdr:row>
      <xdr:rowOff>48260</xdr:rowOff>
    </xdr:from>
    <xdr:to>
      <xdr:col>0</xdr:col>
      <xdr:colOff>6045200</xdr:colOff>
      <xdr:row>2</xdr:row>
      <xdr:rowOff>45720</xdr:rowOff>
    </xdr:to>
    <xdr:sp macro="" textlink="">
      <xdr:nvSpPr>
        <xdr:cNvPr id="56" name="eng 55"/>
        <xdr:cNvSpPr/>
      </xdr:nvSpPr>
      <xdr:spPr>
        <a:xfrm>
          <a:off x="5905500" y="2159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6057900</xdr:colOff>
      <xdr:row>0</xdr:row>
      <xdr:rowOff>0</xdr:rowOff>
    </xdr:from>
    <xdr:to>
      <xdr:col>0</xdr:col>
      <xdr:colOff>6731000</xdr:colOff>
      <xdr:row>4</xdr:row>
      <xdr:rowOff>2540</xdr:rowOff>
    </xdr:to>
    <xdr:sp macro="" textlink="">
      <xdr:nvSpPr>
        <xdr:cNvPr id="57" name="outline 56"/>
        <xdr:cNvSpPr/>
      </xdr:nvSpPr>
      <xdr:spPr>
        <a:xfrm>
          <a:off x="6057900" y="0"/>
          <a:ext cx="673100" cy="673100"/>
        </a:xfrm>
        <a:prstGeom prst="rect">
          <a:avLst/>
        </a:prstGeom>
        <a:solidFill>
          <a:srgbClr val="CCFFC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6070600</xdr:colOff>
      <xdr:row>0</xdr:row>
      <xdr:rowOff>12700</xdr:rowOff>
    </xdr:from>
    <xdr:to>
      <xdr:col>0</xdr:col>
      <xdr:colOff>6718300</xdr:colOff>
      <xdr:row>0</xdr:row>
      <xdr:rowOff>152400</xdr:rowOff>
    </xdr:to>
    <xdr:sp macro="" textlink="">
      <xdr:nvSpPr>
        <xdr:cNvPr id="58" name="name 57"/>
        <xdr:cNvSpPr/>
      </xdr:nvSpPr>
      <xdr:spPr>
        <a:xfrm>
          <a:off x="6070600" y="12700"/>
          <a:ext cx="647700" cy="1397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Wheatley</a:t>
          </a:r>
        </a:p>
      </xdr:txBody>
    </xdr:sp>
    <xdr:clientData/>
  </xdr:twoCellAnchor>
  <xdr:twoCellAnchor editAs="absolute">
    <xdr:from>
      <xdr:col>0</xdr:col>
      <xdr:colOff>6273800</xdr:colOff>
      <xdr:row>0</xdr:row>
      <xdr:rowOff>165100</xdr:rowOff>
    </xdr:from>
    <xdr:to>
      <xdr:col>0</xdr:col>
      <xdr:colOff>6642100</xdr:colOff>
      <xdr:row>3</xdr:row>
      <xdr:rowOff>81280</xdr:rowOff>
    </xdr:to>
    <xdr:pic>
      <xdr:nvPicPr>
        <xdr:cNvPr id="59" name="symbol 5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3800" y="165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6121400</xdr:colOff>
      <xdr:row>2</xdr:row>
      <xdr:rowOff>134620</xdr:rowOff>
    </xdr:from>
    <xdr:to>
      <xdr:col>0</xdr:col>
      <xdr:colOff>6286500</xdr:colOff>
      <xdr:row>3</xdr:row>
      <xdr:rowOff>157480</xdr:rowOff>
    </xdr:to>
    <xdr:sp macro="" textlink="">
      <xdr:nvSpPr>
        <xdr:cNvPr id="60" name="fleft 59"/>
        <xdr:cNvSpPr/>
      </xdr:nvSpPr>
      <xdr:spPr>
        <a:xfrm>
          <a:off x="61214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6426200</xdr:colOff>
      <xdr:row>2</xdr:row>
      <xdr:rowOff>134620</xdr:rowOff>
    </xdr:from>
    <xdr:to>
      <xdr:col>0</xdr:col>
      <xdr:colOff>6565900</xdr:colOff>
      <xdr:row>3</xdr:row>
      <xdr:rowOff>157480</xdr:rowOff>
    </xdr:to>
    <xdr:sp macro="" textlink="">
      <xdr:nvSpPr>
        <xdr:cNvPr id="61" name="fmiddle 60"/>
        <xdr:cNvSpPr/>
      </xdr:nvSpPr>
      <xdr:spPr>
        <a:xfrm>
          <a:off x="6426200" y="469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6553200</xdr:colOff>
      <xdr:row>2</xdr:row>
      <xdr:rowOff>134620</xdr:rowOff>
    </xdr:from>
    <xdr:to>
      <xdr:col>0</xdr:col>
      <xdr:colOff>6718300</xdr:colOff>
      <xdr:row>3</xdr:row>
      <xdr:rowOff>157480</xdr:rowOff>
    </xdr:to>
    <xdr:sp macro="" textlink="">
      <xdr:nvSpPr>
        <xdr:cNvPr id="62" name="fright 61"/>
        <xdr:cNvSpPr/>
      </xdr:nvSpPr>
      <xdr:spPr>
        <a:xfrm>
          <a:off x="65532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6578600</xdr:colOff>
      <xdr:row>1</xdr:row>
      <xdr:rowOff>48260</xdr:rowOff>
    </xdr:from>
    <xdr:to>
      <xdr:col>0</xdr:col>
      <xdr:colOff>6718300</xdr:colOff>
      <xdr:row>2</xdr:row>
      <xdr:rowOff>45720</xdr:rowOff>
    </xdr:to>
    <xdr:sp macro="" textlink="">
      <xdr:nvSpPr>
        <xdr:cNvPr id="63" name="eng 62"/>
        <xdr:cNvSpPr/>
      </xdr:nvSpPr>
      <xdr:spPr>
        <a:xfrm>
          <a:off x="6578600" y="2159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0</xdr:colOff>
      <xdr:row>4</xdr:row>
      <xdr:rowOff>2540</xdr:rowOff>
    </xdr:from>
    <xdr:to>
      <xdr:col>0</xdr:col>
      <xdr:colOff>673100</xdr:colOff>
      <xdr:row>8</xdr:row>
      <xdr:rowOff>5080</xdr:rowOff>
    </xdr:to>
    <xdr:sp macro="" textlink="">
      <xdr:nvSpPr>
        <xdr:cNvPr id="64" name="outline 63"/>
        <xdr:cNvSpPr/>
      </xdr:nvSpPr>
      <xdr:spPr>
        <a:xfrm>
          <a:off x="0" y="673100"/>
          <a:ext cx="673100" cy="673100"/>
        </a:xfrm>
        <a:prstGeom prst="rect">
          <a:avLst/>
        </a:prstGeom>
        <a:solidFill>
          <a:srgbClr val="FFC0CB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12700</xdr:colOff>
      <xdr:row>4</xdr:row>
      <xdr:rowOff>15240</xdr:rowOff>
    </xdr:from>
    <xdr:to>
      <xdr:col>0</xdr:col>
      <xdr:colOff>660400</xdr:colOff>
      <xdr:row>4</xdr:row>
      <xdr:rowOff>154940</xdr:rowOff>
    </xdr:to>
    <xdr:sp macro="" textlink="">
      <xdr:nvSpPr>
        <xdr:cNvPr id="65" name="name 64"/>
        <xdr:cNvSpPr/>
      </xdr:nvSpPr>
      <xdr:spPr>
        <a:xfrm>
          <a:off x="12700" y="685800"/>
          <a:ext cx="647700" cy="1397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Lowe</a:t>
          </a:r>
        </a:p>
      </xdr:txBody>
    </xdr:sp>
    <xdr:clientData/>
  </xdr:twoCellAnchor>
  <xdr:twoCellAnchor editAs="absolute">
    <xdr:from>
      <xdr:col>0</xdr:col>
      <xdr:colOff>215900</xdr:colOff>
      <xdr:row>5</xdr:row>
      <xdr:rowOff>0</xdr:rowOff>
    </xdr:from>
    <xdr:to>
      <xdr:col>0</xdr:col>
      <xdr:colOff>584200</xdr:colOff>
      <xdr:row>7</xdr:row>
      <xdr:rowOff>83820</xdr:rowOff>
    </xdr:to>
    <xdr:pic>
      <xdr:nvPicPr>
        <xdr:cNvPr id="66" name="symbol 6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838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63500</xdr:colOff>
      <xdr:row>6</xdr:row>
      <xdr:rowOff>137160</xdr:rowOff>
    </xdr:from>
    <xdr:to>
      <xdr:col>0</xdr:col>
      <xdr:colOff>228600</xdr:colOff>
      <xdr:row>7</xdr:row>
      <xdr:rowOff>160020</xdr:rowOff>
    </xdr:to>
    <xdr:sp macro="" textlink="">
      <xdr:nvSpPr>
        <xdr:cNvPr id="67" name="fleft 66"/>
        <xdr:cNvSpPr/>
      </xdr:nvSpPr>
      <xdr:spPr>
        <a:xfrm>
          <a:off x="635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368300</xdr:colOff>
      <xdr:row>6</xdr:row>
      <xdr:rowOff>137160</xdr:rowOff>
    </xdr:from>
    <xdr:to>
      <xdr:col>0</xdr:col>
      <xdr:colOff>508000</xdr:colOff>
      <xdr:row>7</xdr:row>
      <xdr:rowOff>160020</xdr:rowOff>
    </xdr:to>
    <xdr:sp macro="" textlink="">
      <xdr:nvSpPr>
        <xdr:cNvPr id="68" name="fmiddle 67"/>
        <xdr:cNvSpPr/>
      </xdr:nvSpPr>
      <xdr:spPr>
        <a:xfrm>
          <a:off x="368300" y="1143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495300</xdr:colOff>
      <xdr:row>6</xdr:row>
      <xdr:rowOff>137160</xdr:rowOff>
    </xdr:from>
    <xdr:to>
      <xdr:col>0</xdr:col>
      <xdr:colOff>660400</xdr:colOff>
      <xdr:row>7</xdr:row>
      <xdr:rowOff>160020</xdr:rowOff>
    </xdr:to>
    <xdr:sp macro="" textlink="">
      <xdr:nvSpPr>
        <xdr:cNvPr id="69" name="fright 68"/>
        <xdr:cNvSpPr/>
      </xdr:nvSpPr>
      <xdr:spPr>
        <a:xfrm>
          <a:off x="4953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520700</xdr:colOff>
      <xdr:row>5</xdr:row>
      <xdr:rowOff>50800</xdr:rowOff>
    </xdr:from>
    <xdr:to>
      <xdr:col>0</xdr:col>
      <xdr:colOff>660400</xdr:colOff>
      <xdr:row>6</xdr:row>
      <xdr:rowOff>48260</xdr:rowOff>
    </xdr:to>
    <xdr:sp macro="" textlink="">
      <xdr:nvSpPr>
        <xdr:cNvPr id="70" name="eng 69"/>
        <xdr:cNvSpPr/>
      </xdr:nvSpPr>
      <xdr:spPr>
        <a:xfrm>
          <a:off x="520700" y="889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673100</xdr:colOff>
      <xdr:row>4</xdr:row>
      <xdr:rowOff>2540</xdr:rowOff>
    </xdr:from>
    <xdr:to>
      <xdr:col>0</xdr:col>
      <xdr:colOff>1346200</xdr:colOff>
      <xdr:row>8</xdr:row>
      <xdr:rowOff>5080</xdr:rowOff>
    </xdr:to>
    <xdr:sp macro="" textlink="">
      <xdr:nvSpPr>
        <xdr:cNvPr id="71" name="outline 70"/>
        <xdr:cNvSpPr/>
      </xdr:nvSpPr>
      <xdr:spPr>
        <a:xfrm>
          <a:off x="673100" y="673100"/>
          <a:ext cx="673100" cy="673100"/>
        </a:xfrm>
        <a:prstGeom prst="rect">
          <a:avLst/>
        </a:prstGeom>
        <a:solidFill>
          <a:srgbClr val="FFC0CB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889000</xdr:colOff>
      <xdr:row>4</xdr:row>
      <xdr:rowOff>15240</xdr:rowOff>
    </xdr:from>
    <xdr:to>
      <xdr:col>0</xdr:col>
      <xdr:colOff>1333500</xdr:colOff>
      <xdr:row>4</xdr:row>
      <xdr:rowOff>154940</xdr:rowOff>
    </xdr:to>
    <xdr:sp macro="" textlink="">
      <xdr:nvSpPr>
        <xdr:cNvPr id="72" name="name 71"/>
        <xdr:cNvSpPr/>
      </xdr:nvSpPr>
      <xdr:spPr>
        <a:xfrm>
          <a:off x="889000" y="685800"/>
          <a:ext cx="444500" cy="1397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Gardiner</a:t>
          </a:r>
        </a:p>
      </xdr:txBody>
    </xdr:sp>
    <xdr:clientData/>
  </xdr:twoCellAnchor>
  <xdr:twoCellAnchor editAs="absolute">
    <xdr:from>
      <xdr:col>0</xdr:col>
      <xdr:colOff>762000</xdr:colOff>
      <xdr:row>5</xdr:row>
      <xdr:rowOff>25400</xdr:rowOff>
    </xdr:from>
    <xdr:to>
      <xdr:col>0</xdr:col>
      <xdr:colOff>1257300</xdr:colOff>
      <xdr:row>6</xdr:row>
      <xdr:rowOff>149860</xdr:rowOff>
    </xdr:to>
    <xdr:pic>
      <xdr:nvPicPr>
        <xdr:cNvPr id="73" name="symbol 72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8636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736600</xdr:colOff>
      <xdr:row>6</xdr:row>
      <xdr:rowOff>137160</xdr:rowOff>
    </xdr:from>
    <xdr:to>
      <xdr:col>0</xdr:col>
      <xdr:colOff>927100</xdr:colOff>
      <xdr:row>7</xdr:row>
      <xdr:rowOff>134620</xdr:rowOff>
    </xdr:to>
    <xdr:sp macro="" textlink="">
      <xdr:nvSpPr>
        <xdr:cNvPr id="74" name="fleft 73"/>
        <xdr:cNvSpPr/>
      </xdr:nvSpPr>
      <xdr:spPr>
        <a:xfrm>
          <a:off x="736600" y="11430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(3)</a:t>
          </a:r>
        </a:p>
      </xdr:txBody>
    </xdr:sp>
    <xdr:clientData/>
  </xdr:twoCellAnchor>
  <xdr:twoCellAnchor editAs="absolute">
    <xdr:from>
      <xdr:col>0</xdr:col>
      <xdr:colOff>965200</xdr:colOff>
      <xdr:row>6</xdr:row>
      <xdr:rowOff>137160</xdr:rowOff>
    </xdr:from>
    <xdr:to>
      <xdr:col>0</xdr:col>
      <xdr:colOff>1104900</xdr:colOff>
      <xdr:row>7</xdr:row>
      <xdr:rowOff>160020</xdr:rowOff>
    </xdr:to>
    <xdr:sp macro="" textlink="">
      <xdr:nvSpPr>
        <xdr:cNvPr id="75" name="fmiddle 74"/>
        <xdr:cNvSpPr/>
      </xdr:nvSpPr>
      <xdr:spPr>
        <a:xfrm>
          <a:off x="965200" y="1143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1143000</xdr:colOff>
      <xdr:row>6</xdr:row>
      <xdr:rowOff>137160</xdr:rowOff>
    </xdr:from>
    <xdr:to>
      <xdr:col>0</xdr:col>
      <xdr:colOff>1308100</xdr:colOff>
      <xdr:row>7</xdr:row>
      <xdr:rowOff>160020</xdr:rowOff>
    </xdr:to>
    <xdr:sp macro="" textlink="">
      <xdr:nvSpPr>
        <xdr:cNvPr id="76" name="fright 75"/>
        <xdr:cNvSpPr/>
      </xdr:nvSpPr>
      <xdr:spPr>
        <a:xfrm>
          <a:off x="11430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685800</xdr:colOff>
      <xdr:row>4</xdr:row>
      <xdr:rowOff>15240</xdr:rowOff>
    </xdr:from>
    <xdr:to>
      <xdr:col>0</xdr:col>
      <xdr:colOff>876300</xdr:colOff>
      <xdr:row>4</xdr:row>
      <xdr:rowOff>129540</xdr:rowOff>
    </xdr:to>
    <xdr:sp macro="" textlink="">
      <xdr:nvSpPr>
        <xdr:cNvPr id="77" name="eng 76"/>
        <xdr:cNvSpPr/>
      </xdr:nvSpPr>
      <xdr:spPr>
        <a:xfrm>
          <a:off x="685800" y="6858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2-4</a:t>
          </a:r>
        </a:p>
      </xdr:txBody>
    </xdr:sp>
    <xdr:clientData/>
  </xdr:twoCellAnchor>
  <xdr:twoCellAnchor editAs="absolute">
    <xdr:from>
      <xdr:col>0</xdr:col>
      <xdr:colOff>1346200</xdr:colOff>
      <xdr:row>4</xdr:row>
      <xdr:rowOff>2540</xdr:rowOff>
    </xdr:from>
    <xdr:to>
      <xdr:col>0</xdr:col>
      <xdr:colOff>2019300</xdr:colOff>
      <xdr:row>8</xdr:row>
      <xdr:rowOff>5080</xdr:rowOff>
    </xdr:to>
    <xdr:sp macro="" textlink="">
      <xdr:nvSpPr>
        <xdr:cNvPr id="78" name="outline 77"/>
        <xdr:cNvSpPr/>
      </xdr:nvSpPr>
      <xdr:spPr>
        <a:xfrm>
          <a:off x="1346200" y="673100"/>
          <a:ext cx="673100" cy="673100"/>
        </a:xfrm>
        <a:prstGeom prst="rect">
          <a:avLst/>
        </a:prstGeom>
        <a:solidFill>
          <a:srgbClr val="FFA3C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1511300</xdr:colOff>
      <xdr:row>4</xdr:row>
      <xdr:rowOff>40640</xdr:rowOff>
    </xdr:from>
    <xdr:to>
      <xdr:col>0</xdr:col>
      <xdr:colOff>2006600</xdr:colOff>
      <xdr:row>6</xdr:row>
      <xdr:rowOff>124460</xdr:rowOff>
    </xdr:to>
    <xdr:sp macro="" textlink="">
      <xdr:nvSpPr>
        <xdr:cNvPr id="79" name="flag 78"/>
        <xdr:cNvSpPr/>
      </xdr:nvSpPr>
      <xdr:spPr>
        <a:xfrm>
          <a:off x="1511300" y="711200"/>
          <a:ext cx="495300" cy="419100"/>
        </a:xfrm>
        <a:prstGeom prst="rect">
          <a:avLst/>
        </a:prstGeom>
        <a:solidFill>
          <a:srgbClr val="FFA3C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3</a:t>
          </a:r>
        </a:p>
      </xdr:txBody>
    </xdr:sp>
    <xdr:clientData/>
  </xdr:twoCellAnchor>
  <xdr:twoCellAnchor editAs="absolute">
    <xdr:from>
      <xdr:col>0</xdr:col>
      <xdr:colOff>1358900</xdr:colOff>
      <xdr:row>4</xdr:row>
      <xdr:rowOff>15240</xdr:rowOff>
    </xdr:from>
    <xdr:to>
      <xdr:col>0</xdr:col>
      <xdr:colOff>1498600</xdr:colOff>
      <xdr:row>6</xdr:row>
      <xdr:rowOff>149860</xdr:rowOff>
    </xdr:to>
    <xdr:sp macro="" textlink="">
      <xdr:nvSpPr>
        <xdr:cNvPr id="80" name="name 79"/>
        <xdr:cNvSpPr/>
      </xdr:nvSpPr>
      <xdr:spPr>
        <a:xfrm>
          <a:off x="1358900" y="685800"/>
          <a:ext cx="139700" cy="469900"/>
        </a:xfrm>
        <a:prstGeom prst="rect">
          <a:avLst/>
        </a:prstGeom>
        <a:solidFill>
          <a:srgbClr val="20B2A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Pakenham</a:t>
          </a:r>
        </a:p>
      </xdr:txBody>
    </xdr:sp>
    <xdr:clientData/>
  </xdr:twoCellAnchor>
  <xdr:twoCellAnchor editAs="absolute">
    <xdr:from>
      <xdr:col>0</xdr:col>
      <xdr:colOff>1435100</xdr:colOff>
      <xdr:row>6</xdr:row>
      <xdr:rowOff>137160</xdr:rowOff>
    </xdr:from>
    <xdr:to>
      <xdr:col>0</xdr:col>
      <xdr:colOff>1574800</xdr:colOff>
      <xdr:row>7</xdr:row>
      <xdr:rowOff>160020</xdr:rowOff>
    </xdr:to>
    <xdr:sp macro="" textlink="">
      <xdr:nvSpPr>
        <xdr:cNvPr id="81" name="left 80"/>
        <xdr:cNvSpPr/>
      </xdr:nvSpPr>
      <xdr:spPr>
        <a:xfrm>
          <a:off x="1435100" y="11430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1841500</xdr:colOff>
      <xdr:row>6</xdr:row>
      <xdr:rowOff>137160</xdr:rowOff>
    </xdr:from>
    <xdr:to>
      <xdr:col>0</xdr:col>
      <xdr:colOff>1981200</xdr:colOff>
      <xdr:row>7</xdr:row>
      <xdr:rowOff>160020</xdr:rowOff>
    </xdr:to>
    <xdr:sp macro="" textlink="">
      <xdr:nvSpPr>
        <xdr:cNvPr id="82" name="right 81"/>
        <xdr:cNvSpPr/>
      </xdr:nvSpPr>
      <xdr:spPr>
        <a:xfrm>
          <a:off x="1841500" y="11430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2019300</xdr:colOff>
      <xdr:row>4</xdr:row>
      <xdr:rowOff>2540</xdr:rowOff>
    </xdr:from>
    <xdr:to>
      <xdr:col>0</xdr:col>
      <xdr:colOff>2692400</xdr:colOff>
      <xdr:row>8</xdr:row>
      <xdr:rowOff>5080</xdr:rowOff>
    </xdr:to>
    <xdr:sp macro="" textlink="">
      <xdr:nvSpPr>
        <xdr:cNvPr id="83" name="outline 82"/>
        <xdr:cNvSpPr/>
      </xdr:nvSpPr>
      <xdr:spPr>
        <a:xfrm>
          <a:off x="2019300" y="673100"/>
          <a:ext cx="673100" cy="673100"/>
        </a:xfrm>
        <a:prstGeom prst="rect">
          <a:avLst/>
        </a:prstGeom>
        <a:solidFill>
          <a:srgbClr val="FFA3C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2184400</xdr:colOff>
      <xdr:row>4</xdr:row>
      <xdr:rowOff>40640</xdr:rowOff>
    </xdr:from>
    <xdr:to>
      <xdr:col>0</xdr:col>
      <xdr:colOff>2679700</xdr:colOff>
      <xdr:row>6</xdr:row>
      <xdr:rowOff>124460</xdr:rowOff>
    </xdr:to>
    <xdr:sp macro="" textlink="">
      <xdr:nvSpPr>
        <xdr:cNvPr id="84" name="flag 83"/>
        <xdr:cNvSpPr/>
      </xdr:nvSpPr>
      <xdr:spPr>
        <a:xfrm>
          <a:off x="2184400" y="711200"/>
          <a:ext cx="495300" cy="419100"/>
        </a:xfrm>
        <a:prstGeom prst="rect">
          <a:avLst/>
        </a:prstGeom>
        <a:solidFill>
          <a:srgbClr val="FFA3C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3</a:t>
          </a:r>
        </a:p>
      </xdr:txBody>
    </xdr:sp>
    <xdr:clientData/>
  </xdr:twoCellAnchor>
  <xdr:twoCellAnchor editAs="absolute">
    <xdr:from>
      <xdr:col>0</xdr:col>
      <xdr:colOff>2032000</xdr:colOff>
      <xdr:row>4</xdr:row>
      <xdr:rowOff>15240</xdr:rowOff>
    </xdr:from>
    <xdr:to>
      <xdr:col>0</xdr:col>
      <xdr:colOff>2171700</xdr:colOff>
      <xdr:row>6</xdr:row>
      <xdr:rowOff>149860</xdr:rowOff>
    </xdr:to>
    <xdr:sp macro="" textlink="">
      <xdr:nvSpPr>
        <xdr:cNvPr id="85" name="name 84"/>
        <xdr:cNvSpPr/>
      </xdr:nvSpPr>
      <xdr:spPr>
        <a:xfrm>
          <a:off x="2032000" y="685800"/>
          <a:ext cx="139700" cy="469900"/>
        </a:xfrm>
        <a:prstGeom prst="rect">
          <a:avLst/>
        </a:prstGeom>
        <a:solidFill>
          <a:srgbClr val="20B2A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Pakenham</a:t>
          </a:r>
        </a:p>
      </xdr:txBody>
    </xdr:sp>
    <xdr:clientData/>
  </xdr:twoCellAnchor>
  <xdr:twoCellAnchor editAs="absolute">
    <xdr:from>
      <xdr:col>0</xdr:col>
      <xdr:colOff>2108200</xdr:colOff>
      <xdr:row>6</xdr:row>
      <xdr:rowOff>137160</xdr:rowOff>
    </xdr:from>
    <xdr:to>
      <xdr:col>0</xdr:col>
      <xdr:colOff>2247900</xdr:colOff>
      <xdr:row>7</xdr:row>
      <xdr:rowOff>160020</xdr:rowOff>
    </xdr:to>
    <xdr:sp macro="" textlink="">
      <xdr:nvSpPr>
        <xdr:cNvPr id="86" name="left 85"/>
        <xdr:cNvSpPr/>
      </xdr:nvSpPr>
      <xdr:spPr>
        <a:xfrm>
          <a:off x="2108200" y="11430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2514600</xdr:colOff>
      <xdr:row>6</xdr:row>
      <xdr:rowOff>137160</xdr:rowOff>
    </xdr:from>
    <xdr:to>
      <xdr:col>0</xdr:col>
      <xdr:colOff>2654300</xdr:colOff>
      <xdr:row>7</xdr:row>
      <xdr:rowOff>160020</xdr:rowOff>
    </xdr:to>
    <xdr:sp macro="" textlink="">
      <xdr:nvSpPr>
        <xdr:cNvPr id="87" name="right 86"/>
        <xdr:cNvSpPr/>
      </xdr:nvSpPr>
      <xdr:spPr>
        <a:xfrm>
          <a:off x="2514600" y="11430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2692400</xdr:colOff>
      <xdr:row>4</xdr:row>
      <xdr:rowOff>2540</xdr:rowOff>
    </xdr:from>
    <xdr:to>
      <xdr:col>0</xdr:col>
      <xdr:colOff>3365500</xdr:colOff>
      <xdr:row>8</xdr:row>
      <xdr:rowOff>5080</xdr:rowOff>
    </xdr:to>
    <xdr:sp macro="" textlink="">
      <xdr:nvSpPr>
        <xdr:cNvPr id="88" name="outline 87"/>
        <xdr:cNvSpPr/>
      </xdr:nvSpPr>
      <xdr:spPr>
        <a:xfrm>
          <a:off x="2692400" y="673100"/>
          <a:ext cx="673100" cy="673100"/>
        </a:xfrm>
        <a:prstGeom prst="rect">
          <a:avLst/>
        </a:prstGeom>
        <a:solidFill>
          <a:srgbClr val="FFC0CB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2705100</xdr:colOff>
      <xdr:row>4</xdr:row>
      <xdr:rowOff>15240</xdr:rowOff>
    </xdr:from>
    <xdr:to>
      <xdr:col>0</xdr:col>
      <xdr:colOff>3352800</xdr:colOff>
      <xdr:row>4</xdr:row>
      <xdr:rowOff>154940</xdr:rowOff>
    </xdr:to>
    <xdr:sp macro="" textlink="">
      <xdr:nvSpPr>
        <xdr:cNvPr id="89" name="name 88"/>
        <xdr:cNvSpPr/>
      </xdr:nvSpPr>
      <xdr:spPr>
        <a:xfrm>
          <a:off x="2705100" y="685800"/>
          <a:ext cx="647700" cy="139700"/>
        </a:xfrm>
        <a:prstGeom prst="rect">
          <a:avLst/>
        </a:prstGeom>
        <a:solidFill>
          <a:srgbClr val="20B2A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Wallace</a:t>
          </a:r>
        </a:p>
      </xdr:txBody>
    </xdr:sp>
    <xdr:clientData/>
  </xdr:twoCellAnchor>
  <xdr:twoCellAnchor editAs="absolute">
    <xdr:from>
      <xdr:col>0</xdr:col>
      <xdr:colOff>2908300</xdr:colOff>
      <xdr:row>5</xdr:row>
      <xdr:rowOff>0</xdr:rowOff>
    </xdr:from>
    <xdr:to>
      <xdr:col>0</xdr:col>
      <xdr:colOff>3276600</xdr:colOff>
      <xdr:row>7</xdr:row>
      <xdr:rowOff>83820</xdr:rowOff>
    </xdr:to>
    <xdr:pic>
      <xdr:nvPicPr>
        <xdr:cNvPr id="90" name="symbol 8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300" y="838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2755900</xdr:colOff>
      <xdr:row>6</xdr:row>
      <xdr:rowOff>137160</xdr:rowOff>
    </xdr:from>
    <xdr:to>
      <xdr:col>0</xdr:col>
      <xdr:colOff>2921000</xdr:colOff>
      <xdr:row>7</xdr:row>
      <xdr:rowOff>160020</xdr:rowOff>
    </xdr:to>
    <xdr:sp macro="" textlink="">
      <xdr:nvSpPr>
        <xdr:cNvPr id="91" name="fleft 90"/>
        <xdr:cNvSpPr/>
      </xdr:nvSpPr>
      <xdr:spPr>
        <a:xfrm>
          <a:off x="27559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3060700</xdr:colOff>
      <xdr:row>6</xdr:row>
      <xdr:rowOff>137160</xdr:rowOff>
    </xdr:from>
    <xdr:to>
      <xdr:col>0</xdr:col>
      <xdr:colOff>3200400</xdr:colOff>
      <xdr:row>7</xdr:row>
      <xdr:rowOff>160020</xdr:rowOff>
    </xdr:to>
    <xdr:sp macro="" textlink="">
      <xdr:nvSpPr>
        <xdr:cNvPr id="92" name="fmiddle 91"/>
        <xdr:cNvSpPr/>
      </xdr:nvSpPr>
      <xdr:spPr>
        <a:xfrm>
          <a:off x="3060700" y="1143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3187700</xdr:colOff>
      <xdr:row>6</xdr:row>
      <xdr:rowOff>137160</xdr:rowOff>
    </xdr:from>
    <xdr:to>
      <xdr:col>0</xdr:col>
      <xdr:colOff>3352800</xdr:colOff>
      <xdr:row>7</xdr:row>
      <xdr:rowOff>160020</xdr:rowOff>
    </xdr:to>
    <xdr:sp macro="" textlink="">
      <xdr:nvSpPr>
        <xdr:cNvPr id="93" name="fright 92"/>
        <xdr:cNvSpPr/>
      </xdr:nvSpPr>
      <xdr:spPr>
        <a:xfrm>
          <a:off x="31877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3213100</xdr:colOff>
      <xdr:row>5</xdr:row>
      <xdr:rowOff>50800</xdr:rowOff>
    </xdr:from>
    <xdr:to>
      <xdr:col>0</xdr:col>
      <xdr:colOff>3352800</xdr:colOff>
      <xdr:row>6</xdr:row>
      <xdr:rowOff>48260</xdr:rowOff>
    </xdr:to>
    <xdr:sp macro="" textlink="">
      <xdr:nvSpPr>
        <xdr:cNvPr id="94" name="eng 93"/>
        <xdr:cNvSpPr/>
      </xdr:nvSpPr>
      <xdr:spPr>
        <a:xfrm>
          <a:off x="3213100" y="889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3365500</xdr:colOff>
      <xdr:row>4</xdr:row>
      <xdr:rowOff>2540</xdr:rowOff>
    </xdr:from>
    <xdr:to>
      <xdr:col>0</xdr:col>
      <xdr:colOff>4038600</xdr:colOff>
      <xdr:row>8</xdr:row>
      <xdr:rowOff>5080</xdr:rowOff>
    </xdr:to>
    <xdr:sp macro="" textlink="">
      <xdr:nvSpPr>
        <xdr:cNvPr id="95" name="outline 94"/>
        <xdr:cNvSpPr/>
      </xdr:nvSpPr>
      <xdr:spPr>
        <a:xfrm>
          <a:off x="3365500" y="673100"/>
          <a:ext cx="673100" cy="673100"/>
        </a:xfrm>
        <a:prstGeom prst="rect">
          <a:avLst/>
        </a:prstGeom>
        <a:solidFill>
          <a:srgbClr val="FFC0CB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3378200</xdr:colOff>
      <xdr:row>4</xdr:row>
      <xdr:rowOff>15240</xdr:rowOff>
    </xdr:from>
    <xdr:to>
      <xdr:col>0</xdr:col>
      <xdr:colOff>4025900</xdr:colOff>
      <xdr:row>4</xdr:row>
      <xdr:rowOff>154940</xdr:rowOff>
    </xdr:to>
    <xdr:sp macro="" textlink="">
      <xdr:nvSpPr>
        <xdr:cNvPr id="96" name="name 95"/>
        <xdr:cNvSpPr/>
      </xdr:nvSpPr>
      <xdr:spPr>
        <a:xfrm>
          <a:off x="3378200" y="685800"/>
          <a:ext cx="647700" cy="139700"/>
        </a:xfrm>
        <a:prstGeom prst="rect">
          <a:avLst/>
        </a:prstGeom>
        <a:solidFill>
          <a:srgbClr val="20B2A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Campbell</a:t>
          </a:r>
        </a:p>
      </xdr:txBody>
    </xdr:sp>
    <xdr:clientData/>
  </xdr:twoCellAnchor>
  <xdr:twoCellAnchor editAs="absolute">
    <xdr:from>
      <xdr:col>0</xdr:col>
      <xdr:colOff>3581400</xdr:colOff>
      <xdr:row>5</xdr:row>
      <xdr:rowOff>0</xdr:rowOff>
    </xdr:from>
    <xdr:to>
      <xdr:col>0</xdr:col>
      <xdr:colOff>3949700</xdr:colOff>
      <xdr:row>7</xdr:row>
      <xdr:rowOff>83820</xdr:rowOff>
    </xdr:to>
    <xdr:pic>
      <xdr:nvPicPr>
        <xdr:cNvPr id="97" name="symbol 9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0" y="838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3429000</xdr:colOff>
      <xdr:row>6</xdr:row>
      <xdr:rowOff>137160</xdr:rowOff>
    </xdr:from>
    <xdr:to>
      <xdr:col>0</xdr:col>
      <xdr:colOff>3594100</xdr:colOff>
      <xdr:row>7</xdr:row>
      <xdr:rowOff>160020</xdr:rowOff>
    </xdr:to>
    <xdr:sp macro="" textlink="">
      <xdr:nvSpPr>
        <xdr:cNvPr id="98" name="fleft 97"/>
        <xdr:cNvSpPr/>
      </xdr:nvSpPr>
      <xdr:spPr>
        <a:xfrm>
          <a:off x="34290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3733800</xdr:colOff>
      <xdr:row>6</xdr:row>
      <xdr:rowOff>137160</xdr:rowOff>
    </xdr:from>
    <xdr:to>
      <xdr:col>0</xdr:col>
      <xdr:colOff>3873500</xdr:colOff>
      <xdr:row>7</xdr:row>
      <xdr:rowOff>160020</xdr:rowOff>
    </xdr:to>
    <xdr:sp macro="" textlink="">
      <xdr:nvSpPr>
        <xdr:cNvPr id="99" name="fmiddle 98"/>
        <xdr:cNvSpPr/>
      </xdr:nvSpPr>
      <xdr:spPr>
        <a:xfrm>
          <a:off x="3733800" y="1143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3860800</xdr:colOff>
      <xdr:row>6</xdr:row>
      <xdr:rowOff>137160</xdr:rowOff>
    </xdr:from>
    <xdr:to>
      <xdr:col>0</xdr:col>
      <xdr:colOff>4025900</xdr:colOff>
      <xdr:row>7</xdr:row>
      <xdr:rowOff>160020</xdr:rowOff>
    </xdr:to>
    <xdr:sp macro="" textlink="">
      <xdr:nvSpPr>
        <xdr:cNvPr id="100" name="fright 99"/>
        <xdr:cNvSpPr/>
      </xdr:nvSpPr>
      <xdr:spPr>
        <a:xfrm>
          <a:off x="38608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3886200</xdr:colOff>
      <xdr:row>5</xdr:row>
      <xdr:rowOff>50800</xdr:rowOff>
    </xdr:from>
    <xdr:to>
      <xdr:col>0</xdr:col>
      <xdr:colOff>4025900</xdr:colOff>
      <xdr:row>6</xdr:row>
      <xdr:rowOff>48260</xdr:rowOff>
    </xdr:to>
    <xdr:sp macro="" textlink="">
      <xdr:nvSpPr>
        <xdr:cNvPr id="101" name="eng 100"/>
        <xdr:cNvSpPr/>
      </xdr:nvSpPr>
      <xdr:spPr>
        <a:xfrm>
          <a:off x="3886200" y="889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4038600</xdr:colOff>
      <xdr:row>4</xdr:row>
      <xdr:rowOff>2540</xdr:rowOff>
    </xdr:from>
    <xdr:to>
      <xdr:col>0</xdr:col>
      <xdr:colOff>4711700</xdr:colOff>
      <xdr:row>8</xdr:row>
      <xdr:rowOff>5080</xdr:rowOff>
    </xdr:to>
    <xdr:sp macro="" textlink="">
      <xdr:nvSpPr>
        <xdr:cNvPr id="102" name="outline 101"/>
        <xdr:cNvSpPr/>
      </xdr:nvSpPr>
      <xdr:spPr>
        <a:xfrm>
          <a:off x="4038600" y="673100"/>
          <a:ext cx="673100" cy="673100"/>
        </a:xfrm>
        <a:prstGeom prst="rect">
          <a:avLst/>
        </a:prstGeom>
        <a:solidFill>
          <a:srgbClr val="FFA5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4051300</xdr:colOff>
      <xdr:row>4</xdr:row>
      <xdr:rowOff>15240</xdr:rowOff>
    </xdr:from>
    <xdr:to>
      <xdr:col>0</xdr:col>
      <xdr:colOff>4699000</xdr:colOff>
      <xdr:row>4</xdr:row>
      <xdr:rowOff>154940</xdr:rowOff>
    </xdr:to>
    <xdr:sp macro="" textlink="">
      <xdr:nvSpPr>
        <xdr:cNvPr id="103" name="name 102"/>
        <xdr:cNvSpPr/>
      </xdr:nvSpPr>
      <xdr:spPr>
        <a:xfrm>
          <a:off x="4051300" y="685800"/>
          <a:ext cx="647700" cy="139700"/>
        </a:xfrm>
        <a:prstGeom prst="rect">
          <a:avLst/>
        </a:prstGeom>
        <a:solidFill>
          <a:srgbClr val="20B2A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Power</a:t>
          </a:r>
        </a:p>
      </xdr:txBody>
    </xdr:sp>
    <xdr:clientData/>
  </xdr:twoCellAnchor>
  <xdr:twoCellAnchor editAs="absolute">
    <xdr:from>
      <xdr:col>0</xdr:col>
      <xdr:colOff>4254500</xdr:colOff>
      <xdr:row>5</xdr:row>
      <xdr:rowOff>0</xdr:rowOff>
    </xdr:from>
    <xdr:to>
      <xdr:col>0</xdr:col>
      <xdr:colOff>4622800</xdr:colOff>
      <xdr:row>7</xdr:row>
      <xdr:rowOff>83820</xdr:rowOff>
    </xdr:to>
    <xdr:pic>
      <xdr:nvPicPr>
        <xdr:cNvPr id="104" name="symbol 10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4500" y="838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4102100</xdr:colOff>
      <xdr:row>6</xdr:row>
      <xdr:rowOff>137160</xdr:rowOff>
    </xdr:from>
    <xdr:to>
      <xdr:col>0</xdr:col>
      <xdr:colOff>4267200</xdr:colOff>
      <xdr:row>7</xdr:row>
      <xdr:rowOff>160020</xdr:rowOff>
    </xdr:to>
    <xdr:sp macro="" textlink="">
      <xdr:nvSpPr>
        <xdr:cNvPr id="105" name="fleft 104"/>
        <xdr:cNvSpPr/>
      </xdr:nvSpPr>
      <xdr:spPr>
        <a:xfrm>
          <a:off x="41021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4406900</xdr:colOff>
      <xdr:row>6</xdr:row>
      <xdr:rowOff>137160</xdr:rowOff>
    </xdr:from>
    <xdr:to>
      <xdr:col>0</xdr:col>
      <xdr:colOff>4546600</xdr:colOff>
      <xdr:row>7</xdr:row>
      <xdr:rowOff>160020</xdr:rowOff>
    </xdr:to>
    <xdr:sp macro="" textlink="">
      <xdr:nvSpPr>
        <xdr:cNvPr id="106" name="fmiddle 105"/>
        <xdr:cNvSpPr/>
      </xdr:nvSpPr>
      <xdr:spPr>
        <a:xfrm>
          <a:off x="4406900" y="1143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4533900</xdr:colOff>
      <xdr:row>6</xdr:row>
      <xdr:rowOff>137160</xdr:rowOff>
    </xdr:from>
    <xdr:to>
      <xdr:col>0</xdr:col>
      <xdr:colOff>4699000</xdr:colOff>
      <xdr:row>7</xdr:row>
      <xdr:rowOff>160020</xdr:rowOff>
    </xdr:to>
    <xdr:sp macro="" textlink="">
      <xdr:nvSpPr>
        <xdr:cNvPr id="107" name="fright 106"/>
        <xdr:cNvSpPr/>
      </xdr:nvSpPr>
      <xdr:spPr>
        <a:xfrm>
          <a:off x="45339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4559300</xdr:colOff>
      <xdr:row>5</xdr:row>
      <xdr:rowOff>50800</xdr:rowOff>
    </xdr:from>
    <xdr:to>
      <xdr:col>0</xdr:col>
      <xdr:colOff>4699000</xdr:colOff>
      <xdr:row>6</xdr:row>
      <xdr:rowOff>48260</xdr:rowOff>
    </xdr:to>
    <xdr:sp macro="" textlink="">
      <xdr:nvSpPr>
        <xdr:cNvPr id="108" name="eng 107"/>
        <xdr:cNvSpPr/>
      </xdr:nvSpPr>
      <xdr:spPr>
        <a:xfrm>
          <a:off x="4559300" y="889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4711700</xdr:colOff>
      <xdr:row>4</xdr:row>
      <xdr:rowOff>2540</xdr:rowOff>
    </xdr:from>
    <xdr:to>
      <xdr:col>0</xdr:col>
      <xdr:colOff>5384800</xdr:colOff>
      <xdr:row>8</xdr:row>
      <xdr:rowOff>5080</xdr:rowOff>
    </xdr:to>
    <xdr:sp macro="" textlink="">
      <xdr:nvSpPr>
        <xdr:cNvPr id="109" name="outline 108"/>
        <xdr:cNvSpPr/>
      </xdr:nvSpPr>
      <xdr:spPr>
        <a:xfrm>
          <a:off x="4711700" y="673100"/>
          <a:ext cx="673100" cy="673100"/>
        </a:xfrm>
        <a:prstGeom prst="rect">
          <a:avLst/>
        </a:prstGeom>
        <a:solidFill>
          <a:srgbClr val="FFC0CB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4927600</xdr:colOff>
      <xdr:row>4</xdr:row>
      <xdr:rowOff>15240</xdr:rowOff>
    </xdr:from>
    <xdr:to>
      <xdr:col>0</xdr:col>
      <xdr:colOff>5372100</xdr:colOff>
      <xdr:row>4</xdr:row>
      <xdr:rowOff>154940</xdr:rowOff>
    </xdr:to>
    <xdr:sp macro="" textlink="">
      <xdr:nvSpPr>
        <xdr:cNvPr id="110" name="name 109"/>
        <xdr:cNvSpPr/>
      </xdr:nvSpPr>
      <xdr:spPr>
        <a:xfrm>
          <a:off x="4927600" y="685800"/>
          <a:ext cx="444500" cy="139700"/>
        </a:xfrm>
        <a:prstGeom prst="rect">
          <a:avLst/>
        </a:prstGeom>
        <a:solidFill>
          <a:srgbClr val="20B2A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Douglas</a:t>
          </a:r>
        </a:p>
      </xdr:txBody>
    </xdr:sp>
    <xdr:clientData/>
  </xdr:twoCellAnchor>
  <xdr:twoCellAnchor editAs="absolute">
    <xdr:from>
      <xdr:col>0</xdr:col>
      <xdr:colOff>4800600</xdr:colOff>
      <xdr:row>5</xdr:row>
      <xdr:rowOff>25400</xdr:rowOff>
    </xdr:from>
    <xdr:to>
      <xdr:col>0</xdr:col>
      <xdr:colOff>5295900</xdr:colOff>
      <xdr:row>6</xdr:row>
      <xdr:rowOff>149860</xdr:rowOff>
    </xdr:to>
    <xdr:pic>
      <xdr:nvPicPr>
        <xdr:cNvPr id="111" name="symbol 110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0600" y="8636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4775200</xdr:colOff>
      <xdr:row>6</xdr:row>
      <xdr:rowOff>137160</xdr:rowOff>
    </xdr:from>
    <xdr:to>
      <xdr:col>0</xdr:col>
      <xdr:colOff>4965700</xdr:colOff>
      <xdr:row>7</xdr:row>
      <xdr:rowOff>134620</xdr:rowOff>
    </xdr:to>
    <xdr:sp macro="" textlink="">
      <xdr:nvSpPr>
        <xdr:cNvPr id="112" name="fleft 111"/>
        <xdr:cNvSpPr/>
      </xdr:nvSpPr>
      <xdr:spPr>
        <a:xfrm>
          <a:off x="4775200" y="11430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(3)</a:t>
          </a:r>
        </a:p>
      </xdr:txBody>
    </xdr:sp>
    <xdr:clientData/>
  </xdr:twoCellAnchor>
  <xdr:twoCellAnchor editAs="absolute">
    <xdr:from>
      <xdr:col>0</xdr:col>
      <xdr:colOff>5003800</xdr:colOff>
      <xdr:row>6</xdr:row>
      <xdr:rowOff>137160</xdr:rowOff>
    </xdr:from>
    <xdr:to>
      <xdr:col>0</xdr:col>
      <xdr:colOff>5143500</xdr:colOff>
      <xdr:row>7</xdr:row>
      <xdr:rowOff>160020</xdr:rowOff>
    </xdr:to>
    <xdr:sp macro="" textlink="">
      <xdr:nvSpPr>
        <xdr:cNvPr id="113" name="fmiddle 112"/>
        <xdr:cNvSpPr/>
      </xdr:nvSpPr>
      <xdr:spPr>
        <a:xfrm>
          <a:off x="5003800" y="1143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5181600</xdr:colOff>
      <xdr:row>6</xdr:row>
      <xdr:rowOff>137160</xdr:rowOff>
    </xdr:from>
    <xdr:to>
      <xdr:col>0</xdr:col>
      <xdr:colOff>5346700</xdr:colOff>
      <xdr:row>7</xdr:row>
      <xdr:rowOff>160020</xdr:rowOff>
    </xdr:to>
    <xdr:sp macro="" textlink="">
      <xdr:nvSpPr>
        <xdr:cNvPr id="114" name="fright 113"/>
        <xdr:cNvSpPr/>
      </xdr:nvSpPr>
      <xdr:spPr>
        <a:xfrm>
          <a:off x="51816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4724400</xdr:colOff>
      <xdr:row>4</xdr:row>
      <xdr:rowOff>15240</xdr:rowOff>
    </xdr:from>
    <xdr:to>
      <xdr:col>0</xdr:col>
      <xdr:colOff>4914900</xdr:colOff>
      <xdr:row>4</xdr:row>
      <xdr:rowOff>129540</xdr:rowOff>
    </xdr:to>
    <xdr:sp macro="" textlink="">
      <xdr:nvSpPr>
        <xdr:cNvPr id="115" name="eng 114"/>
        <xdr:cNvSpPr/>
      </xdr:nvSpPr>
      <xdr:spPr>
        <a:xfrm>
          <a:off x="4724400" y="6858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2-4</a:t>
          </a:r>
        </a:p>
      </xdr:txBody>
    </xdr:sp>
    <xdr:clientData/>
  </xdr:twoCellAnchor>
  <xdr:twoCellAnchor editAs="absolute">
    <xdr:from>
      <xdr:col>0</xdr:col>
      <xdr:colOff>5384800</xdr:colOff>
      <xdr:row>4</xdr:row>
      <xdr:rowOff>2540</xdr:rowOff>
    </xdr:from>
    <xdr:to>
      <xdr:col>0</xdr:col>
      <xdr:colOff>6057900</xdr:colOff>
      <xdr:row>8</xdr:row>
      <xdr:rowOff>5080</xdr:rowOff>
    </xdr:to>
    <xdr:sp macro="" textlink="">
      <xdr:nvSpPr>
        <xdr:cNvPr id="116" name="outline 115"/>
        <xdr:cNvSpPr/>
      </xdr:nvSpPr>
      <xdr:spPr>
        <a:xfrm>
          <a:off x="5384800" y="673100"/>
          <a:ext cx="673100" cy="673100"/>
        </a:xfrm>
        <a:prstGeom prst="rect">
          <a:avLst/>
        </a:prstGeom>
        <a:solidFill>
          <a:srgbClr val="FFA3C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5549900</xdr:colOff>
      <xdr:row>4</xdr:row>
      <xdr:rowOff>40640</xdr:rowOff>
    </xdr:from>
    <xdr:to>
      <xdr:col>0</xdr:col>
      <xdr:colOff>6045200</xdr:colOff>
      <xdr:row>6</xdr:row>
      <xdr:rowOff>124460</xdr:rowOff>
    </xdr:to>
    <xdr:sp macro="" textlink="">
      <xdr:nvSpPr>
        <xdr:cNvPr id="117" name="flag 116"/>
        <xdr:cNvSpPr/>
      </xdr:nvSpPr>
      <xdr:spPr>
        <a:xfrm>
          <a:off x="5549900" y="711200"/>
          <a:ext cx="495300" cy="419100"/>
        </a:xfrm>
        <a:prstGeom prst="rect">
          <a:avLst/>
        </a:prstGeom>
        <a:solidFill>
          <a:srgbClr val="FFA3C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4</a:t>
          </a:r>
        </a:p>
      </xdr:txBody>
    </xdr:sp>
    <xdr:clientData/>
  </xdr:twoCellAnchor>
  <xdr:twoCellAnchor editAs="absolute">
    <xdr:from>
      <xdr:col>0</xdr:col>
      <xdr:colOff>5397500</xdr:colOff>
      <xdr:row>4</xdr:row>
      <xdr:rowOff>15240</xdr:rowOff>
    </xdr:from>
    <xdr:to>
      <xdr:col>0</xdr:col>
      <xdr:colOff>5537200</xdr:colOff>
      <xdr:row>6</xdr:row>
      <xdr:rowOff>149860</xdr:rowOff>
    </xdr:to>
    <xdr:sp macro="" textlink="">
      <xdr:nvSpPr>
        <xdr:cNvPr id="118" name="name 117"/>
        <xdr:cNvSpPr/>
      </xdr:nvSpPr>
      <xdr:spPr>
        <a:xfrm>
          <a:off x="5397500" y="685800"/>
          <a:ext cx="139700" cy="469900"/>
        </a:xfrm>
        <a:prstGeom prst="rect">
          <a:avLst/>
        </a:prstGeom>
        <a:solidFill>
          <a:srgbClr val="99CC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Cole</a:t>
          </a:r>
        </a:p>
      </xdr:txBody>
    </xdr:sp>
    <xdr:clientData/>
  </xdr:twoCellAnchor>
  <xdr:twoCellAnchor editAs="absolute">
    <xdr:from>
      <xdr:col>0</xdr:col>
      <xdr:colOff>5473700</xdr:colOff>
      <xdr:row>6</xdr:row>
      <xdr:rowOff>137160</xdr:rowOff>
    </xdr:from>
    <xdr:to>
      <xdr:col>0</xdr:col>
      <xdr:colOff>5613400</xdr:colOff>
      <xdr:row>7</xdr:row>
      <xdr:rowOff>160020</xdr:rowOff>
    </xdr:to>
    <xdr:sp macro="" textlink="">
      <xdr:nvSpPr>
        <xdr:cNvPr id="119" name="left 118"/>
        <xdr:cNvSpPr/>
      </xdr:nvSpPr>
      <xdr:spPr>
        <a:xfrm>
          <a:off x="5473700" y="11430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5880100</xdr:colOff>
      <xdr:row>6</xdr:row>
      <xdr:rowOff>137160</xdr:rowOff>
    </xdr:from>
    <xdr:to>
      <xdr:col>0</xdr:col>
      <xdr:colOff>6019800</xdr:colOff>
      <xdr:row>7</xdr:row>
      <xdr:rowOff>160020</xdr:rowOff>
    </xdr:to>
    <xdr:sp macro="" textlink="">
      <xdr:nvSpPr>
        <xdr:cNvPr id="120" name="right 119"/>
        <xdr:cNvSpPr/>
      </xdr:nvSpPr>
      <xdr:spPr>
        <a:xfrm>
          <a:off x="5880100" y="11430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6057900</xdr:colOff>
      <xdr:row>4</xdr:row>
      <xdr:rowOff>2540</xdr:rowOff>
    </xdr:from>
    <xdr:to>
      <xdr:col>0</xdr:col>
      <xdr:colOff>6731000</xdr:colOff>
      <xdr:row>8</xdr:row>
      <xdr:rowOff>5080</xdr:rowOff>
    </xdr:to>
    <xdr:sp macro="" textlink="">
      <xdr:nvSpPr>
        <xdr:cNvPr id="121" name="outline 120"/>
        <xdr:cNvSpPr/>
      </xdr:nvSpPr>
      <xdr:spPr>
        <a:xfrm>
          <a:off x="6057900" y="673100"/>
          <a:ext cx="673100" cy="673100"/>
        </a:xfrm>
        <a:prstGeom prst="rect">
          <a:avLst/>
        </a:prstGeom>
        <a:solidFill>
          <a:srgbClr val="FFA3C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6223000</xdr:colOff>
      <xdr:row>4</xdr:row>
      <xdr:rowOff>40640</xdr:rowOff>
    </xdr:from>
    <xdr:to>
      <xdr:col>0</xdr:col>
      <xdr:colOff>6718300</xdr:colOff>
      <xdr:row>6</xdr:row>
      <xdr:rowOff>124460</xdr:rowOff>
    </xdr:to>
    <xdr:sp macro="" textlink="">
      <xdr:nvSpPr>
        <xdr:cNvPr id="122" name="flag 121"/>
        <xdr:cNvSpPr/>
      </xdr:nvSpPr>
      <xdr:spPr>
        <a:xfrm>
          <a:off x="6223000" y="711200"/>
          <a:ext cx="495300" cy="419100"/>
        </a:xfrm>
        <a:prstGeom prst="rect">
          <a:avLst/>
        </a:prstGeom>
        <a:solidFill>
          <a:srgbClr val="FFA3C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4</a:t>
          </a:r>
        </a:p>
      </xdr:txBody>
    </xdr:sp>
    <xdr:clientData/>
  </xdr:twoCellAnchor>
  <xdr:twoCellAnchor editAs="absolute">
    <xdr:from>
      <xdr:col>0</xdr:col>
      <xdr:colOff>6070600</xdr:colOff>
      <xdr:row>4</xdr:row>
      <xdr:rowOff>15240</xdr:rowOff>
    </xdr:from>
    <xdr:to>
      <xdr:col>0</xdr:col>
      <xdr:colOff>6210300</xdr:colOff>
      <xdr:row>6</xdr:row>
      <xdr:rowOff>149860</xdr:rowOff>
    </xdr:to>
    <xdr:sp macro="" textlink="">
      <xdr:nvSpPr>
        <xdr:cNvPr id="123" name="name 122"/>
        <xdr:cNvSpPr/>
      </xdr:nvSpPr>
      <xdr:spPr>
        <a:xfrm>
          <a:off x="6070600" y="685800"/>
          <a:ext cx="139700" cy="469900"/>
        </a:xfrm>
        <a:prstGeom prst="rect">
          <a:avLst/>
        </a:prstGeom>
        <a:solidFill>
          <a:srgbClr val="99CC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Cole</a:t>
          </a:r>
        </a:p>
      </xdr:txBody>
    </xdr:sp>
    <xdr:clientData/>
  </xdr:twoCellAnchor>
  <xdr:twoCellAnchor editAs="absolute">
    <xdr:from>
      <xdr:col>0</xdr:col>
      <xdr:colOff>6146800</xdr:colOff>
      <xdr:row>6</xdr:row>
      <xdr:rowOff>137160</xdr:rowOff>
    </xdr:from>
    <xdr:to>
      <xdr:col>0</xdr:col>
      <xdr:colOff>6286500</xdr:colOff>
      <xdr:row>7</xdr:row>
      <xdr:rowOff>160020</xdr:rowOff>
    </xdr:to>
    <xdr:sp macro="" textlink="">
      <xdr:nvSpPr>
        <xdr:cNvPr id="124" name="left 123"/>
        <xdr:cNvSpPr/>
      </xdr:nvSpPr>
      <xdr:spPr>
        <a:xfrm>
          <a:off x="6146800" y="11430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6553200</xdr:colOff>
      <xdr:row>6</xdr:row>
      <xdr:rowOff>137160</xdr:rowOff>
    </xdr:from>
    <xdr:to>
      <xdr:col>0</xdr:col>
      <xdr:colOff>6692900</xdr:colOff>
      <xdr:row>7</xdr:row>
      <xdr:rowOff>160020</xdr:rowOff>
    </xdr:to>
    <xdr:sp macro="" textlink="">
      <xdr:nvSpPr>
        <xdr:cNvPr id="125" name="right 124"/>
        <xdr:cNvSpPr/>
      </xdr:nvSpPr>
      <xdr:spPr>
        <a:xfrm>
          <a:off x="6553200" y="11430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0</xdr:colOff>
      <xdr:row>8</xdr:row>
      <xdr:rowOff>5080</xdr:rowOff>
    </xdr:from>
    <xdr:to>
      <xdr:col>0</xdr:col>
      <xdr:colOff>673100</xdr:colOff>
      <xdr:row>12</xdr:row>
      <xdr:rowOff>7620</xdr:rowOff>
    </xdr:to>
    <xdr:sp macro="" textlink="">
      <xdr:nvSpPr>
        <xdr:cNvPr id="126" name="outline 125"/>
        <xdr:cNvSpPr/>
      </xdr:nvSpPr>
      <xdr:spPr>
        <a:xfrm>
          <a:off x="0" y="1346200"/>
          <a:ext cx="673100" cy="673100"/>
        </a:xfrm>
        <a:prstGeom prst="rect">
          <a:avLst/>
        </a:prstGeom>
        <a:solidFill>
          <a:srgbClr val="FFC0CB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12700</xdr:colOff>
      <xdr:row>8</xdr:row>
      <xdr:rowOff>17780</xdr:rowOff>
    </xdr:from>
    <xdr:to>
      <xdr:col>0</xdr:col>
      <xdr:colOff>660400</xdr:colOff>
      <xdr:row>8</xdr:row>
      <xdr:rowOff>157480</xdr:rowOff>
    </xdr:to>
    <xdr:sp macro="" textlink="">
      <xdr:nvSpPr>
        <xdr:cNvPr id="127" name="name 126"/>
        <xdr:cNvSpPr/>
      </xdr:nvSpPr>
      <xdr:spPr>
        <a:xfrm>
          <a:off x="12700" y="1358900"/>
          <a:ext cx="647700" cy="139700"/>
        </a:xfrm>
        <a:prstGeom prst="rect">
          <a:avLst/>
        </a:prstGeom>
        <a:solidFill>
          <a:srgbClr val="99CC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Anson</a:t>
          </a:r>
        </a:p>
      </xdr:txBody>
    </xdr:sp>
    <xdr:clientData/>
  </xdr:twoCellAnchor>
  <xdr:twoCellAnchor editAs="absolute">
    <xdr:from>
      <xdr:col>0</xdr:col>
      <xdr:colOff>215900</xdr:colOff>
      <xdr:row>9</xdr:row>
      <xdr:rowOff>2540</xdr:rowOff>
    </xdr:from>
    <xdr:to>
      <xdr:col>0</xdr:col>
      <xdr:colOff>584200</xdr:colOff>
      <xdr:row>11</xdr:row>
      <xdr:rowOff>86360</xdr:rowOff>
    </xdr:to>
    <xdr:pic>
      <xdr:nvPicPr>
        <xdr:cNvPr id="128" name="symbol 12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511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63500</xdr:colOff>
      <xdr:row>10</xdr:row>
      <xdr:rowOff>139700</xdr:rowOff>
    </xdr:from>
    <xdr:to>
      <xdr:col>0</xdr:col>
      <xdr:colOff>228600</xdr:colOff>
      <xdr:row>11</xdr:row>
      <xdr:rowOff>162560</xdr:rowOff>
    </xdr:to>
    <xdr:sp macro="" textlink="">
      <xdr:nvSpPr>
        <xdr:cNvPr id="129" name="fleft 128"/>
        <xdr:cNvSpPr/>
      </xdr:nvSpPr>
      <xdr:spPr>
        <a:xfrm>
          <a:off x="635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368300</xdr:colOff>
      <xdr:row>10</xdr:row>
      <xdr:rowOff>139700</xdr:rowOff>
    </xdr:from>
    <xdr:to>
      <xdr:col>0</xdr:col>
      <xdr:colOff>508000</xdr:colOff>
      <xdr:row>11</xdr:row>
      <xdr:rowOff>162560</xdr:rowOff>
    </xdr:to>
    <xdr:sp macro="" textlink="">
      <xdr:nvSpPr>
        <xdr:cNvPr id="130" name="fmiddle 129"/>
        <xdr:cNvSpPr/>
      </xdr:nvSpPr>
      <xdr:spPr>
        <a:xfrm>
          <a:off x="3683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495300</xdr:colOff>
      <xdr:row>10</xdr:row>
      <xdr:rowOff>139700</xdr:rowOff>
    </xdr:from>
    <xdr:to>
      <xdr:col>0</xdr:col>
      <xdr:colOff>660400</xdr:colOff>
      <xdr:row>11</xdr:row>
      <xdr:rowOff>162560</xdr:rowOff>
    </xdr:to>
    <xdr:sp macro="" textlink="">
      <xdr:nvSpPr>
        <xdr:cNvPr id="131" name="fright 130"/>
        <xdr:cNvSpPr/>
      </xdr:nvSpPr>
      <xdr:spPr>
        <a:xfrm>
          <a:off x="4953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520700</xdr:colOff>
      <xdr:row>9</xdr:row>
      <xdr:rowOff>53340</xdr:rowOff>
    </xdr:from>
    <xdr:to>
      <xdr:col>0</xdr:col>
      <xdr:colOff>660400</xdr:colOff>
      <xdr:row>10</xdr:row>
      <xdr:rowOff>50800</xdr:rowOff>
    </xdr:to>
    <xdr:sp macro="" textlink="">
      <xdr:nvSpPr>
        <xdr:cNvPr id="132" name="eng 131"/>
        <xdr:cNvSpPr/>
      </xdr:nvSpPr>
      <xdr:spPr>
        <a:xfrm>
          <a:off x="520700" y="15621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673100</xdr:colOff>
      <xdr:row>8</xdr:row>
      <xdr:rowOff>5080</xdr:rowOff>
    </xdr:from>
    <xdr:to>
      <xdr:col>0</xdr:col>
      <xdr:colOff>1346200</xdr:colOff>
      <xdr:row>12</xdr:row>
      <xdr:rowOff>7620</xdr:rowOff>
    </xdr:to>
    <xdr:sp macro="" textlink="">
      <xdr:nvSpPr>
        <xdr:cNvPr id="133" name="outline 132"/>
        <xdr:cNvSpPr/>
      </xdr:nvSpPr>
      <xdr:spPr>
        <a:xfrm>
          <a:off x="673100" y="1346200"/>
          <a:ext cx="673100" cy="673100"/>
        </a:xfrm>
        <a:prstGeom prst="rect">
          <a:avLst/>
        </a:prstGeom>
        <a:solidFill>
          <a:srgbClr val="FFC0CB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685800</xdr:colOff>
      <xdr:row>8</xdr:row>
      <xdr:rowOff>17780</xdr:rowOff>
    </xdr:from>
    <xdr:to>
      <xdr:col>0</xdr:col>
      <xdr:colOff>1333500</xdr:colOff>
      <xdr:row>8</xdr:row>
      <xdr:rowOff>157480</xdr:rowOff>
    </xdr:to>
    <xdr:sp macro="" textlink="">
      <xdr:nvSpPr>
        <xdr:cNvPr id="134" name="name 133"/>
        <xdr:cNvSpPr/>
      </xdr:nvSpPr>
      <xdr:spPr>
        <a:xfrm>
          <a:off x="685800" y="1358900"/>
          <a:ext cx="647700" cy="139700"/>
        </a:xfrm>
        <a:prstGeom prst="rect">
          <a:avLst/>
        </a:prstGeom>
        <a:solidFill>
          <a:srgbClr val="99CC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Ellis</a:t>
          </a:r>
        </a:p>
      </xdr:txBody>
    </xdr:sp>
    <xdr:clientData/>
  </xdr:twoCellAnchor>
  <xdr:twoCellAnchor editAs="absolute">
    <xdr:from>
      <xdr:col>0</xdr:col>
      <xdr:colOff>889000</xdr:colOff>
      <xdr:row>9</xdr:row>
      <xdr:rowOff>2540</xdr:rowOff>
    </xdr:from>
    <xdr:to>
      <xdr:col>0</xdr:col>
      <xdr:colOff>1257300</xdr:colOff>
      <xdr:row>11</xdr:row>
      <xdr:rowOff>86360</xdr:rowOff>
    </xdr:to>
    <xdr:pic>
      <xdr:nvPicPr>
        <xdr:cNvPr id="135" name="symbol 13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000" y="1511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736600</xdr:colOff>
      <xdr:row>10</xdr:row>
      <xdr:rowOff>139700</xdr:rowOff>
    </xdr:from>
    <xdr:to>
      <xdr:col>0</xdr:col>
      <xdr:colOff>901700</xdr:colOff>
      <xdr:row>11</xdr:row>
      <xdr:rowOff>162560</xdr:rowOff>
    </xdr:to>
    <xdr:sp macro="" textlink="">
      <xdr:nvSpPr>
        <xdr:cNvPr id="136" name="fleft 135"/>
        <xdr:cNvSpPr/>
      </xdr:nvSpPr>
      <xdr:spPr>
        <a:xfrm>
          <a:off x="7366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1041400</xdr:colOff>
      <xdr:row>10</xdr:row>
      <xdr:rowOff>139700</xdr:rowOff>
    </xdr:from>
    <xdr:to>
      <xdr:col>0</xdr:col>
      <xdr:colOff>1181100</xdr:colOff>
      <xdr:row>11</xdr:row>
      <xdr:rowOff>162560</xdr:rowOff>
    </xdr:to>
    <xdr:sp macro="" textlink="">
      <xdr:nvSpPr>
        <xdr:cNvPr id="137" name="fmiddle 136"/>
        <xdr:cNvSpPr/>
      </xdr:nvSpPr>
      <xdr:spPr>
        <a:xfrm>
          <a:off x="10414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1168400</xdr:colOff>
      <xdr:row>10</xdr:row>
      <xdr:rowOff>139700</xdr:rowOff>
    </xdr:from>
    <xdr:to>
      <xdr:col>0</xdr:col>
      <xdr:colOff>1333500</xdr:colOff>
      <xdr:row>11</xdr:row>
      <xdr:rowOff>162560</xdr:rowOff>
    </xdr:to>
    <xdr:sp macro="" textlink="">
      <xdr:nvSpPr>
        <xdr:cNvPr id="138" name="fright 137"/>
        <xdr:cNvSpPr/>
      </xdr:nvSpPr>
      <xdr:spPr>
        <a:xfrm>
          <a:off x="11684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1193800</xdr:colOff>
      <xdr:row>9</xdr:row>
      <xdr:rowOff>53340</xdr:rowOff>
    </xdr:from>
    <xdr:to>
      <xdr:col>0</xdr:col>
      <xdr:colOff>1333500</xdr:colOff>
      <xdr:row>10</xdr:row>
      <xdr:rowOff>50800</xdr:rowOff>
    </xdr:to>
    <xdr:sp macro="" textlink="">
      <xdr:nvSpPr>
        <xdr:cNvPr id="139" name="eng 138"/>
        <xdr:cNvSpPr/>
      </xdr:nvSpPr>
      <xdr:spPr>
        <a:xfrm>
          <a:off x="1193800" y="15621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1346200</xdr:colOff>
      <xdr:row>8</xdr:row>
      <xdr:rowOff>5080</xdr:rowOff>
    </xdr:from>
    <xdr:to>
      <xdr:col>0</xdr:col>
      <xdr:colOff>2019300</xdr:colOff>
      <xdr:row>12</xdr:row>
      <xdr:rowOff>7620</xdr:rowOff>
    </xdr:to>
    <xdr:sp macro="" textlink="">
      <xdr:nvSpPr>
        <xdr:cNvPr id="140" name="outline 139"/>
        <xdr:cNvSpPr/>
      </xdr:nvSpPr>
      <xdr:spPr>
        <a:xfrm>
          <a:off x="1346200" y="1346200"/>
          <a:ext cx="673100" cy="673100"/>
        </a:xfrm>
        <a:prstGeom prst="rect">
          <a:avLst/>
        </a:prstGeom>
        <a:solidFill>
          <a:srgbClr val="FFA5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1358900</xdr:colOff>
      <xdr:row>8</xdr:row>
      <xdr:rowOff>17780</xdr:rowOff>
    </xdr:from>
    <xdr:to>
      <xdr:col>0</xdr:col>
      <xdr:colOff>2006600</xdr:colOff>
      <xdr:row>8</xdr:row>
      <xdr:rowOff>157480</xdr:rowOff>
    </xdr:to>
    <xdr:sp macro="" textlink="">
      <xdr:nvSpPr>
        <xdr:cNvPr id="141" name="name 140"/>
        <xdr:cNvSpPr/>
      </xdr:nvSpPr>
      <xdr:spPr>
        <a:xfrm>
          <a:off x="1358900" y="1358900"/>
          <a:ext cx="647700" cy="139700"/>
        </a:xfrm>
        <a:prstGeom prst="rect">
          <a:avLst/>
        </a:prstGeom>
        <a:solidFill>
          <a:srgbClr val="99CC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Stubbs</a:t>
          </a:r>
        </a:p>
      </xdr:txBody>
    </xdr:sp>
    <xdr:clientData/>
  </xdr:twoCellAnchor>
  <xdr:twoCellAnchor editAs="absolute">
    <xdr:from>
      <xdr:col>0</xdr:col>
      <xdr:colOff>1562100</xdr:colOff>
      <xdr:row>9</xdr:row>
      <xdr:rowOff>2540</xdr:rowOff>
    </xdr:from>
    <xdr:to>
      <xdr:col>0</xdr:col>
      <xdr:colOff>1930400</xdr:colOff>
      <xdr:row>11</xdr:row>
      <xdr:rowOff>86360</xdr:rowOff>
    </xdr:to>
    <xdr:pic>
      <xdr:nvPicPr>
        <xdr:cNvPr id="142" name="symbol 14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0" y="1511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1409700</xdr:colOff>
      <xdr:row>10</xdr:row>
      <xdr:rowOff>139700</xdr:rowOff>
    </xdr:from>
    <xdr:to>
      <xdr:col>0</xdr:col>
      <xdr:colOff>1574800</xdr:colOff>
      <xdr:row>11</xdr:row>
      <xdr:rowOff>162560</xdr:rowOff>
    </xdr:to>
    <xdr:sp macro="" textlink="">
      <xdr:nvSpPr>
        <xdr:cNvPr id="143" name="fleft 142"/>
        <xdr:cNvSpPr/>
      </xdr:nvSpPr>
      <xdr:spPr>
        <a:xfrm>
          <a:off x="14097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1714500</xdr:colOff>
      <xdr:row>10</xdr:row>
      <xdr:rowOff>139700</xdr:rowOff>
    </xdr:from>
    <xdr:to>
      <xdr:col>0</xdr:col>
      <xdr:colOff>1854200</xdr:colOff>
      <xdr:row>11</xdr:row>
      <xdr:rowOff>162560</xdr:rowOff>
    </xdr:to>
    <xdr:sp macro="" textlink="">
      <xdr:nvSpPr>
        <xdr:cNvPr id="144" name="fmiddle 143"/>
        <xdr:cNvSpPr/>
      </xdr:nvSpPr>
      <xdr:spPr>
        <a:xfrm>
          <a:off x="17145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1841500</xdr:colOff>
      <xdr:row>10</xdr:row>
      <xdr:rowOff>139700</xdr:rowOff>
    </xdr:from>
    <xdr:to>
      <xdr:col>0</xdr:col>
      <xdr:colOff>2006600</xdr:colOff>
      <xdr:row>11</xdr:row>
      <xdr:rowOff>162560</xdr:rowOff>
    </xdr:to>
    <xdr:sp macro="" textlink="">
      <xdr:nvSpPr>
        <xdr:cNvPr id="145" name="fright 144"/>
        <xdr:cNvSpPr/>
      </xdr:nvSpPr>
      <xdr:spPr>
        <a:xfrm>
          <a:off x="18415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1866900</xdr:colOff>
      <xdr:row>9</xdr:row>
      <xdr:rowOff>53340</xdr:rowOff>
    </xdr:from>
    <xdr:to>
      <xdr:col>0</xdr:col>
      <xdr:colOff>2006600</xdr:colOff>
      <xdr:row>10</xdr:row>
      <xdr:rowOff>50800</xdr:rowOff>
    </xdr:to>
    <xdr:sp macro="" textlink="">
      <xdr:nvSpPr>
        <xdr:cNvPr id="146" name="eng 145"/>
        <xdr:cNvSpPr/>
      </xdr:nvSpPr>
      <xdr:spPr>
        <a:xfrm>
          <a:off x="1866900" y="15621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2019300</xdr:colOff>
      <xdr:row>8</xdr:row>
      <xdr:rowOff>5080</xdr:rowOff>
    </xdr:from>
    <xdr:to>
      <xdr:col>0</xdr:col>
      <xdr:colOff>2692400</xdr:colOff>
      <xdr:row>12</xdr:row>
      <xdr:rowOff>7620</xdr:rowOff>
    </xdr:to>
    <xdr:sp macro="" textlink="">
      <xdr:nvSpPr>
        <xdr:cNvPr id="147" name="outline 146"/>
        <xdr:cNvSpPr/>
      </xdr:nvSpPr>
      <xdr:spPr>
        <a:xfrm>
          <a:off x="2019300" y="1346200"/>
          <a:ext cx="673100" cy="673100"/>
        </a:xfrm>
        <a:prstGeom prst="rect">
          <a:avLst/>
        </a:prstGeom>
        <a:solidFill>
          <a:srgbClr val="CCFFC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2235200</xdr:colOff>
      <xdr:row>8</xdr:row>
      <xdr:rowOff>17780</xdr:rowOff>
    </xdr:from>
    <xdr:to>
      <xdr:col>0</xdr:col>
      <xdr:colOff>2679700</xdr:colOff>
      <xdr:row>8</xdr:row>
      <xdr:rowOff>157480</xdr:rowOff>
    </xdr:to>
    <xdr:sp macro="" textlink="">
      <xdr:nvSpPr>
        <xdr:cNvPr id="148" name="name 147"/>
        <xdr:cNvSpPr/>
      </xdr:nvSpPr>
      <xdr:spPr>
        <a:xfrm>
          <a:off x="2235200" y="1358900"/>
          <a:ext cx="444500" cy="139700"/>
        </a:xfrm>
        <a:prstGeom prst="rect">
          <a:avLst/>
        </a:prstGeom>
        <a:solidFill>
          <a:srgbClr val="99CC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Sympher</a:t>
          </a:r>
        </a:p>
      </xdr:txBody>
    </xdr:sp>
    <xdr:clientData/>
  </xdr:twoCellAnchor>
  <xdr:twoCellAnchor editAs="absolute">
    <xdr:from>
      <xdr:col>0</xdr:col>
      <xdr:colOff>2108200</xdr:colOff>
      <xdr:row>9</xdr:row>
      <xdr:rowOff>27940</xdr:rowOff>
    </xdr:from>
    <xdr:to>
      <xdr:col>0</xdr:col>
      <xdr:colOff>2603500</xdr:colOff>
      <xdr:row>10</xdr:row>
      <xdr:rowOff>152400</xdr:rowOff>
    </xdr:to>
    <xdr:pic>
      <xdr:nvPicPr>
        <xdr:cNvPr id="149" name="symbol 148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8200" y="15367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2082800</xdr:colOff>
      <xdr:row>10</xdr:row>
      <xdr:rowOff>139700</xdr:rowOff>
    </xdr:from>
    <xdr:to>
      <xdr:col>0</xdr:col>
      <xdr:colOff>2273300</xdr:colOff>
      <xdr:row>11</xdr:row>
      <xdr:rowOff>137160</xdr:rowOff>
    </xdr:to>
    <xdr:sp macro="" textlink="">
      <xdr:nvSpPr>
        <xdr:cNvPr id="150" name="fleft 149"/>
        <xdr:cNvSpPr/>
      </xdr:nvSpPr>
      <xdr:spPr>
        <a:xfrm>
          <a:off x="2082800" y="18161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2311400</xdr:colOff>
      <xdr:row>10</xdr:row>
      <xdr:rowOff>139700</xdr:rowOff>
    </xdr:from>
    <xdr:to>
      <xdr:col>0</xdr:col>
      <xdr:colOff>2451100</xdr:colOff>
      <xdr:row>11</xdr:row>
      <xdr:rowOff>162560</xdr:rowOff>
    </xdr:to>
    <xdr:sp macro="" textlink="">
      <xdr:nvSpPr>
        <xdr:cNvPr id="151" name="fmiddle 150"/>
        <xdr:cNvSpPr/>
      </xdr:nvSpPr>
      <xdr:spPr>
        <a:xfrm>
          <a:off x="23114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2489200</xdr:colOff>
      <xdr:row>10</xdr:row>
      <xdr:rowOff>139700</xdr:rowOff>
    </xdr:from>
    <xdr:to>
      <xdr:col>0</xdr:col>
      <xdr:colOff>2654300</xdr:colOff>
      <xdr:row>11</xdr:row>
      <xdr:rowOff>162560</xdr:rowOff>
    </xdr:to>
    <xdr:sp macro="" textlink="">
      <xdr:nvSpPr>
        <xdr:cNvPr id="152" name="fright 151"/>
        <xdr:cNvSpPr/>
      </xdr:nvSpPr>
      <xdr:spPr>
        <a:xfrm>
          <a:off x="24892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2032000</xdr:colOff>
      <xdr:row>8</xdr:row>
      <xdr:rowOff>17780</xdr:rowOff>
    </xdr:from>
    <xdr:to>
      <xdr:col>0</xdr:col>
      <xdr:colOff>2222500</xdr:colOff>
      <xdr:row>8</xdr:row>
      <xdr:rowOff>132080</xdr:rowOff>
    </xdr:to>
    <xdr:sp macro="" textlink="">
      <xdr:nvSpPr>
        <xdr:cNvPr id="153" name="eng 152"/>
        <xdr:cNvSpPr/>
      </xdr:nvSpPr>
      <xdr:spPr>
        <a:xfrm>
          <a:off x="2032000" y="13589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2-3</a:t>
          </a:r>
        </a:p>
      </xdr:txBody>
    </xdr:sp>
    <xdr:clientData/>
  </xdr:twoCellAnchor>
  <xdr:twoCellAnchor editAs="absolute">
    <xdr:from>
      <xdr:col>0</xdr:col>
      <xdr:colOff>2692400</xdr:colOff>
      <xdr:row>8</xdr:row>
      <xdr:rowOff>5080</xdr:rowOff>
    </xdr:from>
    <xdr:to>
      <xdr:col>0</xdr:col>
      <xdr:colOff>3365500</xdr:colOff>
      <xdr:row>12</xdr:row>
      <xdr:rowOff>7620</xdr:rowOff>
    </xdr:to>
    <xdr:sp macro="" textlink="">
      <xdr:nvSpPr>
        <xdr:cNvPr id="154" name="outline 153"/>
        <xdr:cNvSpPr/>
      </xdr:nvSpPr>
      <xdr:spPr>
        <a:xfrm>
          <a:off x="2692400" y="1346200"/>
          <a:ext cx="673100" cy="673100"/>
        </a:xfrm>
        <a:prstGeom prst="rect">
          <a:avLst/>
        </a:prstGeom>
        <a:solidFill>
          <a:srgbClr val="FFA3C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2857500</xdr:colOff>
      <xdr:row>8</xdr:row>
      <xdr:rowOff>43180</xdr:rowOff>
    </xdr:from>
    <xdr:to>
      <xdr:col>0</xdr:col>
      <xdr:colOff>3352800</xdr:colOff>
      <xdr:row>10</xdr:row>
      <xdr:rowOff>127000</xdr:rowOff>
    </xdr:to>
    <xdr:sp macro="" textlink="">
      <xdr:nvSpPr>
        <xdr:cNvPr id="155" name="flag 154"/>
        <xdr:cNvSpPr/>
      </xdr:nvSpPr>
      <xdr:spPr>
        <a:xfrm>
          <a:off x="2857500" y="1384300"/>
          <a:ext cx="495300" cy="419100"/>
        </a:xfrm>
        <a:prstGeom prst="rect">
          <a:avLst/>
        </a:prstGeom>
        <a:solidFill>
          <a:srgbClr val="FFA3C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5</a:t>
          </a:r>
        </a:p>
      </xdr:txBody>
    </xdr:sp>
    <xdr:clientData/>
  </xdr:twoCellAnchor>
  <xdr:twoCellAnchor editAs="absolute">
    <xdr:from>
      <xdr:col>0</xdr:col>
      <xdr:colOff>2705100</xdr:colOff>
      <xdr:row>8</xdr:row>
      <xdr:rowOff>17780</xdr:rowOff>
    </xdr:from>
    <xdr:to>
      <xdr:col>0</xdr:col>
      <xdr:colOff>2844800</xdr:colOff>
      <xdr:row>10</xdr:row>
      <xdr:rowOff>152400</xdr:rowOff>
    </xdr:to>
    <xdr:sp macro="" textlink="">
      <xdr:nvSpPr>
        <xdr:cNvPr id="156" name="name 155"/>
        <xdr:cNvSpPr/>
      </xdr:nvSpPr>
      <xdr:spPr>
        <a:xfrm>
          <a:off x="2705100" y="1358900"/>
          <a:ext cx="139700" cy="469900"/>
        </a:xfrm>
        <a:prstGeom prst="rect">
          <a:avLst/>
        </a:prstGeom>
        <a:solidFill>
          <a:srgbClr val="FF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Leith</a:t>
          </a:r>
        </a:p>
      </xdr:txBody>
    </xdr:sp>
    <xdr:clientData/>
  </xdr:twoCellAnchor>
  <xdr:twoCellAnchor editAs="absolute">
    <xdr:from>
      <xdr:col>0</xdr:col>
      <xdr:colOff>2781300</xdr:colOff>
      <xdr:row>10</xdr:row>
      <xdr:rowOff>139700</xdr:rowOff>
    </xdr:from>
    <xdr:to>
      <xdr:col>0</xdr:col>
      <xdr:colOff>2921000</xdr:colOff>
      <xdr:row>11</xdr:row>
      <xdr:rowOff>162560</xdr:rowOff>
    </xdr:to>
    <xdr:sp macro="" textlink="">
      <xdr:nvSpPr>
        <xdr:cNvPr id="157" name="left 156"/>
        <xdr:cNvSpPr/>
      </xdr:nvSpPr>
      <xdr:spPr>
        <a:xfrm>
          <a:off x="2781300" y="18161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3187700</xdr:colOff>
      <xdr:row>10</xdr:row>
      <xdr:rowOff>139700</xdr:rowOff>
    </xdr:from>
    <xdr:to>
      <xdr:col>0</xdr:col>
      <xdr:colOff>3327400</xdr:colOff>
      <xdr:row>11</xdr:row>
      <xdr:rowOff>162560</xdr:rowOff>
    </xdr:to>
    <xdr:sp macro="" textlink="">
      <xdr:nvSpPr>
        <xdr:cNvPr id="158" name="right 157"/>
        <xdr:cNvSpPr/>
      </xdr:nvSpPr>
      <xdr:spPr>
        <a:xfrm>
          <a:off x="3187700" y="18161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3365500</xdr:colOff>
      <xdr:row>8</xdr:row>
      <xdr:rowOff>5080</xdr:rowOff>
    </xdr:from>
    <xdr:to>
      <xdr:col>0</xdr:col>
      <xdr:colOff>4038600</xdr:colOff>
      <xdr:row>12</xdr:row>
      <xdr:rowOff>7620</xdr:rowOff>
    </xdr:to>
    <xdr:sp macro="" textlink="">
      <xdr:nvSpPr>
        <xdr:cNvPr id="159" name="outline 158"/>
        <xdr:cNvSpPr/>
      </xdr:nvSpPr>
      <xdr:spPr>
        <a:xfrm>
          <a:off x="3365500" y="1346200"/>
          <a:ext cx="673100" cy="673100"/>
        </a:xfrm>
        <a:prstGeom prst="rect">
          <a:avLst/>
        </a:prstGeom>
        <a:solidFill>
          <a:srgbClr val="FFA3C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3530600</xdr:colOff>
      <xdr:row>8</xdr:row>
      <xdr:rowOff>43180</xdr:rowOff>
    </xdr:from>
    <xdr:to>
      <xdr:col>0</xdr:col>
      <xdr:colOff>4025900</xdr:colOff>
      <xdr:row>10</xdr:row>
      <xdr:rowOff>127000</xdr:rowOff>
    </xdr:to>
    <xdr:sp macro="" textlink="">
      <xdr:nvSpPr>
        <xdr:cNvPr id="160" name="flag 159"/>
        <xdr:cNvSpPr/>
      </xdr:nvSpPr>
      <xdr:spPr>
        <a:xfrm>
          <a:off x="3530600" y="1384300"/>
          <a:ext cx="495300" cy="419100"/>
        </a:xfrm>
        <a:prstGeom prst="rect">
          <a:avLst/>
        </a:prstGeom>
        <a:solidFill>
          <a:srgbClr val="FFA3C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5</a:t>
          </a:r>
        </a:p>
      </xdr:txBody>
    </xdr:sp>
    <xdr:clientData/>
  </xdr:twoCellAnchor>
  <xdr:twoCellAnchor editAs="absolute">
    <xdr:from>
      <xdr:col>0</xdr:col>
      <xdr:colOff>3378200</xdr:colOff>
      <xdr:row>8</xdr:row>
      <xdr:rowOff>17780</xdr:rowOff>
    </xdr:from>
    <xdr:to>
      <xdr:col>0</xdr:col>
      <xdr:colOff>3517900</xdr:colOff>
      <xdr:row>10</xdr:row>
      <xdr:rowOff>152400</xdr:rowOff>
    </xdr:to>
    <xdr:sp macro="" textlink="">
      <xdr:nvSpPr>
        <xdr:cNvPr id="161" name="name 160"/>
        <xdr:cNvSpPr/>
      </xdr:nvSpPr>
      <xdr:spPr>
        <a:xfrm>
          <a:off x="3378200" y="1358900"/>
          <a:ext cx="139700" cy="469900"/>
        </a:xfrm>
        <a:prstGeom prst="rect">
          <a:avLst/>
        </a:prstGeom>
        <a:solidFill>
          <a:srgbClr val="FF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Leith</a:t>
          </a:r>
        </a:p>
      </xdr:txBody>
    </xdr:sp>
    <xdr:clientData/>
  </xdr:twoCellAnchor>
  <xdr:twoCellAnchor editAs="absolute">
    <xdr:from>
      <xdr:col>0</xdr:col>
      <xdr:colOff>3454400</xdr:colOff>
      <xdr:row>10</xdr:row>
      <xdr:rowOff>139700</xdr:rowOff>
    </xdr:from>
    <xdr:to>
      <xdr:col>0</xdr:col>
      <xdr:colOff>3594100</xdr:colOff>
      <xdr:row>11</xdr:row>
      <xdr:rowOff>162560</xdr:rowOff>
    </xdr:to>
    <xdr:sp macro="" textlink="">
      <xdr:nvSpPr>
        <xdr:cNvPr id="162" name="left 161"/>
        <xdr:cNvSpPr/>
      </xdr:nvSpPr>
      <xdr:spPr>
        <a:xfrm>
          <a:off x="3454400" y="18161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3860800</xdr:colOff>
      <xdr:row>10</xdr:row>
      <xdr:rowOff>139700</xdr:rowOff>
    </xdr:from>
    <xdr:to>
      <xdr:col>0</xdr:col>
      <xdr:colOff>4000500</xdr:colOff>
      <xdr:row>11</xdr:row>
      <xdr:rowOff>162560</xdr:rowOff>
    </xdr:to>
    <xdr:sp macro="" textlink="">
      <xdr:nvSpPr>
        <xdr:cNvPr id="163" name="right 162"/>
        <xdr:cNvSpPr/>
      </xdr:nvSpPr>
      <xdr:spPr>
        <a:xfrm>
          <a:off x="3860800" y="18161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4038600</xdr:colOff>
      <xdr:row>8</xdr:row>
      <xdr:rowOff>5080</xdr:rowOff>
    </xdr:from>
    <xdr:to>
      <xdr:col>0</xdr:col>
      <xdr:colOff>4711700</xdr:colOff>
      <xdr:row>12</xdr:row>
      <xdr:rowOff>7620</xdr:rowOff>
    </xdr:to>
    <xdr:sp macro="" textlink="">
      <xdr:nvSpPr>
        <xdr:cNvPr id="164" name="outline 163"/>
        <xdr:cNvSpPr/>
      </xdr:nvSpPr>
      <xdr:spPr>
        <a:xfrm>
          <a:off x="4038600" y="1346200"/>
          <a:ext cx="673100" cy="673100"/>
        </a:xfrm>
        <a:prstGeom prst="rect">
          <a:avLst/>
        </a:prstGeom>
        <a:solidFill>
          <a:srgbClr val="FFC0CB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4051300</xdr:colOff>
      <xdr:row>8</xdr:row>
      <xdr:rowOff>17780</xdr:rowOff>
    </xdr:from>
    <xdr:to>
      <xdr:col>0</xdr:col>
      <xdr:colOff>4699000</xdr:colOff>
      <xdr:row>8</xdr:row>
      <xdr:rowOff>157480</xdr:rowOff>
    </xdr:to>
    <xdr:sp macro="" textlink="">
      <xdr:nvSpPr>
        <xdr:cNvPr id="165" name="name 164"/>
        <xdr:cNvSpPr/>
      </xdr:nvSpPr>
      <xdr:spPr>
        <a:xfrm>
          <a:off x="4051300" y="1358900"/>
          <a:ext cx="647700" cy="139700"/>
        </a:xfrm>
        <a:prstGeom prst="rect">
          <a:avLst/>
        </a:prstGeom>
        <a:solidFill>
          <a:srgbClr val="FF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Greville</a:t>
          </a:r>
        </a:p>
      </xdr:txBody>
    </xdr:sp>
    <xdr:clientData/>
  </xdr:twoCellAnchor>
  <xdr:twoCellAnchor editAs="absolute">
    <xdr:from>
      <xdr:col>0</xdr:col>
      <xdr:colOff>4254500</xdr:colOff>
      <xdr:row>9</xdr:row>
      <xdr:rowOff>2540</xdr:rowOff>
    </xdr:from>
    <xdr:to>
      <xdr:col>0</xdr:col>
      <xdr:colOff>4622800</xdr:colOff>
      <xdr:row>11</xdr:row>
      <xdr:rowOff>86360</xdr:rowOff>
    </xdr:to>
    <xdr:pic>
      <xdr:nvPicPr>
        <xdr:cNvPr id="166" name="symbol 16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4500" y="1511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4102100</xdr:colOff>
      <xdr:row>10</xdr:row>
      <xdr:rowOff>139700</xdr:rowOff>
    </xdr:from>
    <xdr:to>
      <xdr:col>0</xdr:col>
      <xdr:colOff>4267200</xdr:colOff>
      <xdr:row>11</xdr:row>
      <xdr:rowOff>162560</xdr:rowOff>
    </xdr:to>
    <xdr:sp macro="" textlink="">
      <xdr:nvSpPr>
        <xdr:cNvPr id="167" name="fleft 166"/>
        <xdr:cNvSpPr/>
      </xdr:nvSpPr>
      <xdr:spPr>
        <a:xfrm>
          <a:off x="41021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4406900</xdr:colOff>
      <xdr:row>10</xdr:row>
      <xdr:rowOff>139700</xdr:rowOff>
    </xdr:from>
    <xdr:to>
      <xdr:col>0</xdr:col>
      <xdr:colOff>4546600</xdr:colOff>
      <xdr:row>11</xdr:row>
      <xdr:rowOff>162560</xdr:rowOff>
    </xdr:to>
    <xdr:sp macro="" textlink="">
      <xdr:nvSpPr>
        <xdr:cNvPr id="168" name="fmiddle 167"/>
        <xdr:cNvSpPr/>
      </xdr:nvSpPr>
      <xdr:spPr>
        <a:xfrm>
          <a:off x="44069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4533900</xdr:colOff>
      <xdr:row>10</xdr:row>
      <xdr:rowOff>139700</xdr:rowOff>
    </xdr:from>
    <xdr:to>
      <xdr:col>0</xdr:col>
      <xdr:colOff>4699000</xdr:colOff>
      <xdr:row>11</xdr:row>
      <xdr:rowOff>162560</xdr:rowOff>
    </xdr:to>
    <xdr:sp macro="" textlink="">
      <xdr:nvSpPr>
        <xdr:cNvPr id="169" name="fright 168"/>
        <xdr:cNvSpPr/>
      </xdr:nvSpPr>
      <xdr:spPr>
        <a:xfrm>
          <a:off x="45339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4559300</xdr:colOff>
      <xdr:row>9</xdr:row>
      <xdr:rowOff>53340</xdr:rowOff>
    </xdr:from>
    <xdr:to>
      <xdr:col>0</xdr:col>
      <xdr:colOff>4699000</xdr:colOff>
      <xdr:row>10</xdr:row>
      <xdr:rowOff>50800</xdr:rowOff>
    </xdr:to>
    <xdr:sp macro="" textlink="">
      <xdr:nvSpPr>
        <xdr:cNvPr id="170" name="eng 169"/>
        <xdr:cNvSpPr/>
      </xdr:nvSpPr>
      <xdr:spPr>
        <a:xfrm>
          <a:off x="4559300" y="15621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4711700</xdr:colOff>
      <xdr:row>8</xdr:row>
      <xdr:rowOff>5080</xdr:rowOff>
    </xdr:from>
    <xdr:to>
      <xdr:col>0</xdr:col>
      <xdr:colOff>5384800</xdr:colOff>
      <xdr:row>12</xdr:row>
      <xdr:rowOff>7620</xdr:rowOff>
    </xdr:to>
    <xdr:sp macro="" textlink="">
      <xdr:nvSpPr>
        <xdr:cNvPr id="171" name="outline 170"/>
        <xdr:cNvSpPr/>
      </xdr:nvSpPr>
      <xdr:spPr>
        <a:xfrm>
          <a:off x="4711700" y="1346200"/>
          <a:ext cx="673100" cy="673100"/>
        </a:xfrm>
        <a:prstGeom prst="rect">
          <a:avLst/>
        </a:prstGeom>
        <a:solidFill>
          <a:srgbClr val="FFC0CB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4724400</xdr:colOff>
      <xdr:row>8</xdr:row>
      <xdr:rowOff>17780</xdr:rowOff>
    </xdr:from>
    <xdr:to>
      <xdr:col>0</xdr:col>
      <xdr:colOff>5372100</xdr:colOff>
      <xdr:row>8</xdr:row>
      <xdr:rowOff>157480</xdr:rowOff>
    </xdr:to>
    <xdr:sp macro="" textlink="">
      <xdr:nvSpPr>
        <xdr:cNvPr id="172" name="name 171"/>
        <xdr:cNvSpPr/>
      </xdr:nvSpPr>
      <xdr:spPr>
        <a:xfrm>
          <a:off x="4724400" y="1358900"/>
          <a:ext cx="647700" cy="139700"/>
        </a:xfrm>
        <a:prstGeom prst="rect">
          <a:avLst/>
        </a:prstGeom>
        <a:solidFill>
          <a:srgbClr val="FF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Pringle</a:t>
          </a:r>
        </a:p>
      </xdr:txBody>
    </xdr:sp>
    <xdr:clientData/>
  </xdr:twoCellAnchor>
  <xdr:twoCellAnchor editAs="absolute">
    <xdr:from>
      <xdr:col>0</xdr:col>
      <xdr:colOff>4927600</xdr:colOff>
      <xdr:row>9</xdr:row>
      <xdr:rowOff>2540</xdr:rowOff>
    </xdr:from>
    <xdr:to>
      <xdr:col>0</xdr:col>
      <xdr:colOff>5295900</xdr:colOff>
      <xdr:row>11</xdr:row>
      <xdr:rowOff>86360</xdr:rowOff>
    </xdr:to>
    <xdr:pic>
      <xdr:nvPicPr>
        <xdr:cNvPr id="173" name="symbol 17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7600" y="1511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4775200</xdr:colOff>
      <xdr:row>10</xdr:row>
      <xdr:rowOff>139700</xdr:rowOff>
    </xdr:from>
    <xdr:to>
      <xdr:col>0</xdr:col>
      <xdr:colOff>4940300</xdr:colOff>
      <xdr:row>11</xdr:row>
      <xdr:rowOff>162560</xdr:rowOff>
    </xdr:to>
    <xdr:sp macro="" textlink="">
      <xdr:nvSpPr>
        <xdr:cNvPr id="174" name="fleft 173"/>
        <xdr:cNvSpPr/>
      </xdr:nvSpPr>
      <xdr:spPr>
        <a:xfrm>
          <a:off x="47752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5080000</xdr:colOff>
      <xdr:row>10</xdr:row>
      <xdr:rowOff>139700</xdr:rowOff>
    </xdr:from>
    <xdr:to>
      <xdr:col>0</xdr:col>
      <xdr:colOff>5219700</xdr:colOff>
      <xdr:row>11</xdr:row>
      <xdr:rowOff>162560</xdr:rowOff>
    </xdr:to>
    <xdr:sp macro="" textlink="">
      <xdr:nvSpPr>
        <xdr:cNvPr id="175" name="fmiddle 174"/>
        <xdr:cNvSpPr/>
      </xdr:nvSpPr>
      <xdr:spPr>
        <a:xfrm>
          <a:off x="50800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5207000</xdr:colOff>
      <xdr:row>10</xdr:row>
      <xdr:rowOff>139700</xdr:rowOff>
    </xdr:from>
    <xdr:to>
      <xdr:col>0</xdr:col>
      <xdr:colOff>5372100</xdr:colOff>
      <xdr:row>11</xdr:row>
      <xdr:rowOff>162560</xdr:rowOff>
    </xdr:to>
    <xdr:sp macro="" textlink="">
      <xdr:nvSpPr>
        <xdr:cNvPr id="176" name="fright 175"/>
        <xdr:cNvSpPr/>
      </xdr:nvSpPr>
      <xdr:spPr>
        <a:xfrm>
          <a:off x="52070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5232400</xdr:colOff>
      <xdr:row>9</xdr:row>
      <xdr:rowOff>53340</xdr:rowOff>
    </xdr:from>
    <xdr:to>
      <xdr:col>0</xdr:col>
      <xdr:colOff>5372100</xdr:colOff>
      <xdr:row>10</xdr:row>
      <xdr:rowOff>50800</xdr:rowOff>
    </xdr:to>
    <xdr:sp macro="" textlink="">
      <xdr:nvSpPr>
        <xdr:cNvPr id="177" name="eng 176"/>
        <xdr:cNvSpPr/>
      </xdr:nvSpPr>
      <xdr:spPr>
        <a:xfrm>
          <a:off x="5232400" y="15621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5384800</xdr:colOff>
      <xdr:row>8</xdr:row>
      <xdr:rowOff>5080</xdr:rowOff>
    </xdr:from>
    <xdr:to>
      <xdr:col>0</xdr:col>
      <xdr:colOff>6057900</xdr:colOff>
      <xdr:row>12</xdr:row>
      <xdr:rowOff>7620</xdr:rowOff>
    </xdr:to>
    <xdr:sp macro="" textlink="">
      <xdr:nvSpPr>
        <xdr:cNvPr id="178" name="outline 177"/>
        <xdr:cNvSpPr/>
      </xdr:nvSpPr>
      <xdr:spPr>
        <a:xfrm>
          <a:off x="5384800" y="1346200"/>
          <a:ext cx="673100" cy="673100"/>
        </a:xfrm>
        <a:prstGeom prst="rect">
          <a:avLst/>
        </a:prstGeom>
        <a:solidFill>
          <a:srgbClr val="FFA5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5397500</xdr:colOff>
      <xdr:row>8</xdr:row>
      <xdr:rowOff>17780</xdr:rowOff>
    </xdr:from>
    <xdr:to>
      <xdr:col>0</xdr:col>
      <xdr:colOff>6045200</xdr:colOff>
      <xdr:row>8</xdr:row>
      <xdr:rowOff>157480</xdr:rowOff>
    </xdr:to>
    <xdr:sp macro="" textlink="">
      <xdr:nvSpPr>
        <xdr:cNvPr id="179" name="name 178"/>
        <xdr:cNvSpPr/>
      </xdr:nvSpPr>
      <xdr:spPr>
        <a:xfrm>
          <a:off x="5397500" y="1358900"/>
          <a:ext cx="647700" cy="139700"/>
        </a:xfrm>
        <a:prstGeom prst="rect">
          <a:avLst/>
        </a:prstGeom>
        <a:solidFill>
          <a:srgbClr val="FF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Spry</a:t>
          </a:r>
        </a:p>
      </xdr:txBody>
    </xdr:sp>
    <xdr:clientData/>
  </xdr:twoCellAnchor>
  <xdr:twoCellAnchor editAs="absolute">
    <xdr:from>
      <xdr:col>0</xdr:col>
      <xdr:colOff>5600700</xdr:colOff>
      <xdr:row>9</xdr:row>
      <xdr:rowOff>2540</xdr:rowOff>
    </xdr:from>
    <xdr:to>
      <xdr:col>0</xdr:col>
      <xdr:colOff>5969000</xdr:colOff>
      <xdr:row>11</xdr:row>
      <xdr:rowOff>86360</xdr:rowOff>
    </xdr:to>
    <xdr:pic>
      <xdr:nvPicPr>
        <xdr:cNvPr id="180" name="symbol 17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1511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5448300</xdr:colOff>
      <xdr:row>10</xdr:row>
      <xdr:rowOff>139700</xdr:rowOff>
    </xdr:from>
    <xdr:to>
      <xdr:col>0</xdr:col>
      <xdr:colOff>5613400</xdr:colOff>
      <xdr:row>11</xdr:row>
      <xdr:rowOff>162560</xdr:rowOff>
    </xdr:to>
    <xdr:sp macro="" textlink="">
      <xdr:nvSpPr>
        <xdr:cNvPr id="181" name="fleft 180"/>
        <xdr:cNvSpPr/>
      </xdr:nvSpPr>
      <xdr:spPr>
        <a:xfrm>
          <a:off x="54483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5753100</xdr:colOff>
      <xdr:row>10</xdr:row>
      <xdr:rowOff>139700</xdr:rowOff>
    </xdr:from>
    <xdr:to>
      <xdr:col>0</xdr:col>
      <xdr:colOff>5892800</xdr:colOff>
      <xdr:row>11</xdr:row>
      <xdr:rowOff>162560</xdr:rowOff>
    </xdr:to>
    <xdr:sp macro="" textlink="">
      <xdr:nvSpPr>
        <xdr:cNvPr id="182" name="fmiddle 181"/>
        <xdr:cNvSpPr/>
      </xdr:nvSpPr>
      <xdr:spPr>
        <a:xfrm>
          <a:off x="57531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5880100</xdr:colOff>
      <xdr:row>10</xdr:row>
      <xdr:rowOff>139700</xdr:rowOff>
    </xdr:from>
    <xdr:to>
      <xdr:col>0</xdr:col>
      <xdr:colOff>6045200</xdr:colOff>
      <xdr:row>11</xdr:row>
      <xdr:rowOff>162560</xdr:rowOff>
    </xdr:to>
    <xdr:sp macro="" textlink="">
      <xdr:nvSpPr>
        <xdr:cNvPr id="183" name="fright 182"/>
        <xdr:cNvSpPr/>
      </xdr:nvSpPr>
      <xdr:spPr>
        <a:xfrm>
          <a:off x="58801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5905500</xdr:colOff>
      <xdr:row>9</xdr:row>
      <xdr:rowOff>53340</xdr:rowOff>
    </xdr:from>
    <xdr:to>
      <xdr:col>0</xdr:col>
      <xdr:colOff>6045200</xdr:colOff>
      <xdr:row>10</xdr:row>
      <xdr:rowOff>50800</xdr:rowOff>
    </xdr:to>
    <xdr:sp macro="" textlink="">
      <xdr:nvSpPr>
        <xdr:cNvPr id="184" name="eng 183"/>
        <xdr:cNvSpPr/>
      </xdr:nvSpPr>
      <xdr:spPr>
        <a:xfrm>
          <a:off x="5905500" y="15621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6057900</xdr:colOff>
      <xdr:row>8</xdr:row>
      <xdr:rowOff>5080</xdr:rowOff>
    </xdr:from>
    <xdr:to>
      <xdr:col>0</xdr:col>
      <xdr:colOff>6731000</xdr:colOff>
      <xdr:row>12</xdr:row>
      <xdr:rowOff>7620</xdr:rowOff>
    </xdr:to>
    <xdr:sp macro="" textlink="">
      <xdr:nvSpPr>
        <xdr:cNvPr id="185" name="outline 184"/>
        <xdr:cNvSpPr/>
      </xdr:nvSpPr>
      <xdr:spPr>
        <a:xfrm>
          <a:off x="6057900" y="1346200"/>
          <a:ext cx="673100" cy="673100"/>
        </a:xfrm>
        <a:prstGeom prst="rect">
          <a:avLst/>
        </a:prstGeom>
        <a:solidFill>
          <a:srgbClr val="FFC0CB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6273800</xdr:colOff>
      <xdr:row>8</xdr:row>
      <xdr:rowOff>17780</xdr:rowOff>
    </xdr:from>
    <xdr:to>
      <xdr:col>0</xdr:col>
      <xdr:colOff>6718300</xdr:colOff>
      <xdr:row>8</xdr:row>
      <xdr:rowOff>157480</xdr:rowOff>
    </xdr:to>
    <xdr:sp macro="" textlink="">
      <xdr:nvSpPr>
        <xdr:cNvPr id="186" name="name 185"/>
        <xdr:cNvSpPr/>
      </xdr:nvSpPr>
      <xdr:spPr>
        <a:xfrm>
          <a:off x="6273800" y="1358900"/>
          <a:ext cx="444500" cy="139700"/>
        </a:xfrm>
        <a:prstGeom prst="rect">
          <a:avLst/>
        </a:prstGeom>
        <a:solidFill>
          <a:srgbClr val="FF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Lawson</a:t>
          </a:r>
        </a:p>
      </xdr:txBody>
    </xdr:sp>
    <xdr:clientData/>
  </xdr:twoCellAnchor>
  <xdr:twoCellAnchor editAs="absolute">
    <xdr:from>
      <xdr:col>0</xdr:col>
      <xdr:colOff>6146800</xdr:colOff>
      <xdr:row>9</xdr:row>
      <xdr:rowOff>27940</xdr:rowOff>
    </xdr:from>
    <xdr:to>
      <xdr:col>0</xdr:col>
      <xdr:colOff>6642100</xdr:colOff>
      <xdr:row>10</xdr:row>
      <xdr:rowOff>152400</xdr:rowOff>
    </xdr:to>
    <xdr:pic>
      <xdr:nvPicPr>
        <xdr:cNvPr id="187" name="symbol 186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46800" y="15367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6121400</xdr:colOff>
      <xdr:row>10</xdr:row>
      <xdr:rowOff>139700</xdr:rowOff>
    </xdr:from>
    <xdr:to>
      <xdr:col>0</xdr:col>
      <xdr:colOff>6311900</xdr:colOff>
      <xdr:row>11</xdr:row>
      <xdr:rowOff>137160</xdr:rowOff>
    </xdr:to>
    <xdr:sp macro="" textlink="">
      <xdr:nvSpPr>
        <xdr:cNvPr id="188" name="fleft 187"/>
        <xdr:cNvSpPr/>
      </xdr:nvSpPr>
      <xdr:spPr>
        <a:xfrm>
          <a:off x="6121400" y="18161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(3)</a:t>
          </a:r>
        </a:p>
      </xdr:txBody>
    </xdr:sp>
    <xdr:clientData/>
  </xdr:twoCellAnchor>
  <xdr:twoCellAnchor editAs="absolute">
    <xdr:from>
      <xdr:col>0</xdr:col>
      <xdr:colOff>6350000</xdr:colOff>
      <xdr:row>10</xdr:row>
      <xdr:rowOff>139700</xdr:rowOff>
    </xdr:from>
    <xdr:to>
      <xdr:col>0</xdr:col>
      <xdr:colOff>6489700</xdr:colOff>
      <xdr:row>11</xdr:row>
      <xdr:rowOff>162560</xdr:rowOff>
    </xdr:to>
    <xdr:sp macro="" textlink="">
      <xdr:nvSpPr>
        <xdr:cNvPr id="189" name="fmiddle 188"/>
        <xdr:cNvSpPr/>
      </xdr:nvSpPr>
      <xdr:spPr>
        <a:xfrm>
          <a:off x="63500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6527800</xdr:colOff>
      <xdr:row>10</xdr:row>
      <xdr:rowOff>139700</xdr:rowOff>
    </xdr:from>
    <xdr:to>
      <xdr:col>0</xdr:col>
      <xdr:colOff>6692900</xdr:colOff>
      <xdr:row>11</xdr:row>
      <xdr:rowOff>162560</xdr:rowOff>
    </xdr:to>
    <xdr:sp macro="" textlink="">
      <xdr:nvSpPr>
        <xdr:cNvPr id="190" name="fright 189"/>
        <xdr:cNvSpPr/>
      </xdr:nvSpPr>
      <xdr:spPr>
        <a:xfrm>
          <a:off x="65278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6070600</xdr:colOff>
      <xdr:row>8</xdr:row>
      <xdr:rowOff>17780</xdr:rowOff>
    </xdr:from>
    <xdr:to>
      <xdr:col>0</xdr:col>
      <xdr:colOff>6261100</xdr:colOff>
      <xdr:row>8</xdr:row>
      <xdr:rowOff>132080</xdr:rowOff>
    </xdr:to>
    <xdr:sp macro="" textlink="">
      <xdr:nvSpPr>
        <xdr:cNvPr id="191" name="eng 190"/>
        <xdr:cNvSpPr/>
      </xdr:nvSpPr>
      <xdr:spPr>
        <a:xfrm>
          <a:off x="6070600" y="13589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2-4</a:t>
          </a:r>
        </a:p>
      </xdr:txBody>
    </xdr:sp>
    <xdr:clientData/>
  </xdr:twoCellAnchor>
  <xdr:twoCellAnchor editAs="absolute">
    <xdr:from>
      <xdr:col>0</xdr:col>
      <xdr:colOff>0</xdr:colOff>
      <xdr:row>12</xdr:row>
      <xdr:rowOff>7620</xdr:rowOff>
    </xdr:from>
    <xdr:to>
      <xdr:col>0</xdr:col>
      <xdr:colOff>673100</xdr:colOff>
      <xdr:row>16</xdr:row>
      <xdr:rowOff>10160</xdr:rowOff>
    </xdr:to>
    <xdr:sp macro="" textlink="">
      <xdr:nvSpPr>
        <xdr:cNvPr id="192" name="outline 191"/>
        <xdr:cNvSpPr/>
      </xdr:nvSpPr>
      <xdr:spPr>
        <a:xfrm>
          <a:off x="0" y="2019300"/>
          <a:ext cx="673100" cy="673100"/>
        </a:xfrm>
        <a:prstGeom prst="rect">
          <a:avLst/>
        </a:prstGeom>
        <a:solidFill>
          <a:srgbClr val="FFA3C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165100</xdr:colOff>
      <xdr:row>12</xdr:row>
      <xdr:rowOff>45720</xdr:rowOff>
    </xdr:from>
    <xdr:to>
      <xdr:col>0</xdr:col>
      <xdr:colOff>660400</xdr:colOff>
      <xdr:row>14</xdr:row>
      <xdr:rowOff>129540</xdr:rowOff>
    </xdr:to>
    <xdr:sp macro="" textlink="">
      <xdr:nvSpPr>
        <xdr:cNvPr id="193" name="flag 192"/>
        <xdr:cNvSpPr/>
      </xdr:nvSpPr>
      <xdr:spPr>
        <a:xfrm>
          <a:off x="165100" y="2057400"/>
          <a:ext cx="495300" cy="419100"/>
        </a:xfrm>
        <a:prstGeom prst="rect">
          <a:avLst/>
        </a:prstGeom>
        <a:solidFill>
          <a:srgbClr val="FFA3C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6</a:t>
          </a:r>
        </a:p>
      </xdr:txBody>
    </xdr:sp>
    <xdr:clientData/>
  </xdr:twoCellAnchor>
  <xdr:twoCellAnchor editAs="absolute">
    <xdr:from>
      <xdr:col>0</xdr:col>
      <xdr:colOff>12700</xdr:colOff>
      <xdr:row>12</xdr:row>
      <xdr:rowOff>20320</xdr:rowOff>
    </xdr:from>
    <xdr:to>
      <xdr:col>0</xdr:col>
      <xdr:colOff>152400</xdr:colOff>
      <xdr:row>14</xdr:row>
      <xdr:rowOff>154940</xdr:rowOff>
    </xdr:to>
    <xdr:sp macro="" textlink="">
      <xdr:nvSpPr>
        <xdr:cNvPr id="194" name="name 193"/>
        <xdr:cNvSpPr/>
      </xdr:nvSpPr>
      <xdr:spPr>
        <a:xfrm>
          <a:off x="12700" y="2032000"/>
          <a:ext cx="139700" cy="469900"/>
        </a:xfrm>
        <a:prstGeom prst="rect">
          <a:avLst/>
        </a:prstGeom>
        <a:solidFill>
          <a:srgbClr val="A52A2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Clinton</a:t>
          </a:r>
        </a:p>
      </xdr:txBody>
    </xdr:sp>
    <xdr:clientData/>
  </xdr:twoCellAnchor>
  <xdr:twoCellAnchor editAs="absolute">
    <xdr:from>
      <xdr:col>0</xdr:col>
      <xdr:colOff>88900</xdr:colOff>
      <xdr:row>14</xdr:row>
      <xdr:rowOff>142240</xdr:rowOff>
    </xdr:from>
    <xdr:to>
      <xdr:col>0</xdr:col>
      <xdr:colOff>228600</xdr:colOff>
      <xdr:row>15</xdr:row>
      <xdr:rowOff>165100</xdr:rowOff>
    </xdr:to>
    <xdr:sp macro="" textlink="">
      <xdr:nvSpPr>
        <xdr:cNvPr id="195" name="left 194"/>
        <xdr:cNvSpPr/>
      </xdr:nvSpPr>
      <xdr:spPr>
        <a:xfrm>
          <a:off x="88900" y="2489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495300</xdr:colOff>
      <xdr:row>14</xdr:row>
      <xdr:rowOff>142240</xdr:rowOff>
    </xdr:from>
    <xdr:to>
      <xdr:col>0</xdr:col>
      <xdr:colOff>635000</xdr:colOff>
      <xdr:row>15</xdr:row>
      <xdr:rowOff>165100</xdr:rowOff>
    </xdr:to>
    <xdr:sp macro="" textlink="">
      <xdr:nvSpPr>
        <xdr:cNvPr id="196" name="right 195"/>
        <xdr:cNvSpPr/>
      </xdr:nvSpPr>
      <xdr:spPr>
        <a:xfrm>
          <a:off x="495300" y="2489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673100</xdr:colOff>
      <xdr:row>12</xdr:row>
      <xdr:rowOff>7620</xdr:rowOff>
    </xdr:from>
    <xdr:to>
      <xdr:col>0</xdr:col>
      <xdr:colOff>1346200</xdr:colOff>
      <xdr:row>16</xdr:row>
      <xdr:rowOff>10160</xdr:rowOff>
    </xdr:to>
    <xdr:sp macro="" textlink="">
      <xdr:nvSpPr>
        <xdr:cNvPr id="197" name="outline 196"/>
        <xdr:cNvSpPr/>
      </xdr:nvSpPr>
      <xdr:spPr>
        <a:xfrm>
          <a:off x="673100" y="2019300"/>
          <a:ext cx="673100" cy="673100"/>
        </a:xfrm>
        <a:prstGeom prst="rect">
          <a:avLst/>
        </a:prstGeom>
        <a:solidFill>
          <a:srgbClr val="FFA3C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838200</xdr:colOff>
      <xdr:row>12</xdr:row>
      <xdr:rowOff>45720</xdr:rowOff>
    </xdr:from>
    <xdr:to>
      <xdr:col>0</xdr:col>
      <xdr:colOff>1333500</xdr:colOff>
      <xdr:row>14</xdr:row>
      <xdr:rowOff>129540</xdr:rowOff>
    </xdr:to>
    <xdr:sp macro="" textlink="">
      <xdr:nvSpPr>
        <xdr:cNvPr id="198" name="flag 197"/>
        <xdr:cNvSpPr/>
      </xdr:nvSpPr>
      <xdr:spPr>
        <a:xfrm>
          <a:off x="838200" y="2057400"/>
          <a:ext cx="495300" cy="419100"/>
        </a:xfrm>
        <a:prstGeom prst="rect">
          <a:avLst/>
        </a:prstGeom>
        <a:solidFill>
          <a:srgbClr val="FFA3C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6</a:t>
          </a:r>
        </a:p>
      </xdr:txBody>
    </xdr:sp>
    <xdr:clientData/>
  </xdr:twoCellAnchor>
  <xdr:twoCellAnchor editAs="absolute">
    <xdr:from>
      <xdr:col>0</xdr:col>
      <xdr:colOff>685800</xdr:colOff>
      <xdr:row>12</xdr:row>
      <xdr:rowOff>20320</xdr:rowOff>
    </xdr:from>
    <xdr:to>
      <xdr:col>0</xdr:col>
      <xdr:colOff>825500</xdr:colOff>
      <xdr:row>14</xdr:row>
      <xdr:rowOff>154940</xdr:rowOff>
    </xdr:to>
    <xdr:sp macro="" textlink="">
      <xdr:nvSpPr>
        <xdr:cNvPr id="199" name="name 198"/>
        <xdr:cNvSpPr/>
      </xdr:nvSpPr>
      <xdr:spPr>
        <a:xfrm>
          <a:off x="685800" y="2032000"/>
          <a:ext cx="139700" cy="469900"/>
        </a:xfrm>
        <a:prstGeom prst="rect">
          <a:avLst/>
        </a:prstGeom>
        <a:solidFill>
          <a:srgbClr val="A52A2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Clinton</a:t>
          </a:r>
        </a:p>
      </xdr:txBody>
    </xdr:sp>
    <xdr:clientData/>
  </xdr:twoCellAnchor>
  <xdr:twoCellAnchor editAs="absolute">
    <xdr:from>
      <xdr:col>0</xdr:col>
      <xdr:colOff>762000</xdr:colOff>
      <xdr:row>14</xdr:row>
      <xdr:rowOff>142240</xdr:rowOff>
    </xdr:from>
    <xdr:to>
      <xdr:col>0</xdr:col>
      <xdr:colOff>901700</xdr:colOff>
      <xdr:row>15</xdr:row>
      <xdr:rowOff>165100</xdr:rowOff>
    </xdr:to>
    <xdr:sp macro="" textlink="">
      <xdr:nvSpPr>
        <xdr:cNvPr id="200" name="left 199"/>
        <xdr:cNvSpPr/>
      </xdr:nvSpPr>
      <xdr:spPr>
        <a:xfrm>
          <a:off x="762000" y="2489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1168400</xdr:colOff>
      <xdr:row>14</xdr:row>
      <xdr:rowOff>142240</xdr:rowOff>
    </xdr:from>
    <xdr:to>
      <xdr:col>0</xdr:col>
      <xdr:colOff>1308100</xdr:colOff>
      <xdr:row>15</xdr:row>
      <xdr:rowOff>165100</xdr:rowOff>
    </xdr:to>
    <xdr:sp macro="" textlink="">
      <xdr:nvSpPr>
        <xdr:cNvPr id="201" name="right 200"/>
        <xdr:cNvSpPr/>
      </xdr:nvSpPr>
      <xdr:spPr>
        <a:xfrm>
          <a:off x="1168400" y="2489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1346200</xdr:colOff>
      <xdr:row>12</xdr:row>
      <xdr:rowOff>7620</xdr:rowOff>
    </xdr:from>
    <xdr:to>
      <xdr:col>0</xdr:col>
      <xdr:colOff>2019300</xdr:colOff>
      <xdr:row>16</xdr:row>
      <xdr:rowOff>10160</xdr:rowOff>
    </xdr:to>
    <xdr:sp macro="" textlink="">
      <xdr:nvSpPr>
        <xdr:cNvPr id="202" name="outline 201"/>
        <xdr:cNvSpPr/>
      </xdr:nvSpPr>
      <xdr:spPr>
        <a:xfrm>
          <a:off x="1346200" y="2019300"/>
          <a:ext cx="673100" cy="673100"/>
        </a:xfrm>
        <a:prstGeom prst="rect">
          <a:avLst/>
        </a:prstGeom>
        <a:solidFill>
          <a:srgbClr val="FFC0CB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1358900</xdr:colOff>
      <xdr:row>12</xdr:row>
      <xdr:rowOff>20320</xdr:rowOff>
    </xdr:from>
    <xdr:to>
      <xdr:col>0</xdr:col>
      <xdr:colOff>2006600</xdr:colOff>
      <xdr:row>12</xdr:row>
      <xdr:rowOff>160020</xdr:rowOff>
    </xdr:to>
    <xdr:sp macro="" textlink="">
      <xdr:nvSpPr>
        <xdr:cNvPr id="203" name="name 202"/>
        <xdr:cNvSpPr/>
      </xdr:nvSpPr>
      <xdr:spPr>
        <a:xfrm>
          <a:off x="1358900" y="2032000"/>
          <a:ext cx="647700" cy="139700"/>
        </a:xfrm>
        <a:prstGeom prst="rect">
          <a:avLst/>
        </a:prstGeom>
        <a:solidFill>
          <a:srgbClr val="A52A2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Hulse</a:t>
          </a:r>
        </a:p>
      </xdr:txBody>
    </xdr:sp>
    <xdr:clientData/>
  </xdr:twoCellAnchor>
  <xdr:twoCellAnchor editAs="absolute">
    <xdr:from>
      <xdr:col>0</xdr:col>
      <xdr:colOff>1562100</xdr:colOff>
      <xdr:row>13</xdr:row>
      <xdr:rowOff>5080</xdr:rowOff>
    </xdr:from>
    <xdr:to>
      <xdr:col>0</xdr:col>
      <xdr:colOff>1930400</xdr:colOff>
      <xdr:row>15</xdr:row>
      <xdr:rowOff>88900</xdr:rowOff>
    </xdr:to>
    <xdr:pic>
      <xdr:nvPicPr>
        <xdr:cNvPr id="204" name="symbol 20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0" y="21844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1409700</xdr:colOff>
      <xdr:row>14</xdr:row>
      <xdr:rowOff>142240</xdr:rowOff>
    </xdr:from>
    <xdr:to>
      <xdr:col>0</xdr:col>
      <xdr:colOff>1574800</xdr:colOff>
      <xdr:row>15</xdr:row>
      <xdr:rowOff>165100</xdr:rowOff>
    </xdr:to>
    <xdr:sp macro="" textlink="">
      <xdr:nvSpPr>
        <xdr:cNvPr id="205" name="fleft 204"/>
        <xdr:cNvSpPr/>
      </xdr:nvSpPr>
      <xdr:spPr>
        <a:xfrm>
          <a:off x="1409700" y="2489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1714500</xdr:colOff>
      <xdr:row>14</xdr:row>
      <xdr:rowOff>142240</xdr:rowOff>
    </xdr:from>
    <xdr:to>
      <xdr:col>0</xdr:col>
      <xdr:colOff>1854200</xdr:colOff>
      <xdr:row>15</xdr:row>
      <xdr:rowOff>165100</xdr:rowOff>
    </xdr:to>
    <xdr:sp macro="" textlink="">
      <xdr:nvSpPr>
        <xdr:cNvPr id="206" name="fmiddle 205"/>
        <xdr:cNvSpPr/>
      </xdr:nvSpPr>
      <xdr:spPr>
        <a:xfrm>
          <a:off x="1714500" y="24892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1841500</xdr:colOff>
      <xdr:row>14</xdr:row>
      <xdr:rowOff>142240</xdr:rowOff>
    </xdr:from>
    <xdr:to>
      <xdr:col>0</xdr:col>
      <xdr:colOff>2006600</xdr:colOff>
      <xdr:row>15</xdr:row>
      <xdr:rowOff>165100</xdr:rowOff>
    </xdr:to>
    <xdr:sp macro="" textlink="">
      <xdr:nvSpPr>
        <xdr:cNvPr id="207" name="fright 206"/>
        <xdr:cNvSpPr/>
      </xdr:nvSpPr>
      <xdr:spPr>
        <a:xfrm>
          <a:off x="1841500" y="2489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1866900</xdr:colOff>
      <xdr:row>13</xdr:row>
      <xdr:rowOff>55880</xdr:rowOff>
    </xdr:from>
    <xdr:to>
      <xdr:col>0</xdr:col>
      <xdr:colOff>2006600</xdr:colOff>
      <xdr:row>14</xdr:row>
      <xdr:rowOff>53340</xdr:rowOff>
    </xdr:to>
    <xdr:sp macro="" textlink="">
      <xdr:nvSpPr>
        <xdr:cNvPr id="208" name="eng 207"/>
        <xdr:cNvSpPr/>
      </xdr:nvSpPr>
      <xdr:spPr>
        <a:xfrm>
          <a:off x="1866900" y="22352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2019300</xdr:colOff>
      <xdr:row>12</xdr:row>
      <xdr:rowOff>7620</xdr:rowOff>
    </xdr:from>
    <xdr:to>
      <xdr:col>0</xdr:col>
      <xdr:colOff>2692400</xdr:colOff>
      <xdr:row>16</xdr:row>
      <xdr:rowOff>10160</xdr:rowOff>
    </xdr:to>
    <xdr:sp macro="" textlink="">
      <xdr:nvSpPr>
        <xdr:cNvPr id="209" name="outline 208"/>
        <xdr:cNvSpPr/>
      </xdr:nvSpPr>
      <xdr:spPr>
        <a:xfrm>
          <a:off x="2019300" y="2019300"/>
          <a:ext cx="673100" cy="673100"/>
        </a:xfrm>
        <a:prstGeom prst="rect">
          <a:avLst/>
        </a:prstGeom>
        <a:solidFill>
          <a:srgbClr val="FFC0CB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2032000</xdr:colOff>
      <xdr:row>12</xdr:row>
      <xdr:rowOff>20320</xdr:rowOff>
    </xdr:from>
    <xdr:to>
      <xdr:col>0</xdr:col>
      <xdr:colOff>2679700</xdr:colOff>
      <xdr:row>12</xdr:row>
      <xdr:rowOff>160020</xdr:rowOff>
    </xdr:to>
    <xdr:sp macro="" textlink="">
      <xdr:nvSpPr>
        <xdr:cNvPr id="210" name="name 209"/>
        <xdr:cNvSpPr/>
      </xdr:nvSpPr>
      <xdr:spPr>
        <a:xfrm>
          <a:off x="2032000" y="2032000"/>
          <a:ext cx="647700" cy="139700"/>
        </a:xfrm>
        <a:prstGeom prst="rect">
          <a:avLst/>
        </a:prstGeom>
        <a:solidFill>
          <a:srgbClr val="A52A2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Hinde</a:t>
          </a:r>
        </a:p>
      </xdr:txBody>
    </xdr:sp>
    <xdr:clientData/>
  </xdr:twoCellAnchor>
  <xdr:twoCellAnchor editAs="absolute">
    <xdr:from>
      <xdr:col>0</xdr:col>
      <xdr:colOff>2235200</xdr:colOff>
      <xdr:row>13</xdr:row>
      <xdr:rowOff>5080</xdr:rowOff>
    </xdr:from>
    <xdr:to>
      <xdr:col>0</xdr:col>
      <xdr:colOff>2603500</xdr:colOff>
      <xdr:row>15</xdr:row>
      <xdr:rowOff>88900</xdr:rowOff>
    </xdr:to>
    <xdr:pic>
      <xdr:nvPicPr>
        <xdr:cNvPr id="211" name="symbol 21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21844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2082800</xdr:colOff>
      <xdr:row>14</xdr:row>
      <xdr:rowOff>142240</xdr:rowOff>
    </xdr:from>
    <xdr:to>
      <xdr:col>0</xdr:col>
      <xdr:colOff>2247900</xdr:colOff>
      <xdr:row>15</xdr:row>
      <xdr:rowOff>165100</xdr:rowOff>
    </xdr:to>
    <xdr:sp macro="" textlink="">
      <xdr:nvSpPr>
        <xdr:cNvPr id="212" name="fleft 211"/>
        <xdr:cNvSpPr/>
      </xdr:nvSpPr>
      <xdr:spPr>
        <a:xfrm>
          <a:off x="2082800" y="2489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2387600</xdr:colOff>
      <xdr:row>14</xdr:row>
      <xdr:rowOff>142240</xdr:rowOff>
    </xdr:from>
    <xdr:to>
      <xdr:col>0</xdr:col>
      <xdr:colOff>2527300</xdr:colOff>
      <xdr:row>15</xdr:row>
      <xdr:rowOff>165100</xdr:rowOff>
    </xdr:to>
    <xdr:sp macro="" textlink="">
      <xdr:nvSpPr>
        <xdr:cNvPr id="213" name="fmiddle 212"/>
        <xdr:cNvSpPr/>
      </xdr:nvSpPr>
      <xdr:spPr>
        <a:xfrm>
          <a:off x="2387600" y="24892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2514600</xdr:colOff>
      <xdr:row>14</xdr:row>
      <xdr:rowOff>142240</xdr:rowOff>
    </xdr:from>
    <xdr:to>
      <xdr:col>0</xdr:col>
      <xdr:colOff>2679700</xdr:colOff>
      <xdr:row>15</xdr:row>
      <xdr:rowOff>165100</xdr:rowOff>
    </xdr:to>
    <xdr:sp macro="" textlink="">
      <xdr:nvSpPr>
        <xdr:cNvPr id="214" name="fright 213"/>
        <xdr:cNvSpPr/>
      </xdr:nvSpPr>
      <xdr:spPr>
        <a:xfrm>
          <a:off x="2514600" y="2489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2540000</xdr:colOff>
      <xdr:row>13</xdr:row>
      <xdr:rowOff>55880</xdr:rowOff>
    </xdr:from>
    <xdr:to>
      <xdr:col>0</xdr:col>
      <xdr:colOff>2679700</xdr:colOff>
      <xdr:row>14</xdr:row>
      <xdr:rowOff>53340</xdr:rowOff>
    </xdr:to>
    <xdr:sp macro="" textlink="">
      <xdr:nvSpPr>
        <xdr:cNvPr id="215" name="eng 214"/>
        <xdr:cNvSpPr/>
      </xdr:nvSpPr>
      <xdr:spPr>
        <a:xfrm>
          <a:off x="2540000" y="22352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2692400</xdr:colOff>
      <xdr:row>12</xdr:row>
      <xdr:rowOff>7620</xdr:rowOff>
    </xdr:from>
    <xdr:to>
      <xdr:col>0</xdr:col>
      <xdr:colOff>3365500</xdr:colOff>
      <xdr:row>16</xdr:row>
      <xdr:rowOff>10160</xdr:rowOff>
    </xdr:to>
    <xdr:sp macro="" textlink="">
      <xdr:nvSpPr>
        <xdr:cNvPr id="216" name="outline 215"/>
        <xdr:cNvSpPr/>
      </xdr:nvSpPr>
      <xdr:spPr>
        <a:xfrm>
          <a:off x="2692400" y="2019300"/>
          <a:ext cx="673100" cy="673100"/>
        </a:xfrm>
        <a:prstGeom prst="rect">
          <a:avLst/>
        </a:prstGeom>
        <a:solidFill>
          <a:srgbClr val="FFA5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2705100</xdr:colOff>
      <xdr:row>12</xdr:row>
      <xdr:rowOff>20320</xdr:rowOff>
    </xdr:from>
    <xdr:to>
      <xdr:col>0</xdr:col>
      <xdr:colOff>3352800</xdr:colOff>
      <xdr:row>12</xdr:row>
      <xdr:rowOff>160020</xdr:rowOff>
    </xdr:to>
    <xdr:sp macro="" textlink="">
      <xdr:nvSpPr>
        <xdr:cNvPr id="217" name="name 216"/>
        <xdr:cNvSpPr/>
      </xdr:nvSpPr>
      <xdr:spPr>
        <a:xfrm>
          <a:off x="2705100" y="2032000"/>
          <a:ext cx="647700" cy="139700"/>
        </a:xfrm>
        <a:prstGeom prst="rect">
          <a:avLst/>
        </a:prstGeom>
        <a:solidFill>
          <a:srgbClr val="A52A2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Rezende</a:t>
          </a:r>
        </a:p>
      </xdr:txBody>
    </xdr:sp>
    <xdr:clientData/>
  </xdr:twoCellAnchor>
  <xdr:twoCellAnchor editAs="absolute">
    <xdr:from>
      <xdr:col>0</xdr:col>
      <xdr:colOff>2908300</xdr:colOff>
      <xdr:row>13</xdr:row>
      <xdr:rowOff>5080</xdr:rowOff>
    </xdr:from>
    <xdr:to>
      <xdr:col>0</xdr:col>
      <xdr:colOff>3276600</xdr:colOff>
      <xdr:row>15</xdr:row>
      <xdr:rowOff>88900</xdr:rowOff>
    </xdr:to>
    <xdr:pic>
      <xdr:nvPicPr>
        <xdr:cNvPr id="218" name="symbol 21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300" y="21844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2755900</xdr:colOff>
      <xdr:row>14</xdr:row>
      <xdr:rowOff>142240</xdr:rowOff>
    </xdr:from>
    <xdr:to>
      <xdr:col>0</xdr:col>
      <xdr:colOff>2921000</xdr:colOff>
      <xdr:row>15</xdr:row>
      <xdr:rowOff>165100</xdr:rowOff>
    </xdr:to>
    <xdr:sp macro="" textlink="">
      <xdr:nvSpPr>
        <xdr:cNvPr id="219" name="fleft 218"/>
        <xdr:cNvSpPr/>
      </xdr:nvSpPr>
      <xdr:spPr>
        <a:xfrm>
          <a:off x="2755900" y="2489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3060700</xdr:colOff>
      <xdr:row>14</xdr:row>
      <xdr:rowOff>142240</xdr:rowOff>
    </xdr:from>
    <xdr:to>
      <xdr:col>0</xdr:col>
      <xdr:colOff>3200400</xdr:colOff>
      <xdr:row>15</xdr:row>
      <xdr:rowOff>165100</xdr:rowOff>
    </xdr:to>
    <xdr:sp macro="" textlink="">
      <xdr:nvSpPr>
        <xdr:cNvPr id="220" name="fmiddle 219"/>
        <xdr:cNvSpPr/>
      </xdr:nvSpPr>
      <xdr:spPr>
        <a:xfrm>
          <a:off x="3060700" y="24892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3187700</xdr:colOff>
      <xdr:row>14</xdr:row>
      <xdr:rowOff>142240</xdr:rowOff>
    </xdr:from>
    <xdr:to>
      <xdr:col>0</xdr:col>
      <xdr:colOff>3352800</xdr:colOff>
      <xdr:row>15</xdr:row>
      <xdr:rowOff>165100</xdr:rowOff>
    </xdr:to>
    <xdr:sp macro="" textlink="">
      <xdr:nvSpPr>
        <xdr:cNvPr id="221" name="fright 220"/>
        <xdr:cNvSpPr/>
      </xdr:nvSpPr>
      <xdr:spPr>
        <a:xfrm>
          <a:off x="3187700" y="2489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3213100</xdr:colOff>
      <xdr:row>13</xdr:row>
      <xdr:rowOff>55880</xdr:rowOff>
    </xdr:from>
    <xdr:to>
      <xdr:col>0</xdr:col>
      <xdr:colOff>3352800</xdr:colOff>
      <xdr:row>14</xdr:row>
      <xdr:rowOff>53340</xdr:rowOff>
    </xdr:to>
    <xdr:sp macro="" textlink="">
      <xdr:nvSpPr>
        <xdr:cNvPr id="222" name="eng 221"/>
        <xdr:cNvSpPr/>
      </xdr:nvSpPr>
      <xdr:spPr>
        <a:xfrm>
          <a:off x="3213100" y="22352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3365500</xdr:colOff>
      <xdr:row>12</xdr:row>
      <xdr:rowOff>7620</xdr:rowOff>
    </xdr:from>
    <xdr:to>
      <xdr:col>0</xdr:col>
      <xdr:colOff>4038600</xdr:colOff>
      <xdr:row>16</xdr:row>
      <xdr:rowOff>10160</xdr:rowOff>
    </xdr:to>
    <xdr:sp macro="" textlink="">
      <xdr:nvSpPr>
        <xdr:cNvPr id="223" name="outline 222"/>
        <xdr:cNvSpPr/>
      </xdr:nvSpPr>
      <xdr:spPr>
        <a:xfrm>
          <a:off x="3365500" y="2019300"/>
          <a:ext cx="673100" cy="673100"/>
        </a:xfrm>
        <a:prstGeom prst="rect">
          <a:avLst/>
        </a:prstGeom>
        <a:solidFill>
          <a:srgbClr val="FFC0CB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3581400</xdr:colOff>
      <xdr:row>12</xdr:row>
      <xdr:rowOff>20320</xdr:rowOff>
    </xdr:from>
    <xdr:to>
      <xdr:col>0</xdr:col>
      <xdr:colOff>4025900</xdr:colOff>
      <xdr:row>12</xdr:row>
      <xdr:rowOff>160020</xdr:rowOff>
    </xdr:to>
    <xdr:sp macro="" textlink="">
      <xdr:nvSpPr>
        <xdr:cNvPr id="224" name="name 223"/>
        <xdr:cNvSpPr/>
      </xdr:nvSpPr>
      <xdr:spPr>
        <a:xfrm>
          <a:off x="3581400" y="2032000"/>
          <a:ext cx="444500" cy="139700"/>
        </a:xfrm>
        <a:prstGeom prst="rect">
          <a:avLst/>
        </a:prstGeom>
        <a:solidFill>
          <a:srgbClr val="A52A2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Greene</a:t>
          </a:r>
        </a:p>
      </xdr:txBody>
    </xdr:sp>
    <xdr:clientData/>
  </xdr:twoCellAnchor>
  <xdr:twoCellAnchor editAs="absolute">
    <xdr:from>
      <xdr:col>0</xdr:col>
      <xdr:colOff>3454400</xdr:colOff>
      <xdr:row>13</xdr:row>
      <xdr:rowOff>30480</xdr:rowOff>
    </xdr:from>
    <xdr:to>
      <xdr:col>0</xdr:col>
      <xdr:colOff>3949700</xdr:colOff>
      <xdr:row>14</xdr:row>
      <xdr:rowOff>154940</xdr:rowOff>
    </xdr:to>
    <xdr:pic>
      <xdr:nvPicPr>
        <xdr:cNvPr id="225" name="symbol 224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22098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3429000</xdr:colOff>
      <xdr:row>14</xdr:row>
      <xdr:rowOff>142240</xdr:rowOff>
    </xdr:from>
    <xdr:to>
      <xdr:col>0</xdr:col>
      <xdr:colOff>3619500</xdr:colOff>
      <xdr:row>15</xdr:row>
      <xdr:rowOff>139700</xdr:rowOff>
    </xdr:to>
    <xdr:sp macro="" textlink="">
      <xdr:nvSpPr>
        <xdr:cNvPr id="226" name="fleft 225"/>
        <xdr:cNvSpPr/>
      </xdr:nvSpPr>
      <xdr:spPr>
        <a:xfrm>
          <a:off x="3429000" y="24892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(3)</a:t>
          </a:r>
        </a:p>
      </xdr:txBody>
    </xdr:sp>
    <xdr:clientData/>
  </xdr:twoCellAnchor>
  <xdr:twoCellAnchor editAs="absolute">
    <xdr:from>
      <xdr:col>0</xdr:col>
      <xdr:colOff>3657600</xdr:colOff>
      <xdr:row>14</xdr:row>
      <xdr:rowOff>142240</xdr:rowOff>
    </xdr:from>
    <xdr:to>
      <xdr:col>0</xdr:col>
      <xdr:colOff>3797300</xdr:colOff>
      <xdr:row>15</xdr:row>
      <xdr:rowOff>165100</xdr:rowOff>
    </xdr:to>
    <xdr:sp macro="" textlink="">
      <xdr:nvSpPr>
        <xdr:cNvPr id="227" name="fmiddle 226"/>
        <xdr:cNvSpPr/>
      </xdr:nvSpPr>
      <xdr:spPr>
        <a:xfrm>
          <a:off x="3657600" y="24892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3835400</xdr:colOff>
      <xdr:row>14</xdr:row>
      <xdr:rowOff>142240</xdr:rowOff>
    </xdr:from>
    <xdr:to>
      <xdr:col>0</xdr:col>
      <xdr:colOff>4000500</xdr:colOff>
      <xdr:row>15</xdr:row>
      <xdr:rowOff>165100</xdr:rowOff>
    </xdr:to>
    <xdr:sp macro="" textlink="">
      <xdr:nvSpPr>
        <xdr:cNvPr id="228" name="fright 227"/>
        <xdr:cNvSpPr/>
      </xdr:nvSpPr>
      <xdr:spPr>
        <a:xfrm>
          <a:off x="3835400" y="2489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3378200</xdr:colOff>
      <xdr:row>12</xdr:row>
      <xdr:rowOff>20320</xdr:rowOff>
    </xdr:from>
    <xdr:to>
      <xdr:col>0</xdr:col>
      <xdr:colOff>3568700</xdr:colOff>
      <xdr:row>12</xdr:row>
      <xdr:rowOff>134620</xdr:rowOff>
    </xdr:to>
    <xdr:sp macro="" textlink="">
      <xdr:nvSpPr>
        <xdr:cNvPr id="229" name="eng 228"/>
        <xdr:cNvSpPr/>
      </xdr:nvSpPr>
      <xdr:spPr>
        <a:xfrm>
          <a:off x="3378200" y="20320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2-4</a:t>
          </a:r>
        </a:p>
      </xdr:txBody>
    </xdr:sp>
    <xdr:clientData/>
  </xdr:twoCellAnchor>
  <xdr:twoCellAnchor editAs="absolute">
    <xdr:from>
      <xdr:col>0</xdr:col>
      <xdr:colOff>4038600</xdr:colOff>
      <xdr:row>12</xdr:row>
      <xdr:rowOff>7620</xdr:rowOff>
    </xdr:from>
    <xdr:to>
      <xdr:col>0</xdr:col>
      <xdr:colOff>4711700</xdr:colOff>
      <xdr:row>16</xdr:row>
      <xdr:rowOff>10160</xdr:rowOff>
    </xdr:to>
    <xdr:sp macro="" textlink="">
      <xdr:nvSpPr>
        <xdr:cNvPr id="230" name="outline 229"/>
        <xdr:cNvSpPr/>
      </xdr:nvSpPr>
      <xdr:spPr>
        <a:xfrm>
          <a:off x="4038600" y="2019300"/>
          <a:ext cx="673100" cy="673100"/>
        </a:xfrm>
        <a:prstGeom prst="rect">
          <a:avLst/>
        </a:prstGeom>
        <a:solidFill>
          <a:srgbClr val="FFA3C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4203700</xdr:colOff>
      <xdr:row>12</xdr:row>
      <xdr:rowOff>45720</xdr:rowOff>
    </xdr:from>
    <xdr:to>
      <xdr:col>0</xdr:col>
      <xdr:colOff>4699000</xdr:colOff>
      <xdr:row>14</xdr:row>
      <xdr:rowOff>129540</xdr:rowOff>
    </xdr:to>
    <xdr:sp macro="" textlink="">
      <xdr:nvSpPr>
        <xdr:cNvPr id="231" name="flag 230"/>
        <xdr:cNvSpPr/>
      </xdr:nvSpPr>
      <xdr:spPr>
        <a:xfrm>
          <a:off x="4203700" y="2057400"/>
          <a:ext cx="495300" cy="419100"/>
        </a:xfrm>
        <a:prstGeom prst="rect">
          <a:avLst/>
        </a:prstGeom>
        <a:solidFill>
          <a:srgbClr val="FFA3C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7</a:t>
          </a:r>
        </a:p>
      </xdr:txBody>
    </xdr:sp>
    <xdr:clientData/>
  </xdr:twoCellAnchor>
  <xdr:twoCellAnchor editAs="absolute">
    <xdr:from>
      <xdr:col>0</xdr:col>
      <xdr:colOff>4051300</xdr:colOff>
      <xdr:row>12</xdr:row>
      <xdr:rowOff>20320</xdr:rowOff>
    </xdr:from>
    <xdr:to>
      <xdr:col>0</xdr:col>
      <xdr:colOff>4191000</xdr:colOff>
      <xdr:row>14</xdr:row>
      <xdr:rowOff>154940</xdr:rowOff>
    </xdr:to>
    <xdr:sp macro="" textlink="">
      <xdr:nvSpPr>
        <xdr:cNvPr id="232" name="name 231"/>
        <xdr:cNvSpPr/>
      </xdr:nvSpPr>
      <xdr:spPr>
        <a:xfrm>
          <a:off x="4051300" y="2032000"/>
          <a:ext cx="139700" cy="469900"/>
        </a:xfrm>
        <a:prstGeom prst="rect">
          <a:avLst/>
        </a:prstGeom>
        <a:solidFill>
          <a:srgbClr val="0000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Hope</a:t>
          </a:r>
        </a:p>
      </xdr:txBody>
    </xdr:sp>
    <xdr:clientData/>
  </xdr:twoCellAnchor>
  <xdr:twoCellAnchor editAs="absolute">
    <xdr:from>
      <xdr:col>0</xdr:col>
      <xdr:colOff>4127500</xdr:colOff>
      <xdr:row>14</xdr:row>
      <xdr:rowOff>142240</xdr:rowOff>
    </xdr:from>
    <xdr:to>
      <xdr:col>0</xdr:col>
      <xdr:colOff>4267200</xdr:colOff>
      <xdr:row>15</xdr:row>
      <xdr:rowOff>165100</xdr:rowOff>
    </xdr:to>
    <xdr:sp macro="" textlink="">
      <xdr:nvSpPr>
        <xdr:cNvPr id="233" name="left 232"/>
        <xdr:cNvSpPr/>
      </xdr:nvSpPr>
      <xdr:spPr>
        <a:xfrm>
          <a:off x="4127500" y="2489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4533900</xdr:colOff>
      <xdr:row>14</xdr:row>
      <xdr:rowOff>142240</xdr:rowOff>
    </xdr:from>
    <xdr:to>
      <xdr:col>0</xdr:col>
      <xdr:colOff>4673600</xdr:colOff>
      <xdr:row>15</xdr:row>
      <xdr:rowOff>165100</xdr:rowOff>
    </xdr:to>
    <xdr:sp macro="" textlink="">
      <xdr:nvSpPr>
        <xdr:cNvPr id="234" name="right 233"/>
        <xdr:cNvSpPr/>
      </xdr:nvSpPr>
      <xdr:spPr>
        <a:xfrm>
          <a:off x="4533900" y="2489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4711700</xdr:colOff>
      <xdr:row>12</xdr:row>
      <xdr:rowOff>7620</xdr:rowOff>
    </xdr:from>
    <xdr:to>
      <xdr:col>0</xdr:col>
      <xdr:colOff>5384800</xdr:colOff>
      <xdr:row>16</xdr:row>
      <xdr:rowOff>10160</xdr:rowOff>
    </xdr:to>
    <xdr:sp macro="" textlink="">
      <xdr:nvSpPr>
        <xdr:cNvPr id="235" name="outline 234"/>
        <xdr:cNvSpPr/>
      </xdr:nvSpPr>
      <xdr:spPr>
        <a:xfrm>
          <a:off x="4711700" y="2019300"/>
          <a:ext cx="673100" cy="673100"/>
        </a:xfrm>
        <a:prstGeom prst="rect">
          <a:avLst/>
        </a:prstGeom>
        <a:solidFill>
          <a:srgbClr val="FFA3C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4876800</xdr:colOff>
      <xdr:row>12</xdr:row>
      <xdr:rowOff>45720</xdr:rowOff>
    </xdr:from>
    <xdr:to>
      <xdr:col>0</xdr:col>
      <xdr:colOff>5372100</xdr:colOff>
      <xdr:row>14</xdr:row>
      <xdr:rowOff>129540</xdr:rowOff>
    </xdr:to>
    <xdr:sp macro="" textlink="">
      <xdr:nvSpPr>
        <xdr:cNvPr id="236" name="flag 235"/>
        <xdr:cNvSpPr/>
      </xdr:nvSpPr>
      <xdr:spPr>
        <a:xfrm>
          <a:off x="4876800" y="2057400"/>
          <a:ext cx="495300" cy="419100"/>
        </a:xfrm>
        <a:prstGeom prst="rect">
          <a:avLst/>
        </a:prstGeom>
        <a:solidFill>
          <a:srgbClr val="FFA3C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7</a:t>
          </a:r>
        </a:p>
      </xdr:txBody>
    </xdr:sp>
    <xdr:clientData/>
  </xdr:twoCellAnchor>
  <xdr:twoCellAnchor editAs="absolute">
    <xdr:from>
      <xdr:col>0</xdr:col>
      <xdr:colOff>4724400</xdr:colOff>
      <xdr:row>12</xdr:row>
      <xdr:rowOff>20320</xdr:rowOff>
    </xdr:from>
    <xdr:to>
      <xdr:col>0</xdr:col>
      <xdr:colOff>4864100</xdr:colOff>
      <xdr:row>14</xdr:row>
      <xdr:rowOff>154940</xdr:rowOff>
    </xdr:to>
    <xdr:sp macro="" textlink="">
      <xdr:nvSpPr>
        <xdr:cNvPr id="237" name="name 236"/>
        <xdr:cNvSpPr/>
      </xdr:nvSpPr>
      <xdr:spPr>
        <a:xfrm>
          <a:off x="4724400" y="2032000"/>
          <a:ext cx="139700" cy="469900"/>
        </a:xfrm>
        <a:prstGeom prst="rect">
          <a:avLst/>
        </a:prstGeom>
        <a:solidFill>
          <a:srgbClr val="0000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Hope</a:t>
          </a:r>
        </a:p>
      </xdr:txBody>
    </xdr:sp>
    <xdr:clientData/>
  </xdr:twoCellAnchor>
  <xdr:twoCellAnchor editAs="absolute">
    <xdr:from>
      <xdr:col>0</xdr:col>
      <xdr:colOff>4800600</xdr:colOff>
      <xdr:row>14</xdr:row>
      <xdr:rowOff>142240</xdr:rowOff>
    </xdr:from>
    <xdr:to>
      <xdr:col>0</xdr:col>
      <xdr:colOff>4940300</xdr:colOff>
      <xdr:row>15</xdr:row>
      <xdr:rowOff>165100</xdr:rowOff>
    </xdr:to>
    <xdr:sp macro="" textlink="">
      <xdr:nvSpPr>
        <xdr:cNvPr id="238" name="left 237"/>
        <xdr:cNvSpPr/>
      </xdr:nvSpPr>
      <xdr:spPr>
        <a:xfrm>
          <a:off x="4800600" y="2489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5207000</xdr:colOff>
      <xdr:row>14</xdr:row>
      <xdr:rowOff>142240</xdr:rowOff>
    </xdr:from>
    <xdr:to>
      <xdr:col>0</xdr:col>
      <xdr:colOff>5346700</xdr:colOff>
      <xdr:row>15</xdr:row>
      <xdr:rowOff>165100</xdr:rowOff>
    </xdr:to>
    <xdr:sp macro="" textlink="">
      <xdr:nvSpPr>
        <xdr:cNvPr id="239" name="right 238"/>
        <xdr:cNvSpPr/>
      </xdr:nvSpPr>
      <xdr:spPr>
        <a:xfrm>
          <a:off x="5207000" y="2489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5384800</xdr:colOff>
      <xdr:row>12</xdr:row>
      <xdr:rowOff>7620</xdr:rowOff>
    </xdr:from>
    <xdr:to>
      <xdr:col>0</xdr:col>
      <xdr:colOff>6057900</xdr:colOff>
      <xdr:row>16</xdr:row>
      <xdr:rowOff>10160</xdr:rowOff>
    </xdr:to>
    <xdr:sp macro="" textlink="">
      <xdr:nvSpPr>
        <xdr:cNvPr id="240" name="outline 239"/>
        <xdr:cNvSpPr/>
      </xdr:nvSpPr>
      <xdr:spPr>
        <a:xfrm>
          <a:off x="5384800" y="2019300"/>
          <a:ext cx="673100" cy="673100"/>
        </a:xfrm>
        <a:prstGeom prst="rect">
          <a:avLst/>
        </a:prstGeom>
        <a:solidFill>
          <a:srgbClr val="CCFFC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5397500</xdr:colOff>
      <xdr:row>12</xdr:row>
      <xdr:rowOff>20320</xdr:rowOff>
    </xdr:from>
    <xdr:to>
      <xdr:col>0</xdr:col>
      <xdr:colOff>6045200</xdr:colOff>
      <xdr:row>12</xdr:row>
      <xdr:rowOff>160020</xdr:rowOff>
    </xdr:to>
    <xdr:sp macro="" textlink="">
      <xdr:nvSpPr>
        <xdr:cNvPr id="241" name="name 240"/>
        <xdr:cNvSpPr/>
      </xdr:nvSpPr>
      <xdr:spPr>
        <a:xfrm>
          <a:off x="5397500" y="2032000"/>
          <a:ext cx="647700" cy="139700"/>
        </a:xfrm>
        <a:prstGeom prst="rect">
          <a:avLst/>
        </a:prstGeom>
        <a:solidFill>
          <a:srgbClr val="0000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Halkett</a:t>
          </a:r>
        </a:p>
      </xdr:txBody>
    </xdr:sp>
    <xdr:clientData/>
  </xdr:twoCellAnchor>
  <xdr:twoCellAnchor editAs="absolute">
    <xdr:from>
      <xdr:col>0</xdr:col>
      <xdr:colOff>5600700</xdr:colOff>
      <xdr:row>13</xdr:row>
      <xdr:rowOff>5080</xdr:rowOff>
    </xdr:from>
    <xdr:to>
      <xdr:col>0</xdr:col>
      <xdr:colOff>5969000</xdr:colOff>
      <xdr:row>15</xdr:row>
      <xdr:rowOff>88900</xdr:rowOff>
    </xdr:to>
    <xdr:pic>
      <xdr:nvPicPr>
        <xdr:cNvPr id="242" name="symbol 24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21844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5448300</xdr:colOff>
      <xdr:row>14</xdr:row>
      <xdr:rowOff>142240</xdr:rowOff>
    </xdr:from>
    <xdr:to>
      <xdr:col>0</xdr:col>
      <xdr:colOff>5613400</xdr:colOff>
      <xdr:row>15</xdr:row>
      <xdr:rowOff>165100</xdr:rowOff>
    </xdr:to>
    <xdr:sp macro="" textlink="">
      <xdr:nvSpPr>
        <xdr:cNvPr id="243" name="fleft 242"/>
        <xdr:cNvSpPr/>
      </xdr:nvSpPr>
      <xdr:spPr>
        <a:xfrm>
          <a:off x="5448300" y="2489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5753100</xdr:colOff>
      <xdr:row>14</xdr:row>
      <xdr:rowOff>142240</xdr:rowOff>
    </xdr:from>
    <xdr:to>
      <xdr:col>0</xdr:col>
      <xdr:colOff>5892800</xdr:colOff>
      <xdr:row>15</xdr:row>
      <xdr:rowOff>165100</xdr:rowOff>
    </xdr:to>
    <xdr:sp macro="" textlink="">
      <xdr:nvSpPr>
        <xdr:cNvPr id="244" name="fmiddle 243"/>
        <xdr:cNvSpPr/>
      </xdr:nvSpPr>
      <xdr:spPr>
        <a:xfrm>
          <a:off x="5753100" y="24892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5880100</xdr:colOff>
      <xdr:row>14</xdr:row>
      <xdr:rowOff>142240</xdr:rowOff>
    </xdr:from>
    <xdr:to>
      <xdr:col>0</xdr:col>
      <xdr:colOff>6045200</xdr:colOff>
      <xdr:row>15</xdr:row>
      <xdr:rowOff>165100</xdr:rowOff>
    </xdr:to>
    <xdr:sp macro="" textlink="">
      <xdr:nvSpPr>
        <xdr:cNvPr id="245" name="fright 244"/>
        <xdr:cNvSpPr/>
      </xdr:nvSpPr>
      <xdr:spPr>
        <a:xfrm>
          <a:off x="5880100" y="2489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5905500</xdr:colOff>
      <xdr:row>13</xdr:row>
      <xdr:rowOff>55880</xdr:rowOff>
    </xdr:from>
    <xdr:to>
      <xdr:col>0</xdr:col>
      <xdr:colOff>6045200</xdr:colOff>
      <xdr:row>14</xdr:row>
      <xdr:rowOff>53340</xdr:rowOff>
    </xdr:to>
    <xdr:sp macro="" textlink="">
      <xdr:nvSpPr>
        <xdr:cNvPr id="246" name="eng 245"/>
        <xdr:cNvSpPr/>
      </xdr:nvSpPr>
      <xdr:spPr>
        <a:xfrm>
          <a:off x="5905500" y="22352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6057900</xdr:colOff>
      <xdr:row>12</xdr:row>
      <xdr:rowOff>7620</xdr:rowOff>
    </xdr:from>
    <xdr:to>
      <xdr:col>0</xdr:col>
      <xdr:colOff>6731000</xdr:colOff>
      <xdr:row>16</xdr:row>
      <xdr:rowOff>10160</xdr:rowOff>
    </xdr:to>
    <xdr:sp macro="" textlink="">
      <xdr:nvSpPr>
        <xdr:cNvPr id="247" name="outline 246"/>
        <xdr:cNvSpPr/>
      </xdr:nvSpPr>
      <xdr:spPr>
        <a:xfrm>
          <a:off x="6057900" y="2019300"/>
          <a:ext cx="673100" cy="673100"/>
        </a:xfrm>
        <a:prstGeom prst="rect">
          <a:avLst/>
        </a:prstGeom>
        <a:solidFill>
          <a:srgbClr val="FFC0CB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6070600</xdr:colOff>
      <xdr:row>12</xdr:row>
      <xdr:rowOff>20320</xdr:rowOff>
    </xdr:from>
    <xdr:to>
      <xdr:col>0</xdr:col>
      <xdr:colOff>6718300</xdr:colOff>
      <xdr:row>12</xdr:row>
      <xdr:rowOff>160020</xdr:rowOff>
    </xdr:to>
    <xdr:sp macro="" textlink="">
      <xdr:nvSpPr>
        <xdr:cNvPr id="248" name="name 247"/>
        <xdr:cNvSpPr/>
      </xdr:nvSpPr>
      <xdr:spPr>
        <a:xfrm>
          <a:off x="6070600" y="2032000"/>
          <a:ext cx="647700" cy="139700"/>
        </a:xfrm>
        <a:prstGeom prst="rect">
          <a:avLst/>
        </a:prstGeom>
        <a:solidFill>
          <a:srgbClr val="0000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Bernewitz</a:t>
          </a:r>
        </a:p>
      </xdr:txBody>
    </xdr:sp>
    <xdr:clientData/>
  </xdr:twoCellAnchor>
  <xdr:twoCellAnchor editAs="absolute">
    <xdr:from>
      <xdr:col>0</xdr:col>
      <xdr:colOff>6273800</xdr:colOff>
      <xdr:row>13</xdr:row>
      <xdr:rowOff>5080</xdr:rowOff>
    </xdr:from>
    <xdr:to>
      <xdr:col>0</xdr:col>
      <xdr:colOff>6642100</xdr:colOff>
      <xdr:row>15</xdr:row>
      <xdr:rowOff>88900</xdr:rowOff>
    </xdr:to>
    <xdr:pic>
      <xdr:nvPicPr>
        <xdr:cNvPr id="249" name="symbol 24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3800" y="21844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6121400</xdr:colOff>
      <xdr:row>14</xdr:row>
      <xdr:rowOff>142240</xdr:rowOff>
    </xdr:from>
    <xdr:to>
      <xdr:col>0</xdr:col>
      <xdr:colOff>6286500</xdr:colOff>
      <xdr:row>15</xdr:row>
      <xdr:rowOff>165100</xdr:rowOff>
    </xdr:to>
    <xdr:sp macro="" textlink="">
      <xdr:nvSpPr>
        <xdr:cNvPr id="250" name="fleft 249"/>
        <xdr:cNvSpPr/>
      </xdr:nvSpPr>
      <xdr:spPr>
        <a:xfrm>
          <a:off x="6121400" y="2489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6426200</xdr:colOff>
      <xdr:row>14</xdr:row>
      <xdr:rowOff>142240</xdr:rowOff>
    </xdr:from>
    <xdr:to>
      <xdr:col>0</xdr:col>
      <xdr:colOff>6565900</xdr:colOff>
      <xdr:row>15</xdr:row>
      <xdr:rowOff>165100</xdr:rowOff>
    </xdr:to>
    <xdr:sp macro="" textlink="">
      <xdr:nvSpPr>
        <xdr:cNvPr id="251" name="fmiddle 250"/>
        <xdr:cNvSpPr/>
      </xdr:nvSpPr>
      <xdr:spPr>
        <a:xfrm>
          <a:off x="6426200" y="24892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6553200</xdr:colOff>
      <xdr:row>14</xdr:row>
      <xdr:rowOff>142240</xdr:rowOff>
    </xdr:from>
    <xdr:to>
      <xdr:col>0</xdr:col>
      <xdr:colOff>6718300</xdr:colOff>
      <xdr:row>15</xdr:row>
      <xdr:rowOff>165100</xdr:rowOff>
    </xdr:to>
    <xdr:sp macro="" textlink="">
      <xdr:nvSpPr>
        <xdr:cNvPr id="252" name="fright 251"/>
        <xdr:cNvSpPr/>
      </xdr:nvSpPr>
      <xdr:spPr>
        <a:xfrm>
          <a:off x="6553200" y="2489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6578600</xdr:colOff>
      <xdr:row>13</xdr:row>
      <xdr:rowOff>55880</xdr:rowOff>
    </xdr:from>
    <xdr:to>
      <xdr:col>0</xdr:col>
      <xdr:colOff>6718300</xdr:colOff>
      <xdr:row>14</xdr:row>
      <xdr:rowOff>53340</xdr:rowOff>
    </xdr:to>
    <xdr:sp macro="" textlink="">
      <xdr:nvSpPr>
        <xdr:cNvPr id="253" name="eng 252"/>
        <xdr:cNvSpPr/>
      </xdr:nvSpPr>
      <xdr:spPr>
        <a:xfrm>
          <a:off x="6578600" y="22352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0</xdr:colOff>
      <xdr:row>16</xdr:row>
      <xdr:rowOff>10160</xdr:rowOff>
    </xdr:from>
    <xdr:to>
      <xdr:col>0</xdr:col>
      <xdr:colOff>673100</xdr:colOff>
      <xdr:row>20</xdr:row>
      <xdr:rowOff>12700</xdr:rowOff>
    </xdr:to>
    <xdr:sp macro="" textlink="">
      <xdr:nvSpPr>
        <xdr:cNvPr id="254" name="outline 253"/>
        <xdr:cNvSpPr/>
      </xdr:nvSpPr>
      <xdr:spPr>
        <a:xfrm>
          <a:off x="0" y="2692400"/>
          <a:ext cx="673100" cy="673100"/>
        </a:xfrm>
        <a:prstGeom prst="rect">
          <a:avLst/>
        </a:prstGeom>
        <a:solidFill>
          <a:srgbClr val="FFA5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12700</xdr:colOff>
      <xdr:row>16</xdr:row>
      <xdr:rowOff>22860</xdr:rowOff>
    </xdr:from>
    <xdr:to>
      <xdr:col>0</xdr:col>
      <xdr:colOff>660400</xdr:colOff>
      <xdr:row>16</xdr:row>
      <xdr:rowOff>162560</xdr:rowOff>
    </xdr:to>
    <xdr:sp macro="" textlink="">
      <xdr:nvSpPr>
        <xdr:cNvPr id="255" name="name 254"/>
        <xdr:cNvSpPr/>
      </xdr:nvSpPr>
      <xdr:spPr>
        <a:xfrm>
          <a:off x="12700" y="2705100"/>
          <a:ext cx="647700" cy="139700"/>
        </a:xfrm>
        <a:prstGeom prst="rect">
          <a:avLst/>
        </a:prstGeom>
        <a:solidFill>
          <a:srgbClr val="0000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Collins</a:t>
          </a:r>
        </a:p>
      </xdr:txBody>
    </xdr:sp>
    <xdr:clientData/>
  </xdr:twoCellAnchor>
  <xdr:twoCellAnchor editAs="absolute">
    <xdr:from>
      <xdr:col>0</xdr:col>
      <xdr:colOff>215900</xdr:colOff>
      <xdr:row>17</xdr:row>
      <xdr:rowOff>7620</xdr:rowOff>
    </xdr:from>
    <xdr:to>
      <xdr:col>0</xdr:col>
      <xdr:colOff>584200</xdr:colOff>
      <xdr:row>19</xdr:row>
      <xdr:rowOff>91440</xdr:rowOff>
    </xdr:to>
    <xdr:pic>
      <xdr:nvPicPr>
        <xdr:cNvPr id="256" name="symbol 25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28575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63500</xdr:colOff>
      <xdr:row>18</xdr:row>
      <xdr:rowOff>144780</xdr:rowOff>
    </xdr:from>
    <xdr:to>
      <xdr:col>0</xdr:col>
      <xdr:colOff>228600</xdr:colOff>
      <xdr:row>20</xdr:row>
      <xdr:rowOff>0</xdr:rowOff>
    </xdr:to>
    <xdr:sp macro="" textlink="">
      <xdr:nvSpPr>
        <xdr:cNvPr id="257" name="fleft 256"/>
        <xdr:cNvSpPr/>
      </xdr:nvSpPr>
      <xdr:spPr>
        <a:xfrm>
          <a:off x="635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368300</xdr:colOff>
      <xdr:row>18</xdr:row>
      <xdr:rowOff>144780</xdr:rowOff>
    </xdr:from>
    <xdr:to>
      <xdr:col>0</xdr:col>
      <xdr:colOff>508000</xdr:colOff>
      <xdr:row>20</xdr:row>
      <xdr:rowOff>0</xdr:rowOff>
    </xdr:to>
    <xdr:sp macro="" textlink="">
      <xdr:nvSpPr>
        <xdr:cNvPr id="258" name="fmiddle 257"/>
        <xdr:cNvSpPr/>
      </xdr:nvSpPr>
      <xdr:spPr>
        <a:xfrm>
          <a:off x="368300" y="3162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495300</xdr:colOff>
      <xdr:row>18</xdr:row>
      <xdr:rowOff>144780</xdr:rowOff>
    </xdr:from>
    <xdr:to>
      <xdr:col>0</xdr:col>
      <xdr:colOff>660400</xdr:colOff>
      <xdr:row>20</xdr:row>
      <xdr:rowOff>0</xdr:rowOff>
    </xdr:to>
    <xdr:sp macro="" textlink="">
      <xdr:nvSpPr>
        <xdr:cNvPr id="259" name="fright 258"/>
        <xdr:cNvSpPr/>
      </xdr:nvSpPr>
      <xdr:spPr>
        <a:xfrm>
          <a:off x="4953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520700</xdr:colOff>
      <xdr:row>17</xdr:row>
      <xdr:rowOff>58420</xdr:rowOff>
    </xdr:from>
    <xdr:to>
      <xdr:col>0</xdr:col>
      <xdr:colOff>660400</xdr:colOff>
      <xdr:row>18</xdr:row>
      <xdr:rowOff>55880</xdr:rowOff>
    </xdr:to>
    <xdr:sp macro="" textlink="">
      <xdr:nvSpPr>
        <xdr:cNvPr id="260" name="eng 259"/>
        <xdr:cNvSpPr/>
      </xdr:nvSpPr>
      <xdr:spPr>
        <a:xfrm>
          <a:off x="520700" y="29083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673100</xdr:colOff>
      <xdr:row>16</xdr:row>
      <xdr:rowOff>10160</xdr:rowOff>
    </xdr:from>
    <xdr:to>
      <xdr:col>0</xdr:col>
      <xdr:colOff>1346200</xdr:colOff>
      <xdr:row>20</xdr:row>
      <xdr:rowOff>12700</xdr:rowOff>
    </xdr:to>
    <xdr:sp macro="" textlink="">
      <xdr:nvSpPr>
        <xdr:cNvPr id="261" name="outline 260"/>
        <xdr:cNvSpPr/>
      </xdr:nvSpPr>
      <xdr:spPr>
        <a:xfrm>
          <a:off x="673100" y="2692400"/>
          <a:ext cx="673100" cy="673100"/>
        </a:xfrm>
        <a:prstGeom prst="rect">
          <a:avLst/>
        </a:prstGeom>
        <a:solidFill>
          <a:srgbClr val="FFC0CB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889000</xdr:colOff>
      <xdr:row>16</xdr:row>
      <xdr:rowOff>22860</xdr:rowOff>
    </xdr:from>
    <xdr:to>
      <xdr:col>0</xdr:col>
      <xdr:colOff>1333500</xdr:colOff>
      <xdr:row>16</xdr:row>
      <xdr:rowOff>162560</xdr:rowOff>
    </xdr:to>
    <xdr:sp macro="" textlink="">
      <xdr:nvSpPr>
        <xdr:cNvPr id="262" name="name 261"/>
        <xdr:cNvSpPr/>
      </xdr:nvSpPr>
      <xdr:spPr>
        <a:xfrm>
          <a:off x="889000" y="2705100"/>
          <a:ext cx="444500" cy="139700"/>
        </a:xfrm>
        <a:prstGeom prst="rect">
          <a:avLst/>
        </a:prstGeom>
        <a:solidFill>
          <a:srgbClr val="0000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McDonald</a:t>
          </a:r>
        </a:p>
      </xdr:txBody>
    </xdr:sp>
    <xdr:clientData/>
  </xdr:twoCellAnchor>
  <xdr:twoCellAnchor editAs="absolute">
    <xdr:from>
      <xdr:col>0</xdr:col>
      <xdr:colOff>736600</xdr:colOff>
      <xdr:row>17</xdr:row>
      <xdr:rowOff>83820</xdr:rowOff>
    </xdr:from>
    <xdr:to>
      <xdr:col>0</xdr:col>
      <xdr:colOff>1130300</xdr:colOff>
      <xdr:row>18</xdr:row>
      <xdr:rowOff>157480</xdr:rowOff>
    </xdr:to>
    <xdr:pic>
      <xdr:nvPicPr>
        <xdr:cNvPr id="263" name="symbol 262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6600" y="2933700"/>
          <a:ext cx="393700" cy="241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1041400</xdr:colOff>
      <xdr:row>16</xdr:row>
      <xdr:rowOff>149860</xdr:rowOff>
    </xdr:from>
    <xdr:to>
      <xdr:col>0</xdr:col>
      <xdr:colOff>1333500</xdr:colOff>
      <xdr:row>18</xdr:row>
      <xdr:rowOff>106680</xdr:rowOff>
    </xdr:to>
    <xdr:pic>
      <xdr:nvPicPr>
        <xdr:cNvPr id="264" name="elite 263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400" y="2832100"/>
          <a:ext cx="2921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736600</xdr:colOff>
      <xdr:row>18</xdr:row>
      <xdr:rowOff>144780</xdr:rowOff>
    </xdr:from>
    <xdr:to>
      <xdr:col>0</xdr:col>
      <xdr:colOff>927100</xdr:colOff>
      <xdr:row>19</xdr:row>
      <xdr:rowOff>142240</xdr:rowOff>
    </xdr:to>
    <xdr:sp macro="" textlink="">
      <xdr:nvSpPr>
        <xdr:cNvPr id="265" name="fleft 264"/>
        <xdr:cNvSpPr/>
      </xdr:nvSpPr>
      <xdr:spPr>
        <a:xfrm>
          <a:off x="736600" y="31623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965200</xdr:colOff>
      <xdr:row>18</xdr:row>
      <xdr:rowOff>144780</xdr:rowOff>
    </xdr:from>
    <xdr:to>
      <xdr:col>0</xdr:col>
      <xdr:colOff>1104900</xdr:colOff>
      <xdr:row>20</xdr:row>
      <xdr:rowOff>0</xdr:rowOff>
    </xdr:to>
    <xdr:sp macro="" textlink="">
      <xdr:nvSpPr>
        <xdr:cNvPr id="266" name="fmiddle 265"/>
        <xdr:cNvSpPr/>
      </xdr:nvSpPr>
      <xdr:spPr>
        <a:xfrm>
          <a:off x="965200" y="3162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1143000</xdr:colOff>
      <xdr:row>18</xdr:row>
      <xdr:rowOff>144780</xdr:rowOff>
    </xdr:from>
    <xdr:to>
      <xdr:col>0</xdr:col>
      <xdr:colOff>1308100</xdr:colOff>
      <xdr:row>20</xdr:row>
      <xdr:rowOff>0</xdr:rowOff>
    </xdr:to>
    <xdr:sp macro="" textlink="">
      <xdr:nvSpPr>
        <xdr:cNvPr id="267" name="fright 266"/>
        <xdr:cNvSpPr/>
      </xdr:nvSpPr>
      <xdr:spPr>
        <a:xfrm>
          <a:off x="11430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685800</xdr:colOff>
      <xdr:row>16</xdr:row>
      <xdr:rowOff>22860</xdr:rowOff>
    </xdr:from>
    <xdr:to>
      <xdr:col>0</xdr:col>
      <xdr:colOff>876300</xdr:colOff>
      <xdr:row>16</xdr:row>
      <xdr:rowOff>137160</xdr:rowOff>
    </xdr:to>
    <xdr:sp macro="" textlink="">
      <xdr:nvSpPr>
        <xdr:cNvPr id="268" name="eng 267"/>
        <xdr:cNvSpPr/>
      </xdr:nvSpPr>
      <xdr:spPr>
        <a:xfrm>
          <a:off x="685800" y="27051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2-3</a:t>
          </a:r>
        </a:p>
      </xdr:txBody>
    </xdr:sp>
    <xdr:clientData/>
  </xdr:twoCellAnchor>
  <xdr:twoCellAnchor editAs="absolute">
    <xdr:from>
      <xdr:col>0</xdr:col>
      <xdr:colOff>1346200</xdr:colOff>
      <xdr:row>16</xdr:row>
      <xdr:rowOff>10160</xdr:rowOff>
    </xdr:from>
    <xdr:to>
      <xdr:col>0</xdr:col>
      <xdr:colOff>2019300</xdr:colOff>
      <xdr:row>20</xdr:row>
      <xdr:rowOff>12700</xdr:rowOff>
    </xdr:to>
    <xdr:sp macro="" textlink="">
      <xdr:nvSpPr>
        <xdr:cNvPr id="269" name="outline 268"/>
        <xdr:cNvSpPr/>
      </xdr:nvSpPr>
      <xdr:spPr>
        <a:xfrm>
          <a:off x="1346200" y="26924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1511300</xdr:colOff>
      <xdr:row>16</xdr:row>
      <xdr:rowOff>48260</xdr:rowOff>
    </xdr:from>
    <xdr:to>
      <xdr:col>0</xdr:col>
      <xdr:colOff>2006600</xdr:colOff>
      <xdr:row>18</xdr:row>
      <xdr:rowOff>132080</xdr:rowOff>
    </xdr:to>
    <xdr:sp macro="" textlink="">
      <xdr:nvSpPr>
        <xdr:cNvPr id="270" name="flag 269"/>
        <xdr:cNvSpPr/>
      </xdr:nvSpPr>
      <xdr:spPr>
        <a:xfrm>
          <a:off x="1511300" y="27305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E</a:t>
          </a:r>
        </a:p>
      </xdr:txBody>
    </xdr:sp>
    <xdr:clientData/>
  </xdr:twoCellAnchor>
  <xdr:twoCellAnchor editAs="absolute">
    <xdr:from>
      <xdr:col>0</xdr:col>
      <xdr:colOff>1358900</xdr:colOff>
      <xdr:row>16</xdr:row>
      <xdr:rowOff>22860</xdr:rowOff>
    </xdr:from>
    <xdr:to>
      <xdr:col>0</xdr:col>
      <xdr:colOff>1498600</xdr:colOff>
      <xdr:row>18</xdr:row>
      <xdr:rowOff>157480</xdr:rowOff>
    </xdr:to>
    <xdr:sp macro="" textlink="">
      <xdr:nvSpPr>
        <xdr:cNvPr id="271" name="name 270"/>
        <xdr:cNvSpPr/>
      </xdr:nvSpPr>
      <xdr:spPr>
        <a:xfrm>
          <a:off x="1358900" y="2705100"/>
          <a:ext cx="139700" cy="469900"/>
        </a:xfrm>
        <a:prstGeom prst="rect">
          <a:avLst/>
        </a:prstGeom>
        <a:solidFill>
          <a:srgbClr val="4B008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España</a:t>
          </a:r>
        </a:p>
      </xdr:txBody>
    </xdr:sp>
    <xdr:clientData/>
  </xdr:twoCellAnchor>
  <xdr:twoCellAnchor editAs="absolute">
    <xdr:from>
      <xdr:col>0</xdr:col>
      <xdr:colOff>1435100</xdr:colOff>
      <xdr:row>18</xdr:row>
      <xdr:rowOff>144780</xdr:rowOff>
    </xdr:from>
    <xdr:to>
      <xdr:col>0</xdr:col>
      <xdr:colOff>1574800</xdr:colOff>
      <xdr:row>20</xdr:row>
      <xdr:rowOff>0</xdr:rowOff>
    </xdr:to>
    <xdr:sp macro="" textlink="">
      <xdr:nvSpPr>
        <xdr:cNvPr id="272" name="left 271"/>
        <xdr:cNvSpPr/>
      </xdr:nvSpPr>
      <xdr:spPr>
        <a:xfrm>
          <a:off x="1435100" y="31623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1841500</xdr:colOff>
      <xdr:row>18</xdr:row>
      <xdr:rowOff>144780</xdr:rowOff>
    </xdr:from>
    <xdr:to>
      <xdr:col>0</xdr:col>
      <xdr:colOff>1981200</xdr:colOff>
      <xdr:row>20</xdr:row>
      <xdr:rowOff>0</xdr:rowOff>
    </xdr:to>
    <xdr:sp macro="" textlink="">
      <xdr:nvSpPr>
        <xdr:cNvPr id="273" name="right 272"/>
        <xdr:cNvSpPr/>
      </xdr:nvSpPr>
      <xdr:spPr>
        <a:xfrm>
          <a:off x="1841500" y="31623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2019300</xdr:colOff>
      <xdr:row>16</xdr:row>
      <xdr:rowOff>10160</xdr:rowOff>
    </xdr:from>
    <xdr:to>
      <xdr:col>0</xdr:col>
      <xdr:colOff>2692400</xdr:colOff>
      <xdr:row>20</xdr:row>
      <xdr:rowOff>12700</xdr:rowOff>
    </xdr:to>
    <xdr:sp macro="" textlink="">
      <xdr:nvSpPr>
        <xdr:cNvPr id="274" name="outline 273"/>
        <xdr:cNvSpPr/>
      </xdr:nvSpPr>
      <xdr:spPr>
        <a:xfrm>
          <a:off x="2019300" y="26924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2184400</xdr:colOff>
      <xdr:row>16</xdr:row>
      <xdr:rowOff>48260</xdr:rowOff>
    </xdr:from>
    <xdr:to>
      <xdr:col>0</xdr:col>
      <xdr:colOff>2679700</xdr:colOff>
      <xdr:row>18</xdr:row>
      <xdr:rowOff>132080</xdr:rowOff>
    </xdr:to>
    <xdr:sp macro="" textlink="">
      <xdr:nvSpPr>
        <xdr:cNvPr id="275" name="flag 274"/>
        <xdr:cNvSpPr/>
      </xdr:nvSpPr>
      <xdr:spPr>
        <a:xfrm>
          <a:off x="2184400" y="27305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E</a:t>
          </a:r>
        </a:p>
      </xdr:txBody>
    </xdr:sp>
    <xdr:clientData/>
  </xdr:twoCellAnchor>
  <xdr:twoCellAnchor editAs="absolute">
    <xdr:from>
      <xdr:col>0</xdr:col>
      <xdr:colOff>2032000</xdr:colOff>
      <xdr:row>16</xdr:row>
      <xdr:rowOff>22860</xdr:rowOff>
    </xdr:from>
    <xdr:to>
      <xdr:col>0</xdr:col>
      <xdr:colOff>2171700</xdr:colOff>
      <xdr:row>18</xdr:row>
      <xdr:rowOff>157480</xdr:rowOff>
    </xdr:to>
    <xdr:sp macro="" textlink="">
      <xdr:nvSpPr>
        <xdr:cNvPr id="276" name="name 275"/>
        <xdr:cNvSpPr/>
      </xdr:nvSpPr>
      <xdr:spPr>
        <a:xfrm>
          <a:off x="2032000" y="2705100"/>
          <a:ext cx="139700" cy="469900"/>
        </a:xfrm>
        <a:prstGeom prst="rect">
          <a:avLst/>
        </a:prstGeom>
        <a:solidFill>
          <a:srgbClr val="4B008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España</a:t>
          </a:r>
        </a:p>
      </xdr:txBody>
    </xdr:sp>
    <xdr:clientData/>
  </xdr:twoCellAnchor>
  <xdr:twoCellAnchor editAs="absolute">
    <xdr:from>
      <xdr:col>0</xdr:col>
      <xdr:colOff>2108200</xdr:colOff>
      <xdr:row>18</xdr:row>
      <xdr:rowOff>144780</xdr:rowOff>
    </xdr:from>
    <xdr:to>
      <xdr:col>0</xdr:col>
      <xdr:colOff>2247900</xdr:colOff>
      <xdr:row>20</xdr:row>
      <xdr:rowOff>0</xdr:rowOff>
    </xdr:to>
    <xdr:sp macro="" textlink="">
      <xdr:nvSpPr>
        <xdr:cNvPr id="277" name="left 276"/>
        <xdr:cNvSpPr/>
      </xdr:nvSpPr>
      <xdr:spPr>
        <a:xfrm>
          <a:off x="2108200" y="31623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2514600</xdr:colOff>
      <xdr:row>18</xdr:row>
      <xdr:rowOff>144780</xdr:rowOff>
    </xdr:from>
    <xdr:to>
      <xdr:col>0</xdr:col>
      <xdr:colOff>2654300</xdr:colOff>
      <xdr:row>20</xdr:row>
      <xdr:rowOff>0</xdr:rowOff>
    </xdr:to>
    <xdr:sp macro="" textlink="">
      <xdr:nvSpPr>
        <xdr:cNvPr id="278" name="right 277"/>
        <xdr:cNvSpPr/>
      </xdr:nvSpPr>
      <xdr:spPr>
        <a:xfrm>
          <a:off x="2514600" y="31623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2692400</xdr:colOff>
      <xdr:row>16</xdr:row>
      <xdr:rowOff>10160</xdr:rowOff>
    </xdr:from>
    <xdr:to>
      <xdr:col>0</xdr:col>
      <xdr:colOff>3365500</xdr:colOff>
      <xdr:row>20</xdr:row>
      <xdr:rowOff>12700</xdr:rowOff>
    </xdr:to>
    <xdr:sp macro="" textlink="">
      <xdr:nvSpPr>
        <xdr:cNvPr id="279" name="outline 278"/>
        <xdr:cNvSpPr/>
      </xdr:nvSpPr>
      <xdr:spPr>
        <a:xfrm>
          <a:off x="2692400" y="26924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2705100</xdr:colOff>
      <xdr:row>16</xdr:row>
      <xdr:rowOff>22860</xdr:rowOff>
    </xdr:from>
    <xdr:to>
      <xdr:col>0</xdr:col>
      <xdr:colOff>3352800</xdr:colOff>
      <xdr:row>16</xdr:row>
      <xdr:rowOff>162560</xdr:rowOff>
    </xdr:to>
    <xdr:sp macro="" textlink="">
      <xdr:nvSpPr>
        <xdr:cNvPr id="280" name="name 279"/>
        <xdr:cNvSpPr/>
      </xdr:nvSpPr>
      <xdr:spPr>
        <a:xfrm>
          <a:off x="2705100" y="2705100"/>
          <a:ext cx="647700" cy="139700"/>
        </a:xfrm>
        <a:prstGeom prst="rect">
          <a:avLst/>
        </a:prstGeom>
        <a:solidFill>
          <a:srgbClr val="4B008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España</a:t>
          </a:r>
        </a:p>
      </xdr:txBody>
    </xdr:sp>
    <xdr:clientData/>
  </xdr:twoCellAnchor>
  <xdr:twoCellAnchor editAs="absolute">
    <xdr:from>
      <xdr:col>0</xdr:col>
      <xdr:colOff>2908300</xdr:colOff>
      <xdr:row>17</xdr:row>
      <xdr:rowOff>7620</xdr:rowOff>
    </xdr:from>
    <xdr:to>
      <xdr:col>0</xdr:col>
      <xdr:colOff>3276600</xdr:colOff>
      <xdr:row>19</xdr:row>
      <xdr:rowOff>91440</xdr:rowOff>
    </xdr:to>
    <xdr:pic>
      <xdr:nvPicPr>
        <xdr:cNvPr id="281" name="symbol 28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300" y="28575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2755900</xdr:colOff>
      <xdr:row>18</xdr:row>
      <xdr:rowOff>144780</xdr:rowOff>
    </xdr:from>
    <xdr:to>
      <xdr:col>0</xdr:col>
      <xdr:colOff>2921000</xdr:colOff>
      <xdr:row>20</xdr:row>
      <xdr:rowOff>0</xdr:rowOff>
    </xdr:to>
    <xdr:sp macro="" textlink="">
      <xdr:nvSpPr>
        <xdr:cNvPr id="282" name="fleft 281"/>
        <xdr:cNvSpPr/>
      </xdr:nvSpPr>
      <xdr:spPr>
        <a:xfrm>
          <a:off x="27559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3060700</xdr:colOff>
      <xdr:row>18</xdr:row>
      <xdr:rowOff>144780</xdr:rowOff>
    </xdr:from>
    <xdr:to>
      <xdr:col>0</xdr:col>
      <xdr:colOff>3200400</xdr:colOff>
      <xdr:row>20</xdr:row>
      <xdr:rowOff>0</xdr:rowOff>
    </xdr:to>
    <xdr:sp macro="" textlink="">
      <xdr:nvSpPr>
        <xdr:cNvPr id="283" name="fmiddle 282"/>
        <xdr:cNvSpPr/>
      </xdr:nvSpPr>
      <xdr:spPr>
        <a:xfrm>
          <a:off x="3060700" y="3162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3187700</xdr:colOff>
      <xdr:row>18</xdr:row>
      <xdr:rowOff>144780</xdr:rowOff>
    </xdr:from>
    <xdr:to>
      <xdr:col>0</xdr:col>
      <xdr:colOff>3352800</xdr:colOff>
      <xdr:row>20</xdr:row>
      <xdr:rowOff>0</xdr:rowOff>
    </xdr:to>
    <xdr:sp macro="" textlink="">
      <xdr:nvSpPr>
        <xdr:cNvPr id="284" name="fright 283"/>
        <xdr:cNvSpPr/>
      </xdr:nvSpPr>
      <xdr:spPr>
        <a:xfrm>
          <a:off x="31877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3213100</xdr:colOff>
      <xdr:row>17</xdr:row>
      <xdr:rowOff>58420</xdr:rowOff>
    </xdr:from>
    <xdr:to>
      <xdr:col>0</xdr:col>
      <xdr:colOff>3352800</xdr:colOff>
      <xdr:row>18</xdr:row>
      <xdr:rowOff>55880</xdr:rowOff>
    </xdr:to>
    <xdr:sp macro="" textlink="">
      <xdr:nvSpPr>
        <xdr:cNvPr id="285" name="eng 284"/>
        <xdr:cNvSpPr/>
      </xdr:nvSpPr>
      <xdr:spPr>
        <a:xfrm>
          <a:off x="3213100" y="29083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3365500</xdr:colOff>
      <xdr:row>16</xdr:row>
      <xdr:rowOff>10160</xdr:rowOff>
    </xdr:from>
    <xdr:to>
      <xdr:col>0</xdr:col>
      <xdr:colOff>4038600</xdr:colOff>
      <xdr:row>20</xdr:row>
      <xdr:rowOff>12700</xdr:rowOff>
    </xdr:to>
    <xdr:sp macro="" textlink="">
      <xdr:nvSpPr>
        <xdr:cNvPr id="286" name="outline 285"/>
        <xdr:cNvSpPr/>
      </xdr:nvSpPr>
      <xdr:spPr>
        <a:xfrm>
          <a:off x="3365500" y="26924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3378200</xdr:colOff>
      <xdr:row>16</xdr:row>
      <xdr:rowOff>22860</xdr:rowOff>
    </xdr:from>
    <xdr:to>
      <xdr:col>0</xdr:col>
      <xdr:colOff>4025900</xdr:colOff>
      <xdr:row>16</xdr:row>
      <xdr:rowOff>162560</xdr:rowOff>
    </xdr:to>
    <xdr:sp macro="" textlink="">
      <xdr:nvSpPr>
        <xdr:cNvPr id="287" name="name 286"/>
        <xdr:cNvSpPr/>
      </xdr:nvSpPr>
      <xdr:spPr>
        <a:xfrm>
          <a:off x="3378200" y="2705100"/>
          <a:ext cx="647700" cy="139700"/>
        </a:xfrm>
        <a:prstGeom prst="rect">
          <a:avLst/>
        </a:prstGeom>
        <a:solidFill>
          <a:srgbClr val="4B008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España</a:t>
          </a:r>
        </a:p>
      </xdr:txBody>
    </xdr:sp>
    <xdr:clientData/>
  </xdr:twoCellAnchor>
  <xdr:twoCellAnchor editAs="absolute">
    <xdr:from>
      <xdr:col>0</xdr:col>
      <xdr:colOff>3581400</xdr:colOff>
      <xdr:row>17</xdr:row>
      <xdr:rowOff>7620</xdr:rowOff>
    </xdr:from>
    <xdr:to>
      <xdr:col>0</xdr:col>
      <xdr:colOff>3949700</xdr:colOff>
      <xdr:row>19</xdr:row>
      <xdr:rowOff>91440</xdr:rowOff>
    </xdr:to>
    <xdr:pic>
      <xdr:nvPicPr>
        <xdr:cNvPr id="288" name="symbol 28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0" y="28575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3429000</xdr:colOff>
      <xdr:row>18</xdr:row>
      <xdr:rowOff>144780</xdr:rowOff>
    </xdr:from>
    <xdr:to>
      <xdr:col>0</xdr:col>
      <xdr:colOff>3594100</xdr:colOff>
      <xdr:row>20</xdr:row>
      <xdr:rowOff>0</xdr:rowOff>
    </xdr:to>
    <xdr:sp macro="" textlink="">
      <xdr:nvSpPr>
        <xdr:cNvPr id="289" name="fleft 288"/>
        <xdr:cNvSpPr/>
      </xdr:nvSpPr>
      <xdr:spPr>
        <a:xfrm>
          <a:off x="34290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3733800</xdr:colOff>
      <xdr:row>18</xdr:row>
      <xdr:rowOff>144780</xdr:rowOff>
    </xdr:from>
    <xdr:to>
      <xdr:col>0</xdr:col>
      <xdr:colOff>3873500</xdr:colOff>
      <xdr:row>20</xdr:row>
      <xdr:rowOff>0</xdr:rowOff>
    </xdr:to>
    <xdr:sp macro="" textlink="">
      <xdr:nvSpPr>
        <xdr:cNvPr id="290" name="fmiddle 289"/>
        <xdr:cNvSpPr/>
      </xdr:nvSpPr>
      <xdr:spPr>
        <a:xfrm>
          <a:off x="3733800" y="3162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3860800</xdr:colOff>
      <xdr:row>18</xdr:row>
      <xdr:rowOff>144780</xdr:rowOff>
    </xdr:from>
    <xdr:to>
      <xdr:col>0</xdr:col>
      <xdr:colOff>4025900</xdr:colOff>
      <xdr:row>20</xdr:row>
      <xdr:rowOff>0</xdr:rowOff>
    </xdr:to>
    <xdr:sp macro="" textlink="">
      <xdr:nvSpPr>
        <xdr:cNvPr id="291" name="fright 290"/>
        <xdr:cNvSpPr/>
      </xdr:nvSpPr>
      <xdr:spPr>
        <a:xfrm>
          <a:off x="38608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3886200</xdr:colOff>
      <xdr:row>17</xdr:row>
      <xdr:rowOff>58420</xdr:rowOff>
    </xdr:from>
    <xdr:to>
      <xdr:col>0</xdr:col>
      <xdr:colOff>4025900</xdr:colOff>
      <xdr:row>18</xdr:row>
      <xdr:rowOff>55880</xdr:rowOff>
    </xdr:to>
    <xdr:sp macro="" textlink="">
      <xdr:nvSpPr>
        <xdr:cNvPr id="292" name="eng 291"/>
        <xdr:cNvSpPr/>
      </xdr:nvSpPr>
      <xdr:spPr>
        <a:xfrm>
          <a:off x="3886200" y="29083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4038600</xdr:colOff>
      <xdr:row>16</xdr:row>
      <xdr:rowOff>10160</xdr:rowOff>
    </xdr:from>
    <xdr:to>
      <xdr:col>0</xdr:col>
      <xdr:colOff>4711700</xdr:colOff>
      <xdr:row>20</xdr:row>
      <xdr:rowOff>12700</xdr:rowOff>
    </xdr:to>
    <xdr:sp macro="" textlink="">
      <xdr:nvSpPr>
        <xdr:cNvPr id="293" name="outline 292"/>
        <xdr:cNvSpPr/>
      </xdr:nvSpPr>
      <xdr:spPr>
        <a:xfrm>
          <a:off x="4038600" y="26924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4254500</xdr:colOff>
      <xdr:row>16</xdr:row>
      <xdr:rowOff>22860</xdr:rowOff>
    </xdr:from>
    <xdr:to>
      <xdr:col>0</xdr:col>
      <xdr:colOff>4699000</xdr:colOff>
      <xdr:row>16</xdr:row>
      <xdr:rowOff>162560</xdr:rowOff>
    </xdr:to>
    <xdr:sp macro="" textlink="">
      <xdr:nvSpPr>
        <xdr:cNvPr id="294" name="name 293"/>
        <xdr:cNvSpPr/>
      </xdr:nvSpPr>
      <xdr:spPr>
        <a:xfrm>
          <a:off x="4254500" y="2705100"/>
          <a:ext cx="444500" cy="139700"/>
        </a:xfrm>
        <a:prstGeom prst="rect">
          <a:avLst/>
        </a:prstGeom>
        <a:solidFill>
          <a:srgbClr val="4B008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España</a:t>
          </a:r>
        </a:p>
      </xdr:txBody>
    </xdr:sp>
    <xdr:clientData/>
  </xdr:twoCellAnchor>
  <xdr:twoCellAnchor editAs="absolute">
    <xdr:from>
      <xdr:col>0</xdr:col>
      <xdr:colOff>4127500</xdr:colOff>
      <xdr:row>17</xdr:row>
      <xdr:rowOff>33020</xdr:rowOff>
    </xdr:from>
    <xdr:to>
      <xdr:col>0</xdr:col>
      <xdr:colOff>4622800</xdr:colOff>
      <xdr:row>18</xdr:row>
      <xdr:rowOff>157480</xdr:rowOff>
    </xdr:to>
    <xdr:pic>
      <xdr:nvPicPr>
        <xdr:cNvPr id="295" name="symbol 294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7500" y="28829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4102100</xdr:colOff>
      <xdr:row>18</xdr:row>
      <xdr:rowOff>144780</xdr:rowOff>
    </xdr:from>
    <xdr:to>
      <xdr:col>0</xdr:col>
      <xdr:colOff>4292600</xdr:colOff>
      <xdr:row>19</xdr:row>
      <xdr:rowOff>142240</xdr:rowOff>
    </xdr:to>
    <xdr:sp macro="" textlink="">
      <xdr:nvSpPr>
        <xdr:cNvPr id="296" name="fleft 295"/>
        <xdr:cNvSpPr/>
      </xdr:nvSpPr>
      <xdr:spPr>
        <a:xfrm>
          <a:off x="4102100" y="31623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(1)</a:t>
          </a:r>
        </a:p>
      </xdr:txBody>
    </xdr:sp>
    <xdr:clientData/>
  </xdr:twoCellAnchor>
  <xdr:twoCellAnchor editAs="absolute">
    <xdr:from>
      <xdr:col>0</xdr:col>
      <xdr:colOff>4330700</xdr:colOff>
      <xdr:row>18</xdr:row>
      <xdr:rowOff>144780</xdr:rowOff>
    </xdr:from>
    <xdr:to>
      <xdr:col>0</xdr:col>
      <xdr:colOff>4470400</xdr:colOff>
      <xdr:row>20</xdr:row>
      <xdr:rowOff>0</xdr:rowOff>
    </xdr:to>
    <xdr:sp macro="" textlink="">
      <xdr:nvSpPr>
        <xdr:cNvPr id="297" name="fmiddle 296"/>
        <xdr:cNvSpPr/>
      </xdr:nvSpPr>
      <xdr:spPr>
        <a:xfrm>
          <a:off x="4330700" y="3162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4508500</xdr:colOff>
      <xdr:row>18</xdr:row>
      <xdr:rowOff>144780</xdr:rowOff>
    </xdr:from>
    <xdr:to>
      <xdr:col>0</xdr:col>
      <xdr:colOff>4673600</xdr:colOff>
      <xdr:row>20</xdr:row>
      <xdr:rowOff>0</xdr:rowOff>
    </xdr:to>
    <xdr:sp macro="" textlink="">
      <xdr:nvSpPr>
        <xdr:cNvPr id="298" name="fright 297"/>
        <xdr:cNvSpPr/>
      </xdr:nvSpPr>
      <xdr:spPr>
        <a:xfrm>
          <a:off x="45085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4051300</xdr:colOff>
      <xdr:row>16</xdr:row>
      <xdr:rowOff>22860</xdr:rowOff>
    </xdr:from>
    <xdr:to>
      <xdr:col>0</xdr:col>
      <xdr:colOff>4241800</xdr:colOff>
      <xdr:row>16</xdr:row>
      <xdr:rowOff>137160</xdr:rowOff>
    </xdr:to>
    <xdr:sp macro="" textlink="">
      <xdr:nvSpPr>
        <xdr:cNvPr id="299" name="eng 298"/>
        <xdr:cNvSpPr/>
      </xdr:nvSpPr>
      <xdr:spPr>
        <a:xfrm>
          <a:off x="4051300" y="27051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2-3</a:t>
          </a:r>
        </a:p>
      </xdr:txBody>
    </xdr:sp>
    <xdr:clientData/>
  </xdr:twoCellAnchor>
  <xdr:twoCellAnchor editAs="absolute">
    <xdr:from>
      <xdr:col>0</xdr:col>
      <xdr:colOff>4711700</xdr:colOff>
      <xdr:row>16</xdr:row>
      <xdr:rowOff>10160</xdr:rowOff>
    </xdr:from>
    <xdr:to>
      <xdr:col>0</xdr:col>
      <xdr:colOff>5384800</xdr:colOff>
      <xdr:row>20</xdr:row>
      <xdr:rowOff>12700</xdr:rowOff>
    </xdr:to>
    <xdr:sp macro="" textlink="">
      <xdr:nvSpPr>
        <xdr:cNvPr id="300" name="outline 299"/>
        <xdr:cNvSpPr/>
      </xdr:nvSpPr>
      <xdr:spPr>
        <a:xfrm>
          <a:off x="4711700" y="26924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4724400</xdr:colOff>
      <xdr:row>16</xdr:row>
      <xdr:rowOff>22860</xdr:rowOff>
    </xdr:from>
    <xdr:to>
      <xdr:col>0</xdr:col>
      <xdr:colOff>5372100</xdr:colOff>
      <xdr:row>16</xdr:row>
      <xdr:rowOff>162560</xdr:rowOff>
    </xdr:to>
    <xdr:sp macro="" textlink="">
      <xdr:nvSpPr>
        <xdr:cNvPr id="301" name="name 300"/>
        <xdr:cNvSpPr/>
      </xdr:nvSpPr>
      <xdr:spPr>
        <a:xfrm>
          <a:off x="4724400" y="2705100"/>
          <a:ext cx="647700" cy="139700"/>
        </a:xfrm>
        <a:prstGeom prst="rect">
          <a:avLst/>
        </a:prstGeom>
        <a:solidFill>
          <a:srgbClr val="4B008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Sanchez</a:t>
          </a:r>
        </a:p>
      </xdr:txBody>
    </xdr:sp>
    <xdr:clientData/>
  </xdr:twoCellAnchor>
  <xdr:twoCellAnchor editAs="absolute">
    <xdr:from>
      <xdr:col>0</xdr:col>
      <xdr:colOff>4876800</xdr:colOff>
      <xdr:row>16</xdr:row>
      <xdr:rowOff>149860</xdr:rowOff>
    </xdr:from>
    <xdr:to>
      <xdr:col>0</xdr:col>
      <xdr:colOff>5245100</xdr:colOff>
      <xdr:row>19</xdr:row>
      <xdr:rowOff>66040</xdr:rowOff>
    </xdr:to>
    <xdr:pic>
      <xdr:nvPicPr>
        <xdr:cNvPr id="302" name="symbol 301"/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6800" y="2832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4775200</xdr:colOff>
      <xdr:row>18</xdr:row>
      <xdr:rowOff>144780</xdr:rowOff>
    </xdr:from>
    <xdr:to>
      <xdr:col>0</xdr:col>
      <xdr:colOff>4940300</xdr:colOff>
      <xdr:row>20</xdr:row>
      <xdr:rowOff>0</xdr:rowOff>
    </xdr:to>
    <xdr:sp macro="" textlink="">
      <xdr:nvSpPr>
        <xdr:cNvPr id="303" name="fleft 302"/>
        <xdr:cNvSpPr/>
      </xdr:nvSpPr>
      <xdr:spPr>
        <a:xfrm>
          <a:off x="47752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5003800</xdr:colOff>
      <xdr:row>18</xdr:row>
      <xdr:rowOff>144780</xdr:rowOff>
    </xdr:from>
    <xdr:to>
      <xdr:col>0</xdr:col>
      <xdr:colOff>5143500</xdr:colOff>
      <xdr:row>20</xdr:row>
      <xdr:rowOff>0</xdr:rowOff>
    </xdr:to>
    <xdr:sp macro="" textlink="">
      <xdr:nvSpPr>
        <xdr:cNvPr id="304" name="fmiddle 303"/>
        <xdr:cNvSpPr/>
      </xdr:nvSpPr>
      <xdr:spPr>
        <a:xfrm>
          <a:off x="5003800" y="3162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5181600</xdr:colOff>
      <xdr:row>18</xdr:row>
      <xdr:rowOff>144780</xdr:rowOff>
    </xdr:from>
    <xdr:to>
      <xdr:col>0</xdr:col>
      <xdr:colOff>5346700</xdr:colOff>
      <xdr:row>20</xdr:row>
      <xdr:rowOff>0</xdr:rowOff>
    </xdr:to>
    <xdr:sp macro="" textlink="">
      <xdr:nvSpPr>
        <xdr:cNvPr id="305" name="fright 304"/>
        <xdr:cNvSpPr/>
      </xdr:nvSpPr>
      <xdr:spPr>
        <a:xfrm>
          <a:off x="51816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5232400</xdr:colOff>
      <xdr:row>17</xdr:row>
      <xdr:rowOff>33020</xdr:rowOff>
    </xdr:from>
    <xdr:to>
      <xdr:col>0</xdr:col>
      <xdr:colOff>5372100</xdr:colOff>
      <xdr:row>18</xdr:row>
      <xdr:rowOff>30480</xdr:rowOff>
    </xdr:to>
    <xdr:sp macro="" textlink="">
      <xdr:nvSpPr>
        <xdr:cNvPr id="306" name="eng 305"/>
        <xdr:cNvSpPr/>
      </xdr:nvSpPr>
      <xdr:spPr>
        <a:xfrm>
          <a:off x="5232400" y="28829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5384800</xdr:colOff>
      <xdr:row>16</xdr:row>
      <xdr:rowOff>10160</xdr:rowOff>
    </xdr:from>
    <xdr:to>
      <xdr:col>0</xdr:col>
      <xdr:colOff>6057900</xdr:colOff>
      <xdr:row>20</xdr:row>
      <xdr:rowOff>12700</xdr:rowOff>
    </xdr:to>
    <xdr:sp macro="" textlink="">
      <xdr:nvSpPr>
        <xdr:cNvPr id="307" name="outline 306"/>
        <xdr:cNvSpPr/>
      </xdr:nvSpPr>
      <xdr:spPr>
        <a:xfrm>
          <a:off x="5384800" y="26924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5600700</xdr:colOff>
      <xdr:row>16</xdr:row>
      <xdr:rowOff>22860</xdr:rowOff>
    </xdr:from>
    <xdr:to>
      <xdr:col>0</xdr:col>
      <xdr:colOff>6045200</xdr:colOff>
      <xdr:row>16</xdr:row>
      <xdr:rowOff>162560</xdr:rowOff>
    </xdr:to>
    <xdr:sp macro="" textlink="">
      <xdr:nvSpPr>
        <xdr:cNvPr id="308" name="name 307"/>
        <xdr:cNvSpPr/>
      </xdr:nvSpPr>
      <xdr:spPr>
        <a:xfrm>
          <a:off x="5600700" y="2705100"/>
          <a:ext cx="444500" cy="139700"/>
        </a:xfrm>
        <a:prstGeom prst="rect">
          <a:avLst/>
        </a:prstGeom>
        <a:solidFill>
          <a:srgbClr val="4B008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Sanchez</a:t>
          </a:r>
        </a:p>
      </xdr:txBody>
    </xdr:sp>
    <xdr:clientData/>
  </xdr:twoCellAnchor>
  <xdr:twoCellAnchor editAs="absolute">
    <xdr:from>
      <xdr:col>0</xdr:col>
      <xdr:colOff>5448300</xdr:colOff>
      <xdr:row>17</xdr:row>
      <xdr:rowOff>83820</xdr:rowOff>
    </xdr:from>
    <xdr:to>
      <xdr:col>0</xdr:col>
      <xdr:colOff>5842000</xdr:colOff>
      <xdr:row>18</xdr:row>
      <xdr:rowOff>157480</xdr:rowOff>
    </xdr:to>
    <xdr:pic>
      <xdr:nvPicPr>
        <xdr:cNvPr id="309" name="symbol 308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8300" y="2933700"/>
          <a:ext cx="393700" cy="241300"/>
        </a:xfrm>
        <a:prstGeom prst="rect">
          <a:avLst/>
        </a:prstGeom>
      </xdr:spPr>
    </xdr:pic>
    <xdr:clientData/>
  </xdr:twoCellAnchor>
  <xdr:twoCellAnchor editAs="absolute">
    <xdr:from>
      <xdr:col>0</xdr:col>
      <xdr:colOff>5753100</xdr:colOff>
      <xdr:row>16</xdr:row>
      <xdr:rowOff>149860</xdr:rowOff>
    </xdr:from>
    <xdr:to>
      <xdr:col>0</xdr:col>
      <xdr:colOff>6045200</xdr:colOff>
      <xdr:row>18</xdr:row>
      <xdr:rowOff>106680</xdr:rowOff>
    </xdr:to>
    <xdr:pic>
      <xdr:nvPicPr>
        <xdr:cNvPr id="310" name="elite 309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0" y="2832100"/>
          <a:ext cx="2921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5448300</xdr:colOff>
      <xdr:row>18</xdr:row>
      <xdr:rowOff>144780</xdr:rowOff>
    </xdr:from>
    <xdr:to>
      <xdr:col>0</xdr:col>
      <xdr:colOff>5638800</xdr:colOff>
      <xdr:row>19</xdr:row>
      <xdr:rowOff>142240</xdr:rowOff>
    </xdr:to>
    <xdr:sp macro="" textlink="">
      <xdr:nvSpPr>
        <xdr:cNvPr id="311" name="fleft 310"/>
        <xdr:cNvSpPr/>
      </xdr:nvSpPr>
      <xdr:spPr>
        <a:xfrm>
          <a:off x="5448300" y="31623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(0)</a:t>
          </a:r>
        </a:p>
      </xdr:txBody>
    </xdr:sp>
    <xdr:clientData/>
  </xdr:twoCellAnchor>
  <xdr:twoCellAnchor editAs="absolute">
    <xdr:from>
      <xdr:col>0</xdr:col>
      <xdr:colOff>5676900</xdr:colOff>
      <xdr:row>18</xdr:row>
      <xdr:rowOff>144780</xdr:rowOff>
    </xdr:from>
    <xdr:to>
      <xdr:col>0</xdr:col>
      <xdr:colOff>5816600</xdr:colOff>
      <xdr:row>20</xdr:row>
      <xdr:rowOff>0</xdr:rowOff>
    </xdr:to>
    <xdr:sp macro="" textlink="">
      <xdr:nvSpPr>
        <xdr:cNvPr id="312" name="fmiddle 311"/>
        <xdr:cNvSpPr/>
      </xdr:nvSpPr>
      <xdr:spPr>
        <a:xfrm>
          <a:off x="5676900" y="3162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5854700</xdr:colOff>
      <xdr:row>18</xdr:row>
      <xdr:rowOff>144780</xdr:rowOff>
    </xdr:from>
    <xdr:to>
      <xdr:col>0</xdr:col>
      <xdr:colOff>6019800</xdr:colOff>
      <xdr:row>20</xdr:row>
      <xdr:rowOff>0</xdr:rowOff>
    </xdr:to>
    <xdr:sp macro="" textlink="">
      <xdr:nvSpPr>
        <xdr:cNvPr id="313" name="fright 312"/>
        <xdr:cNvSpPr/>
      </xdr:nvSpPr>
      <xdr:spPr>
        <a:xfrm>
          <a:off x="58547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5397500</xdr:colOff>
      <xdr:row>16</xdr:row>
      <xdr:rowOff>22860</xdr:rowOff>
    </xdr:from>
    <xdr:to>
      <xdr:col>0</xdr:col>
      <xdr:colOff>5588000</xdr:colOff>
      <xdr:row>16</xdr:row>
      <xdr:rowOff>137160</xdr:rowOff>
    </xdr:to>
    <xdr:sp macro="" textlink="">
      <xdr:nvSpPr>
        <xdr:cNvPr id="314" name="eng 313"/>
        <xdr:cNvSpPr/>
      </xdr:nvSpPr>
      <xdr:spPr>
        <a:xfrm>
          <a:off x="5397500" y="27051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1-2</a:t>
          </a:r>
        </a:p>
      </xdr:txBody>
    </xdr:sp>
    <xdr:clientData/>
  </xdr:twoCellAnchor>
  <xdr:twoCellAnchor editAs="absolute">
    <xdr:from>
      <xdr:col>0</xdr:col>
      <xdr:colOff>6057900</xdr:colOff>
      <xdr:row>16</xdr:row>
      <xdr:rowOff>10160</xdr:rowOff>
    </xdr:from>
    <xdr:to>
      <xdr:col>0</xdr:col>
      <xdr:colOff>6731000</xdr:colOff>
      <xdr:row>20</xdr:row>
      <xdr:rowOff>12700</xdr:rowOff>
    </xdr:to>
    <xdr:sp macro="" textlink="">
      <xdr:nvSpPr>
        <xdr:cNvPr id="315" name="outline 314"/>
        <xdr:cNvSpPr/>
      </xdr:nvSpPr>
      <xdr:spPr>
        <a:xfrm>
          <a:off x="6057900" y="2692400"/>
          <a:ext cx="673100" cy="673100"/>
        </a:xfrm>
        <a:prstGeom prst="rect">
          <a:avLst/>
        </a:prstGeom>
        <a:solidFill>
          <a:srgbClr val="FFA3C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6223000</xdr:colOff>
      <xdr:row>16</xdr:row>
      <xdr:rowOff>48260</xdr:rowOff>
    </xdr:from>
    <xdr:to>
      <xdr:col>0</xdr:col>
      <xdr:colOff>6718300</xdr:colOff>
      <xdr:row>18</xdr:row>
      <xdr:rowOff>132080</xdr:rowOff>
    </xdr:to>
    <xdr:sp macro="" textlink="">
      <xdr:nvSpPr>
        <xdr:cNvPr id="316" name="flag 315"/>
        <xdr:cNvSpPr/>
      </xdr:nvSpPr>
      <xdr:spPr>
        <a:xfrm>
          <a:off x="6223000" y="2730500"/>
          <a:ext cx="495300" cy="419100"/>
        </a:xfrm>
        <a:prstGeom prst="rect">
          <a:avLst/>
        </a:prstGeom>
        <a:solidFill>
          <a:srgbClr val="FFA3C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C</a:t>
          </a:r>
        </a:p>
      </xdr:txBody>
    </xdr:sp>
    <xdr:clientData/>
  </xdr:twoCellAnchor>
  <xdr:twoCellAnchor editAs="absolute">
    <xdr:from>
      <xdr:col>0</xdr:col>
      <xdr:colOff>6070600</xdr:colOff>
      <xdr:row>16</xdr:row>
      <xdr:rowOff>22860</xdr:rowOff>
    </xdr:from>
    <xdr:to>
      <xdr:col>0</xdr:col>
      <xdr:colOff>6210300</xdr:colOff>
      <xdr:row>18</xdr:row>
      <xdr:rowOff>157480</xdr:rowOff>
    </xdr:to>
    <xdr:sp macro="" textlink="">
      <xdr:nvSpPr>
        <xdr:cNvPr id="317" name="name 316"/>
        <xdr:cNvSpPr/>
      </xdr:nvSpPr>
      <xdr:spPr>
        <a:xfrm>
          <a:off x="6070600" y="2705100"/>
          <a:ext cx="139700" cy="469900"/>
        </a:xfrm>
        <a:prstGeom prst="rect">
          <a:avLst/>
        </a:prstGeom>
        <a:solidFill>
          <a:srgbClr val="00CED1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Cotton</a:t>
          </a:r>
        </a:p>
      </xdr:txBody>
    </xdr:sp>
    <xdr:clientData/>
  </xdr:twoCellAnchor>
  <xdr:twoCellAnchor editAs="absolute">
    <xdr:from>
      <xdr:col>0</xdr:col>
      <xdr:colOff>6146800</xdr:colOff>
      <xdr:row>18</xdr:row>
      <xdr:rowOff>144780</xdr:rowOff>
    </xdr:from>
    <xdr:to>
      <xdr:col>0</xdr:col>
      <xdr:colOff>6286500</xdr:colOff>
      <xdr:row>20</xdr:row>
      <xdr:rowOff>0</xdr:rowOff>
    </xdr:to>
    <xdr:sp macro="" textlink="">
      <xdr:nvSpPr>
        <xdr:cNvPr id="318" name="left 317"/>
        <xdr:cNvSpPr/>
      </xdr:nvSpPr>
      <xdr:spPr>
        <a:xfrm>
          <a:off x="6146800" y="31623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6553200</xdr:colOff>
      <xdr:row>18</xdr:row>
      <xdr:rowOff>144780</xdr:rowOff>
    </xdr:from>
    <xdr:to>
      <xdr:col>0</xdr:col>
      <xdr:colOff>6692900</xdr:colOff>
      <xdr:row>20</xdr:row>
      <xdr:rowOff>0</xdr:rowOff>
    </xdr:to>
    <xdr:sp macro="" textlink="">
      <xdr:nvSpPr>
        <xdr:cNvPr id="319" name="right 318"/>
        <xdr:cNvSpPr/>
      </xdr:nvSpPr>
      <xdr:spPr>
        <a:xfrm>
          <a:off x="6553200" y="31623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0</xdr:colOff>
      <xdr:row>20</xdr:row>
      <xdr:rowOff>12700</xdr:rowOff>
    </xdr:from>
    <xdr:to>
      <xdr:col>0</xdr:col>
      <xdr:colOff>673100</xdr:colOff>
      <xdr:row>24</xdr:row>
      <xdr:rowOff>15240</xdr:rowOff>
    </xdr:to>
    <xdr:sp macro="" textlink="">
      <xdr:nvSpPr>
        <xdr:cNvPr id="320" name="outline 319"/>
        <xdr:cNvSpPr/>
      </xdr:nvSpPr>
      <xdr:spPr>
        <a:xfrm>
          <a:off x="0" y="3365500"/>
          <a:ext cx="673100" cy="673100"/>
        </a:xfrm>
        <a:prstGeom prst="rect">
          <a:avLst/>
        </a:prstGeom>
        <a:solidFill>
          <a:srgbClr val="FFA3C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165100</xdr:colOff>
      <xdr:row>20</xdr:row>
      <xdr:rowOff>50800</xdr:rowOff>
    </xdr:from>
    <xdr:to>
      <xdr:col>0</xdr:col>
      <xdr:colOff>660400</xdr:colOff>
      <xdr:row>22</xdr:row>
      <xdr:rowOff>134620</xdr:rowOff>
    </xdr:to>
    <xdr:sp macro="" textlink="">
      <xdr:nvSpPr>
        <xdr:cNvPr id="321" name="flag 320"/>
        <xdr:cNvSpPr/>
      </xdr:nvSpPr>
      <xdr:spPr>
        <a:xfrm>
          <a:off x="165100" y="3403600"/>
          <a:ext cx="495300" cy="419100"/>
        </a:xfrm>
        <a:prstGeom prst="rect">
          <a:avLst/>
        </a:prstGeom>
        <a:solidFill>
          <a:srgbClr val="FFA3C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C</a:t>
          </a:r>
        </a:p>
      </xdr:txBody>
    </xdr:sp>
    <xdr:clientData/>
  </xdr:twoCellAnchor>
  <xdr:twoCellAnchor editAs="absolute">
    <xdr:from>
      <xdr:col>0</xdr:col>
      <xdr:colOff>12700</xdr:colOff>
      <xdr:row>20</xdr:row>
      <xdr:rowOff>25400</xdr:rowOff>
    </xdr:from>
    <xdr:to>
      <xdr:col>0</xdr:col>
      <xdr:colOff>152400</xdr:colOff>
      <xdr:row>22</xdr:row>
      <xdr:rowOff>160020</xdr:rowOff>
    </xdr:to>
    <xdr:sp macro="" textlink="">
      <xdr:nvSpPr>
        <xdr:cNvPr id="322" name="name 321"/>
        <xdr:cNvSpPr/>
      </xdr:nvSpPr>
      <xdr:spPr>
        <a:xfrm>
          <a:off x="12700" y="3378200"/>
          <a:ext cx="139700" cy="469900"/>
        </a:xfrm>
        <a:prstGeom prst="rect">
          <a:avLst/>
        </a:prstGeom>
        <a:solidFill>
          <a:srgbClr val="00CED1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Cotton</a:t>
          </a:r>
        </a:p>
      </xdr:txBody>
    </xdr:sp>
    <xdr:clientData/>
  </xdr:twoCellAnchor>
  <xdr:twoCellAnchor editAs="absolute">
    <xdr:from>
      <xdr:col>0</xdr:col>
      <xdr:colOff>88900</xdr:colOff>
      <xdr:row>22</xdr:row>
      <xdr:rowOff>147320</xdr:rowOff>
    </xdr:from>
    <xdr:to>
      <xdr:col>0</xdr:col>
      <xdr:colOff>228600</xdr:colOff>
      <xdr:row>24</xdr:row>
      <xdr:rowOff>2540</xdr:rowOff>
    </xdr:to>
    <xdr:sp macro="" textlink="">
      <xdr:nvSpPr>
        <xdr:cNvPr id="323" name="left 322"/>
        <xdr:cNvSpPr/>
      </xdr:nvSpPr>
      <xdr:spPr>
        <a:xfrm>
          <a:off x="88900" y="3835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495300</xdr:colOff>
      <xdr:row>22</xdr:row>
      <xdr:rowOff>147320</xdr:rowOff>
    </xdr:from>
    <xdr:to>
      <xdr:col>0</xdr:col>
      <xdr:colOff>635000</xdr:colOff>
      <xdr:row>24</xdr:row>
      <xdr:rowOff>2540</xdr:rowOff>
    </xdr:to>
    <xdr:sp macro="" textlink="">
      <xdr:nvSpPr>
        <xdr:cNvPr id="324" name="right 323"/>
        <xdr:cNvSpPr/>
      </xdr:nvSpPr>
      <xdr:spPr>
        <a:xfrm>
          <a:off x="495300" y="3835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673100</xdr:colOff>
      <xdr:row>20</xdr:row>
      <xdr:rowOff>12700</xdr:rowOff>
    </xdr:from>
    <xdr:to>
      <xdr:col>0</xdr:col>
      <xdr:colOff>1346200</xdr:colOff>
      <xdr:row>24</xdr:row>
      <xdr:rowOff>15240</xdr:rowOff>
    </xdr:to>
    <xdr:sp macro="" textlink="">
      <xdr:nvSpPr>
        <xdr:cNvPr id="325" name="outline 324"/>
        <xdr:cNvSpPr/>
      </xdr:nvSpPr>
      <xdr:spPr>
        <a:xfrm>
          <a:off x="673100" y="3365500"/>
          <a:ext cx="673100" cy="673100"/>
        </a:xfrm>
        <a:prstGeom prst="rect">
          <a:avLst/>
        </a:prstGeom>
        <a:solidFill>
          <a:srgbClr val="FFC0CB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685800</xdr:colOff>
      <xdr:row>20</xdr:row>
      <xdr:rowOff>25400</xdr:rowOff>
    </xdr:from>
    <xdr:to>
      <xdr:col>0</xdr:col>
      <xdr:colOff>1333500</xdr:colOff>
      <xdr:row>20</xdr:row>
      <xdr:rowOff>165100</xdr:rowOff>
    </xdr:to>
    <xdr:sp macro="" textlink="">
      <xdr:nvSpPr>
        <xdr:cNvPr id="326" name="name 325"/>
        <xdr:cNvSpPr/>
      </xdr:nvSpPr>
      <xdr:spPr>
        <a:xfrm>
          <a:off x="685800" y="3378200"/>
          <a:ext cx="647700" cy="139700"/>
        </a:xfrm>
        <a:prstGeom prst="rect">
          <a:avLst/>
        </a:prstGeom>
        <a:solidFill>
          <a:srgbClr val="00CED1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Le Marchant</a:t>
          </a:r>
        </a:p>
      </xdr:txBody>
    </xdr:sp>
    <xdr:clientData/>
  </xdr:twoCellAnchor>
  <xdr:twoCellAnchor editAs="absolute">
    <xdr:from>
      <xdr:col>0</xdr:col>
      <xdr:colOff>838200</xdr:colOff>
      <xdr:row>20</xdr:row>
      <xdr:rowOff>152400</xdr:rowOff>
    </xdr:from>
    <xdr:to>
      <xdr:col>0</xdr:col>
      <xdr:colOff>1206500</xdr:colOff>
      <xdr:row>23</xdr:row>
      <xdr:rowOff>68580</xdr:rowOff>
    </xdr:to>
    <xdr:pic>
      <xdr:nvPicPr>
        <xdr:cNvPr id="327" name="symbol 326"/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3505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736600</xdr:colOff>
      <xdr:row>21</xdr:row>
      <xdr:rowOff>35560</xdr:rowOff>
    </xdr:from>
    <xdr:to>
      <xdr:col>0</xdr:col>
      <xdr:colOff>876300</xdr:colOff>
      <xdr:row>22</xdr:row>
      <xdr:rowOff>33020</xdr:rowOff>
    </xdr:to>
    <xdr:sp macro="" textlink="">
      <xdr:nvSpPr>
        <xdr:cNvPr id="328" name="heavy 327"/>
        <xdr:cNvSpPr/>
      </xdr:nvSpPr>
      <xdr:spPr>
        <a:xfrm>
          <a:off x="736600" y="3556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8B0000"/>
              </a:solidFill>
              <a:latin typeface="arial bold"/>
            </a:rPr>
            <a:t>L</a:t>
          </a:r>
        </a:p>
      </xdr:txBody>
    </xdr:sp>
    <xdr:clientData/>
  </xdr:twoCellAnchor>
  <xdr:twoCellAnchor editAs="absolute">
    <xdr:from>
      <xdr:col>0</xdr:col>
      <xdr:colOff>736600</xdr:colOff>
      <xdr:row>22</xdr:row>
      <xdr:rowOff>147320</xdr:rowOff>
    </xdr:from>
    <xdr:to>
      <xdr:col>0</xdr:col>
      <xdr:colOff>901700</xdr:colOff>
      <xdr:row>24</xdr:row>
      <xdr:rowOff>2540</xdr:rowOff>
    </xdr:to>
    <xdr:sp macro="" textlink="">
      <xdr:nvSpPr>
        <xdr:cNvPr id="329" name="fleft 328"/>
        <xdr:cNvSpPr/>
      </xdr:nvSpPr>
      <xdr:spPr>
        <a:xfrm>
          <a:off x="7366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965200</xdr:colOff>
      <xdr:row>22</xdr:row>
      <xdr:rowOff>147320</xdr:rowOff>
    </xdr:from>
    <xdr:to>
      <xdr:col>0</xdr:col>
      <xdr:colOff>1104900</xdr:colOff>
      <xdr:row>24</xdr:row>
      <xdr:rowOff>2540</xdr:rowOff>
    </xdr:to>
    <xdr:sp macro="" textlink="">
      <xdr:nvSpPr>
        <xdr:cNvPr id="330" name="fmiddle 329"/>
        <xdr:cNvSpPr/>
      </xdr:nvSpPr>
      <xdr:spPr>
        <a:xfrm>
          <a:off x="965200" y="38354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1143000</xdr:colOff>
      <xdr:row>22</xdr:row>
      <xdr:rowOff>147320</xdr:rowOff>
    </xdr:from>
    <xdr:to>
      <xdr:col>0</xdr:col>
      <xdr:colOff>1308100</xdr:colOff>
      <xdr:row>24</xdr:row>
      <xdr:rowOff>2540</xdr:rowOff>
    </xdr:to>
    <xdr:sp macro="" textlink="">
      <xdr:nvSpPr>
        <xdr:cNvPr id="331" name="fright 330"/>
        <xdr:cNvSpPr/>
      </xdr:nvSpPr>
      <xdr:spPr>
        <a:xfrm>
          <a:off x="11430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1193800</xdr:colOff>
      <xdr:row>21</xdr:row>
      <xdr:rowOff>35560</xdr:rowOff>
    </xdr:from>
    <xdr:to>
      <xdr:col>0</xdr:col>
      <xdr:colOff>1333500</xdr:colOff>
      <xdr:row>22</xdr:row>
      <xdr:rowOff>33020</xdr:rowOff>
    </xdr:to>
    <xdr:sp macro="" textlink="">
      <xdr:nvSpPr>
        <xdr:cNvPr id="332" name="eng 331"/>
        <xdr:cNvSpPr/>
      </xdr:nvSpPr>
      <xdr:spPr>
        <a:xfrm>
          <a:off x="1193800" y="3556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1346200</xdr:colOff>
      <xdr:row>20</xdr:row>
      <xdr:rowOff>12700</xdr:rowOff>
    </xdr:from>
    <xdr:to>
      <xdr:col>0</xdr:col>
      <xdr:colOff>2019300</xdr:colOff>
      <xdr:row>24</xdr:row>
      <xdr:rowOff>15240</xdr:rowOff>
    </xdr:to>
    <xdr:sp macro="" textlink="">
      <xdr:nvSpPr>
        <xdr:cNvPr id="333" name="outline 332"/>
        <xdr:cNvSpPr/>
      </xdr:nvSpPr>
      <xdr:spPr>
        <a:xfrm>
          <a:off x="1346200" y="3365500"/>
          <a:ext cx="673100" cy="673100"/>
        </a:xfrm>
        <a:prstGeom prst="rect">
          <a:avLst/>
        </a:prstGeom>
        <a:solidFill>
          <a:srgbClr val="FFC0CB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1358900</xdr:colOff>
      <xdr:row>20</xdr:row>
      <xdr:rowOff>25400</xdr:rowOff>
    </xdr:from>
    <xdr:to>
      <xdr:col>0</xdr:col>
      <xdr:colOff>2006600</xdr:colOff>
      <xdr:row>20</xdr:row>
      <xdr:rowOff>165100</xdr:rowOff>
    </xdr:to>
    <xdr:sp macro="" textlink="">
      <xdr:nvSpPr>
        <xdr:cNvPr id="334" name="name 333"/>
        <xdr:cNvSpPr/>
      </xdr:nvSpPr>
      <xdr:spPr>
        <a:xfrm>
          <a:off x="1358900" y="3378200"/>
          <a:ext cx="647700" cy="139700"/>
        </a:xfrm>
        <a:prstGeom prst="rect">
          <a:avLst/>
        </a:prstGeom>
        <a:solidFill>
          <a:srgbClr val="00CED1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Anson</a:t>
          </a:r>
        </a:p>
      </xdr:txBody>
    </xdr:sp>
    <xdr:clientData/>
  </xdr:twoCellAnchor>
  <xdr:twoCellAnchor editAs="absolute">
    <xdr:from>
      <xdr:col>0</xdr:col>
      <xdr:colOff>1511300</xdr:colOff>
      <xdr:row>20</xdr:row>
      <xdr:rowOff>152400</xdr:rowOff>
    </xdr:from>
    <xdr:to>
      <xdr:col>0</xdr:col>
      <xdr:colOff>1879600</xdr:colOff>
      <xdr:row>23</xdr:row>
      <xdr:rowOff>68580</xdr:rowOff>
    </xdr:to>
    <xdr:pic>
      <xdr:nvPicPr>
        <xdr:cNvPr id="335" name="symbol 334"/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1300" y="3505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1409700</xdr:colOff>
      <xdr:row>22</xdr:row>
      <xdr:rowOff>147320</xdr:rowOff>
    </xdr:from>
    <xdr:to>
      <xdr:col>0</xdr:col>
      <xdr:colOff>1574800</xdr:colOff>
      <xdr:row>24</xdr:row>
      <xdr:rowOff>2540</xdr:rowOff>
    </xdr:to>
    <xdr:sp macro="" textlink="">
      <xdr:nvSpPr>
        <xdr:cNvPr id="336" name="fleft 335"/>
        <xdr:cNvSpPr/>
      </xdr:nvSpPr>
      <xdr:spPr>
        <a:xfrm>
          <a:off x="14097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1638300</xdr:colOff>
      <xdr:row>22</xdr:row>
      <xdr:rowOff>147320</xdr:rowOff>
    </xdr:from>
    <xdr:to>
      <xdr:col>0</xdr:col>
      <xdr:colOff>1778000</xdr:colOff>
      <xdr:row>24</xdr:row>
      <xdr:rowOff>2540</xdr:rowOff>
    </xdr:to>
    <xdr:sp macro="" textlink="">
      <xdr:nvSpPr>
        <xdr:cNvPr id="337" name="fmiddle 336"/>
        <xdr:cNvSpPr/>
      </xdr:nvSpPr>
      <xdr:spPr>
        <a:xfrm>
          <a:off x="1638300" y="38354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1816100</xdr:colOff>
      <xdr:row>22</xdr:row>
      <xdr:rowOff>147320</xdr:rowOff>
    </xdr:from>
    <xdr:to>
      <xdr:col>0</xdr:col>
      <xdr:colOff>1981200</xdr:colOff>
      <xdr:row>24</xdr:row>
      <xdr:rowOff>2540</xdr:rowOff>
    </xdr:to>
    <xdr:sp macro="" textlink="">
      <xdr:nvSpPr>
        <xdr:cNvPr id="338" name="fright 337"/>
        <xdr:cNvSpPr/>
      </xdr:nvSpPr>
      <xdr:spPr>
        <a:xfrm>
          <a:off x="18161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1866900</xdr:colOff>
      <xdr:row>21</xdr:row>
      <xdr:rowOff>35560</xdr:rowOff>
    </xdr:from>
    <xdr:to>
      <xdr:col>0</xdr:col>
      <xdr:colOff>2006600</xdr:colOff>
      <xdr:row>22</xdr:row>
      <xdr:rowOff>33020</xdr:rowOff>
    </xdr:to>
    <xdr:sp macro="" textlink="">
      <xdr:nvSpPr>
        <xdr:cNvPr id="339" name="eng 338"/>
        <xdr:cNvSpPr/>
      </xdr:nvSpPr>
      <xdr:spPr>
        <a:xfrm>
          <a:off x="1866900" y="3556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2019300</xdr:colOff>
      <xdr:row>20</xdr:row>
      <xdr:rowOff>12700</xdr:rowOff>
    </xdr:from>
    <xdr:to>
      <xdr:col>0</xdr:col>
      <xdr:colOff>2692400</xdr:colOff>
      <xdr:row>24</xdr:row>
      <xdr:rowOff>15240</xdr:rowOff>
    </xdr:to>
    <xdr:sp macro="" textlink="">
      <xdr:nvSpPr>
        <xdr:cNvPr id="340" name="outline 339"/>
        <xdr:cNvSpPr/>
      </xdr:nvSpPr>
      <xdr:spPr>
        <a:xfrm>
          <a:off x="2019300" y="3365500"/>
          <a:ext cx="673100" cy="673100"/>
        </a:xfrm>
        <a:prstGeom prst="rect">
          <a:avLst/>
        </a:prstGeom>
        <a:gradFill flip="none" rotWithShape="1">
          <a:gsLst>
            <a:gs pos="0">
              <a:srgbClr val="FFC0CB"/>
            </a:gs>
            <a:gs pos="49000">
              <a:srgbClr val="FFC0CB"/>
            </a:gs>
            <a:gs pos="51000">
              <a:srgbClr val="CCFFCC"/>
            </a:gs>
            <a:gs pos="100000">
              <a:srgbClr val="CCFFCC"/>
            </a:gs>
          </a:gsLst>
          <a:lin ang="2700000" scaled="1"/>
          <a:tileRect/>
        </a:gra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2032000</xdr:colOff>
      <xdr:row>20</xdr:row>
      <xdr:rowOff>25400</xdr:rowOff>
    </xdr:from>
    <xdr:to>
      <xdr:col>0</xdr:col>
      <xdr:colOff>2679700</xdr:colOff>
      <xdr:row>20</xdr:row>
      <xdr:rowOff>165100</xdr:rowOff>
    </xdr:to>
    <xdr:sp macro="" textlink="">
      <xdr:nvSpPr>
        <xdr:cNvPr id="341" name="name 340"/>
        <xdr:cNvSpPr/>
      </xdr:nvSpPr>
      <xdr:spPr>
        <a:xfrm>
          <a:off x="2032000" y="3378200"/>
          <a:ext cx="647700" cy="139700"/>
        </a:xfrm>
        <a:prstGeom prst="rect">
          <a:avLst/>
        </a:prstGeom>
        <a:solidFill>
          <a:srgbClr val="00CED1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Alten</a:t>
          </a:r>
        </a:p>
      </xdr:txBody>
    </xdr:sp>
    <xdr:clientData/>
  </xdr:twoCellAnchor>
  <xdr:twoCellAnchor editAs="absolute">
    <xdr:from>
      <xdr:col>0</xdr:col>
      <xdr:colOff>2184400</xdr:colOff>
      <xdr:row>20</xdr:row>
      <xdr:rowOff>152400</xdr:rowOff>
    </xdr:from>
    <xdr:to>
      <xdr:col>0</xdr:col>
      <xdr:colOff>2552700</xdr:colOff>
      <xdr:row>23</xdr:row>
      <xdr:rowOff>68580</xdr:rowOff>
    </xdr:to>
    <xdr:pic>
      <xdr:nvPicPr>
        <xdr:cNvPr id="342" name="symbol 341"/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4400" y="3505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2082800</xdr:colOff>
      <xdr:row>22</xdr:row>
      <xdr:rowOff>147320</xdr:rowOff>
    </xdr:from>
    <xdr:to>
      <xdr:col>0</xdr:col>
      <xdr:colOff>2247900</xdr:colOff>
      <xdr:row>24</xdr:row>
      <xdr:rowOff>2540</xdr:rowOff>
    </xdr:to>
    <xdr:sp macro="" textlink="">
      <xdr:nvSpPr>
        <xdr:cNvPr id="343" name="fleft 342"/>
        <xdr:cNvSpPr/>
      </xdr:nvSpPr>
      <xdr:spPr>
        <a:xfrm>
          <a:off x="20828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2311400</xdr:colOff>
      <xdr:row>22</xdr:row>
      <xdr:rowOff>147320</xdr:rowOff>
    </xdr:from>
    <xdr:to>
      <xdr:col>0</xdr:col>
      <xdr:colOff>2451100</xdr:colOff>
      <xdr:row>24</xdr:row>
      <xdr:rowOff>2540</xdr:rowOff>
    </xdr:to>
    <xdr:sp macro="" textlink="">
      <xdr:nvSpPr>
        <xdr:cNvPr id="344" name="fmiddle 343"/>
        <xdr:cNvSpPr/>
      </xdr:nvSpPr>
      <xdr:spPr>
        <a:xfrm>
          <a:off x="2311400" y="38354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2489200</xdr:colOff>
      <xdr:row>22</xdr:row>
      <xdr:rowOff>147320</xdr:rowOff>
    </xdr:from>
    <xdr:to>
      <xdr:col>0</xdr:col>
      <xdr:colOff>2654300</xdr:colOff>
      <xdr:row>24</xdr:row>
      <xdr:rowOff>2540</xdr:rowOff>
    </xdr:to>
    <xdr:sp macro="" textlink="">
      <xdr:nvSpPr>
        <xdr:cNvPr id="345" name="fright 344"/>
        <xdr:cNvSpPr/>
      </xdr:nvSpPr>
      <xdr:spPr>
        <a:xfrm>
          <a:off x="24892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2540000</xdr:colOff>
      <xdr:row>21</xdr:row>
      <xdr:rowOff>35560</xdr:rowOff>
    </xdr:from>
    <xdr:to>
      <xdr:col>0</xdr:col>
      <xdr:colOff>2679700</xdr:colOff>
      <xdr:row>22</xdr:row>
      <xdr:rowOff>33020</xdr:rowOff>
    </xdr:to>
    <xdr:sp macro="" textlink="">
      <xdr:nvSpPr>
        <xdr:cNvPr id="346" name="eng 345"/>
        <xdr:cNvSpPr/>
      </xdr:nvSpPr>
      <xdr:spPr>
        <a:xfrm>
          <a:off x="2540000" y="3556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2692400</xdr:colOff>
      <xdr:row>20</xdr:row>
      <xdr:rowOff>12700</xdr:rowOff>
    </xdr:from>
    <xdr:to>
      <xdr:col>0</xdr:col>
      <xdr:colOff>3365500</xdr:colOff>
      <xdr:row>24</xdr:row>
      <xdr:rowOff>15240</xdr:rowOff>
    </xdr:to>
    <xdr:sp macro="" textlink="">
      <xdr:nvSpPr>
        <xdr:cNvPr id="347" name="outline 346"/>
        <xdr:cNvSpPr/>
      </xdr:nvSpPr>
      <xdr:spPr>
        <a:xfrm>
          <a:off x="2692400" y="3365500"/>
          <a:ext cx="673100" cy="673100"/>
        </a:xfrm>
        <a:prstGeom prst="rect">
          <a:avLst/>
        </a:prstGeom>
        <a:solidFill>
          <a:srgbClr val="CCFFC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2705100</xdr:colOff>
      <xdr:row>20</xdr:row>
      <xdr:rowOff>25400</xdr:rowOff>
    </xdr:from>
    <xdr:to>
      <xdr:col>0</xdr:col>
      <xdr:colOff>3352800</xdr:colOff>
      <xdr:row>20</xdr:row>
      <xdr:rowOff>165100</xdr:rowOff>
    </xdr:to>
    <xdr:sp macro="" textlink="">
      <xdr:nvSpPr>
        <xdr:cNvPr id="348" name="name 347"/>
        <xdr:cNvSpPr/>
      </xdr:nvSpPr>
      <xdr:spPr>
        <a:xfrm>
          <a:off x="2705100" y="3378200"/>
          <a:ext cx="647700" cy="139700"/>
        </a:xfrm>
        <a:prstGeom prst="rect">
          <a:avLst/>
        </a:prstGeom>
        <a:solidFill>
          <a:srgbClr val="00CED1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Bock</a:t>
          </a:r>
        </a:p>
      </xdr:txBody>
    </xdr:sp>
    <xdr:clientData/>
  </xdr:twoCellAnchor>
  <xdr:twoCellAnchor editAs="absolute">
    <xdr:from>
      <xdr:col>0</xdr:col>
      <xdr:colOff>2857500</xdr:colOff>
      <xdr:row>20</xdr:row>
      <xdr:rowOff>152400</xdr:rowOff>
    </xdr:from>
    <xdr:to>
      <xdr:col>0</xdr:col>
      <xdr:colOff>3225800</xdr:colOff>
      <xdr:row>23</xdr:row>
      <xdr:rowOff>68580</xdr:rowOff>
    </xdr:to>
    <xdr:pic>
      <xdr:nvPicPr>
        <xdr:cNvPr id="349" name="symbol 348"/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0" y="3505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2755900</xdr:colOff>
      <xdr:row>21</xdr:row>
      <xdr:rowOff>35560</xdr:rowOff>
    </xdr:from>
    <xdr:to>
      <xdr:col>0</xdr:col>
      <xdr:colOff>2895600</xdr:colOff>
      <xdr:row>22</xdr:row>
      <xdr:rowOff>33020</xdr:rowOff>
    </xdr:to>
    <xdr:sp macro="" textlink="">
      <xdr:nvSpPr>
        <xdr:cNvPr id="350" name="heavy 349"/>
        <xdr:cNvSpPr/>
      </xdr:nvSpPr>
      <xdr:spPr>
        <a:xfrm>
          <a:off x="2755900" y="3556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8B0000"/>
              </a:solidFill>
              <a:latin typeface="arial bold"/>
            </a:rPr>
            <a:t>L</a:t>
          </a:r>
        </a:p>
      </xdr:txBody>
    </xdr:sp>
    <xdr:clientData/>
  </xdr:twoCellAnchor>
  <xdr:twoCellAnchor editAs="absolute">
    <xdr:from>
      <xdr:col>0</xdr:col>
      <xdr:colOff>2755900</xdr:colOff>
      <xdr:row>22</xdr:row>
      <xdr:rowOff>147320</xdr:rowOff>
    </xdr:from>
    <xdr:to>
      <xdr:col>0</xdr:col>
      <xdr:colOff>2921000</xdr:colOff>
      <xdr:row>24</xdr:row>
      <xdr:rowOff>2540</xdr:rowOff>
    </xdr:to>
    <xdr:sp macro="" textlink="">
      <xdr:nvSpPr>
        <xdr:cNvPr id="351" name="fleft 350"/>
        <xdr:cNvSpPr/>
      </xdr:nvSpPr>
      <xdr:spPr>
        <a:xfrm>
          <a:off x="27559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2984500</xdr:colOff>
      <xdr:row>22</xdr:row>
      <xdr:rowOff>147320</xdr:rowOff>
    </xdr:from>
    <xdr:to>
      <xdr:col>0</xdr:col>
      <xdr:colOff>3124200</xdr:colOff>
      <xdr:row>24</xdr:row>
      <xdr:rowOff>2540</xdr:rowOff>
    </xdr:to>
    <xdr:sp macro="" textlink="">
      <xdr:nvSpPr>
        <xdr:cNvPr id="352" name="fmiddle 351"/>
        <xdr:cNvSpPr/>
      </xdr:nvSpPr>
      <xdr:spPr>
        <a:xfrm>
          <a:off x="2984500" y="38354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3162300</xdr:colOff>
      <xdr:row>22</xdr:row>
      <xdr:rowOff>147320</xdr:rowOff>
    </xdr:from>
    <xdr:to>
      <xdr:col>0</xdr:col>
      <xdr:colOff>3327400</xdr:colOff>
      <xdr:row>24</xdr:row>
      <xdr:rowOff>2540</xdr:rowOff>
    </xdr:to>
    <xdr:sp macro="" textlink="">
      <xdr:nvSpPr>
        <xdr:cNvPr id="353" name="fright 352"/>
        <xdr:cNvSpPr/>
      </xdr:nvSpPr>
      <xdr:spPr>
        <a:xfrm>
          <a:off x="31623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3213100</xdr:colOff>
      <xdr:row>21</xdr:row>
      <xdr:rowOff>35560</xdr:rowOff>
    </xdr:from>
    <xdr:to>
      <xdr:col>0</xdr:col>
      <xdr:colOff>3352800</xdr:colOff>
      <xdr:row>22</xdr:row>
      <xdr:rowOff>33020</xdr:rowOff>
    </xdr:to>
    <xdr:sp macro="" textlink="">
      <xdr:nvSpPr>
        <xdr:cNvPr id="354" name="eng 353"/>
        <xdr:cNvSpPr/>
      </xdr:nvSpPr>
      <xdr:spPr>
        <a:xfrm>
          <a:off x="3213100" y="3556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3365500</xdr:colOff>
      <xdr:row>20</xdr:row>
      <xdr:rowOff>12700</xdr:rowOff>
    </xdr:from>
    <xdr:to>
      <xdr:col>0</xdr:col>
      <xdr:colOff>4038600</xdr:colOff>
      <xdr:row>24</xdr:row>
      <xdr:rowOff>15240</xdr:rowOff>
    </xdr:to>
    <xdr:sp macro="" textlink="">
      <xdr:nvSpPr>
        <xdr:cNvPr id="355" name="outline 354"/>
        <xdr:cNvSpPr/>
      </xdr:nvSpPr>
      <xdr:spPr>
        <a:xfrm>
          <a:off x="3365500" y="3365500"/>
          <a:ext cx="673100" cy="673100"/>
        </a:xfrm>
        <a:prstGeom prst="rect">
          <a:avLst/>
        </a:prstGeom>
        <a:solidFill>
          <a:srgbClr val="FFA5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3378200</xdr:colOff>
      <xdr:row>20</xdr:row>
      <xdr:rowOff>25400</xdr:rowOff>
    </xdr:from>
    <xdr:to>
      <xdr:col>0</xdr:col>
      <xdr:colOff>4025900</xdr:colOff>
      <xdr:row>20</xdr:row>
      <xdr:rowOff>165100</xdr:rowOff>
    </xdr:to>
    <xdr:sp macro="" textlink="">
      <xdr:nvSpPr>
        <xdr:cNvPr id="356" name="name 355"/>
        <xdr:cNvSpPr/>
      </xdr:nvSpPr>
      <xdr:spPr>
        <a:xfrm>
          <a:off x="3378200" y="3378200"/>
          <a:ext cx="647700" cy="139700"/>
        </a:xfrm>
        <a:prstGeom prst="rect">
          <a:avLst/>
        </a:prstGeom>
        <a:solidFill>
          <a:srgbClr val="00CED1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D'Urban</a:t>
          </a:r>
        </a:p>
      </xdr:txBody>
    </xdr:sp>
    <xdr:clientData/>
  </xdr:twoCellAnchor>
  <xdr:twoCellAnchor editAs="absolute">
    <xdr:from>
      <xdr:col>0</xdr:col>
      <xdr:colOff>3530600</xdr:colOff>
      <xdr:row>20</xdr:row>
      <xdr:rowOff>152400</xdr:rowOff>
    </xdr:from>
    <xdr:to>
      <xdr:col>0</xdr:col>
      <xdr:colOff>3898900</xdr:colOff>
      <xdr:row>23</xdr:row>
      <xdr:rowOff>68580</xdr:rowOff>
    </xdr:to>
    <xdr:pic>
      <xdr:nvPicPr>
        <xdr:cNvPr id="357" name="symbol 356"/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30600" y="3505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3429000</xdr:colOff>
      <xdr:row>22</xdr:row>
      <xdr:rowOff>147320</xdr:rowOff>
    </xdr:from>
    <xdr:to>
      <xdr:col>0</xdr:col>
      <xdr:colOff>3594100</xdr:colOff>
      <xdr:row>24</xdr:row>
      <xdr:rowOff>2540</xdr:rowOff>
    </xdr:to>
    <xdr:sp macro="" textlink="">
      <xdr:nvSpPr>
        <xdr:cNvPr id="358" name="fleft 357"/>
        <xdr:cNvSpPr/>
      </xdr:nvSpPr>
      <xdr:spPr>
        <a:xfrm>
          <a:off x="34290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3657600</xdr:colOff>
      <xdr:row>22</xdr:row>
      <xdr:rowOff>147320</xdr:rowOff>
    </xdr:from>
    <xdr:to>
      <xdr:col>0</xdr:col>
      <xdr:colOff>3797300</xdr:colOff>
      <xdr:row>24</xdr:row>
      <xdr:rowOff>2540</xdr:rowOff>
    </xdr:to>
    <xdr:sp macro="" textlink="">
      <xdr:nvSpPr>
        <xdr:cNvPr id="359" name="fmiddle 358"/>
        <xdr:cNvSpPr/>
      </xdr:nvSpPr>
      <xdr:spPr>
        <a:xfrm>
          <a:off x="3657600" y="38354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3835400</xdr:colOff>
      <xdr:row>22</xdr:row>
      <xdr:rowOff>147320</xdr:rowOff>
    </xdr:from>
    <xdr:to>
      <xdr:col>0</xdr:col>
      <xdr:colOff>4000500</xdr:colOff>
      <xdr:row>24</xdr:row>
      <xdr:rowOff>2540</xdr:rowOff>
    </xdr:to>
    <xdr:sp macro="" textlink="">
      <xdr:nvSpPr>
        <xdr:cNvPr id="360" name="fright 359"/>
        <xdr:cNvSpPr/>
      </xdr:nvSpPr>
      <xdr:spPr>
        <a:xfrm>
          <a:off x="38354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3886200</xdr:colOff>
      <xdr:row>21</xdr:row>
      <xdr:rowOff>35560</xdr:rowOff>
    </xdr:from>
    <xdr:to>
      <xdr:col>0</xdr:col>
      <xdr:colOff>4025900</xdr:colOff>
      <xdr:row>22</xdr:row>
      <xdr:rowOff>33020</xdr:rowOff>
    </xdr:to>
    <xdr:sp macro="" textlink="">
      <xdr:nvSpPr>
        <xdr:cNvPr id="361" name="eng 360"/>
        <xdr:cNvSpPr/>
      </xdr:nvSpPr>
      <xdr:spPr>
        <a:xfrm>
          <a:off x="3886200" y="3556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4038600</xdr:colOff>
      <xdr:row>20</xdr:row>
      <xdr:rowOff>12700</xdr:rowOff>
    </xdr:from>
    <xdr:to>
      <xdr:col>0</xdr:col>
      <xdr:colOff>4711700</xdr:colOff>
      <xdr:row>24</xdr:row>
      <xdr:rowOff>15240</xdr:rowOff>
    </xdr:to>
    <xdr:sp macro="" textlink="">
      <xdr:nvSpPr>
        <xdr:cNvPr id="362" name="outline 361"/>
        <xdr:cNvSpPr/>
      </xdr:nvSpPr>
      <xdr:spPr>
        <a:xfrm>
          <a:off x="4038600" y="3365500"/>
          <a:ext cx="673100" cy="673100"/>
        </a:xfrm>
        <a:prstGeom prst="rect">
          <a:avLst/>
        </a:prstGeom>
        <a:solidFill>
          <a:srgbClr val="FFC0CB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4254500</xdr:colOff>
      <xdr:row>20</xdr:row>
      <xdr:rowOff>25400</xdr:rowOff>
    </xdr:from>
    <xdr:to>
      <xdr:col>0</xdr:col>
      <xdr:colOff>4699000</xdr:colOff>
      <xdr:row>20</xdr:row>
      <xdr:rowOff>165100</xdr:rowOff>
    </xdr:to>
    <xdr:sp macro="" textlink="">
      <xdr:nvSpPr>
        <xdr:cNvPr id="363" name="name 362"/>
        <xdr:cNvSpPr/>
      </xdr:nvSpPr>
      <xdr:spPr>
        <a:xfrm>
          <a:off x="4254500" y="3378200"/>
          <a:ext cx="444500" cy="139700"/>
        </a:xfrm>
        <a:prstGeom prst="rect">
          <a:avLst/>
        </a:prstGeom>
        <a:solidFill>
          <a:srgbClr val="00CED1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Bull</a:t>
          </a:r>
        </a:p>
      </xdr:txBody>
    </xdr:sp>
    <xdr:clientData/>
  </xdr:twoCellAnchor>
  <xdr:twoCellAnchor editAs="absolute">
    <xdr:from>
      <xdr:col>0</xdr:col>
      <xdr:colOff>4102100</xdr:colOff>
      <xdr:row>21</xdr:row>
      <xdr:rowOff>86360</xdr:rowOff>
    </xdr:from>
    <xdr:to>
      <xdr:col>0</xdr:col>
      <xdr:colOff>4495800</xdr:colOff>
      <xdr:row>22</xdr:row>
      <xdr:rowOff>160020</xdr:rowOff>
    </xdr:to>
    <xdr:pic>
      <xdr:nvPicPr>
        <xdr:cNvPr id="364" name="symbol 363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02100" y="3606800"/>
          <a:ext cx="393700" cy="241300"/>
        </a:xfrm>
        <a:prstGeom prst="rect">
          <a:avLst/>
        </a:prstGeom>
      </xdr:spPr>
    </xdr:pic>
    <xdr:clientData/>
  </xdr:twoCellAnchor>
  <xdr:twoCellAnchor editAs="absolute">
    <xdr:from>
      <xdr:col>0</xdr:col>
      <xdr:colOff>4406900</xdr:colOff>
      <xdr:row>20</xdr:row>
      <xdr:rowOff>152400</xdr:rowOff>
    </xdr:from>
    <xdr:to>
      <xdr:col>0</xdr:col>
      <xdr:colOff>4699000</xdr:colOff>
      <xdr:row>22</xdr:row>
      <xdr:rowOff>109220</xdr:rowOff>
    </xdr:to>
    <xdr:pic>
      <xdr:nvPicPr>
        <xdr:cNvPr id="365" name="elite 364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6900" y="3505200"/>
          <a:ext cx="2921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4102100</xdr:colOff>
      <xdr:row>22</xdr:row>
      <xdr:rowOff>147320</xdr:rowOff>
    </xdr:from>
    <xdr:to>
      <xdr:col>0</xdr:col>
      <xdr:colOff>4292600</xdr:colOff>
      <xdr:row>23</xdr:row>
      <xdr:rowOff>144780</xdr:rowOff>
    </xdr:to>
    <xdr:sp macro="" textlink="">
      <xdr:nvSpPr>
        <xdr:cNvPr id="366" name="fleft 365"/>
        <xdr:cNvSpPr/>
      </xdr:nvSpPr>
      <xdr:spPr>
        <a:xfrm>
          <a:off x="4102100" y="38354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4330700</xdr:colOff>
      <xdr:row>22</xdr:row>
      <xdr:rowOff>147320</xdr:rowOff>
    </xdr:from>
    <xdr:to>
      <xdr:col>0</xdr:col>
      <xdr:colOff>4470400</xdr:colOff>
      <xdr:row>24</xdr:row>
      <xdr:rowOff>2540</xdr:rowOff>
    </xdr:to>
    <xdr:sp macro="" textlink="">
      <xdr:nvSpPr>
        <xdr:cNvPr id="367" name="fmiddle 366"/>
        <xdr:cNvSpPr/>
      </xdr:nvSpPr>
      <xdr:spPr>
        <a:xfrm>
          <a:off x="4330700" y="38354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4508500</xdr:colOff>
      <xdr:row>22</xdr:row>
      <xdr:rowOff>147320</xdr:rowOff>
    </xdr:from>
    <xdr:to>
      <xdr:col>0</xdr:col>
      <xdr:colOff>4673600</xdr:colOff>
      <xdr:row>24</xdr:row>
      <xdr:rowOff>2540</xdr:rowOff>
    </xdr:to>
    <xdr:sp macro="" textlink="">
      <xdr:nvSpPr>
        <xdr:cNvPr id="368" name="fright 367"/>
        <xdr:cNvSpPr/>
      </xdr:nvSpPr>
      <xdr:spPr>
        <a:xfrm>
          <a:off x="45085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4051300</xdr:colOff>
      <xdr:row>20</xdr:row>
      <xdr:rowOff>25400</xdr:rowOff>
    </xdr:from>
    <xdr:to>
      <xdr:col>0</xdr:col>
      <xdr:colOff>4241800</xdr:colOff>
      <xdr:row>20</xdr:row>
      <xdr:rowOff>139700</xdr:rowOff>
    </xdr:to>
    <xdr:sp macro="" textlink="">
      <xdr:nvSpPr>
        <xdr:cNvPr id="369" name="eng 368"/>
        <xdr:cNvSpPr/>
      </xdr:nvSpPr>
      <xdr:spPr>
        <a:xfrm>
          <a:off x="4051300" y="33782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2-3</a:t>
          </a:r>
        </a:p>
      </xdr:txBody>
    </xdr:sp>
    <xdr:clientData/>
  </xdr:twoCellAnchor>
  <xdr:twoCellAnchor editAs="absolute">
    <xdr:from>
      <xdr:col>0</xdr:col>
      <xdr:colOff>4711700</xdr:colOff>
      <xdr:row>20</xdr:row>
      <xdr:rowOff>12700</xdr:rowOff>
    </xdr:from>
    <xdr:to>
      <xdr:col>0</xdr:col>
      <xdr:colOff>5384800</xdr:colOff>
      <xdr:row>24</xdr:row>
      <xdr:rowOff>15240</xdr:rowOff>
    </xdr:to>
    <xdr:sp macro="" textlink="">
      <xdr:nvSpPr>
        <xdr:cNvPr id="370" name="outline 369"/>
        <xdr:cNvSpPr/>
      </xdr:nvSpPr>
      <xdr:spPr>
        <a:xfrm>
          <a:off x="4711700" y="3365500"/>
          <a:ext cx="673100" cy="673100"/>
        </a:xfrm>
        <a:prstGeom prst="rect">
          <a:avLst/>
        </a:prstGeom>
        <a:solidFill>
          <a:srgbClr val="FFA5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4927600</xdr:colOff>
      <xdr:row>20</xdr:row>
      <xdr:rowOff>25400</xdr:rowOff>
    </xdr:from>
    <xdr:to>
      <xdr:col>0</xdr:col>
      <xdr:colOff>5372100</xdr:colOff>
      <xdr:row>20</xdr:row>
      <xdr:rowOff>165100</xdr:rowOff>
    </xdr:to>
    <xdr:sp macro="" textlink="">
      <xdr:nvSpPr>
        <xdr:cNvPr id="371" name="name 370"/>
        <xdr:cNvSpPr/>
      </xdr:nvSpPr>
      <xdr:spPr>
        <a:xfrm>
          <a:off x="4927600" y="3378200"/>
          <a:ext cx="444500" cy="1397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Arriaga</a:t>
          </a:r>
        </a:p>
      </xdr:txBody>
    </xdr:sp>
    <xdr:clientData/>
  </xdr:twoCellAnchor>
  <xdr:twoCellAnchor editAs="absolute">
    <xdr:from>
      <xdr:col>0</xdr:col>
      <xdr:colOff>4800600</xdr:colOff>
      <xdr:row>21</xdr:row>
      <xdr:rowOff>35560</xdr:rowOff>
    </xdr:from>
    <xdr:to>
      <xdr:col>0</xdr:col>
      <xdr:colOff>5295900</xdr:colOff>
      <xdr:row>22</xdr:row>
      <xdr:rowOff>160020</xdr:rowOff>
    </xdr:to>
    <xdr:pic>
      <xdr:nvPicPr>
        <xdr:cNvPr id="372" name="symbol 371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0600" y="35560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4775200</xdr:colOff>
      <xdr:row>22</xdr:row>
      <xdr:rowOff>147320</xdr:rowOff>
    </xdr:from>
    <xdr:to>
      <xdr:col>0</xdr:col>
      <xdr:colOff>4965700</xdr:colOff>
      <xdr:row>23</xdr:row>
      <xdr:rowOff>144780</xdr:rowOff>
    </xdr:to>
    <xdr:sp macro="" textlink="">
      <xdr:nvSpPr>
        <xdr:cNvPr id="373" name="fleft 372"/>
        <xdr:cNvSpPr/>
      </xdr:nvSpPr>
      <xdr:spPr>
        <a:xfrm>
          <a:off x="4775200" y="38354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5003800</xdr:colOff>
      <xdr:row>22</xdr:row>
      <xdr:rowOff>147320</xdr:rowOff>
    </xdr:from>
    <xdr:to>
      <xdr:col>0</xdr:col>
      <xdr:colOff>5143500</xdr:colOff>
      <xdr:row>24</xdr:row>
      <xdr:rowOff>2540</xdr:rowOff>
    </xdr:to>
    <xdr:sp macro="" textlink="">
      <xdr:nvSpPr>
        <xdr:cNvPr id="374" name="fmiddle 373"/>
        <xdr:cNvSpPr/>
      </xdr:nvSpPr>
      <xdr:spPr>
        <a:xfrm>
          <a:off x="5003800" y="38354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5181600</xdr:colOff>
      <xdr:row>22</xdr:row>
      <xdr:rowOff>147320</xdr:rowOff>
    </xdr:from>
    <xdr:to>
      <xdr:col>0</xdr:col>
      <xdr:colOff>5346700</xdr:colOff>
      <xdr:row>24</xdr:row>
      <xdr:rowOff>2540</xdr:rowOff>
    </xdr:to>
    <xdr:sp macro="" textlink="">
      <xdr:nvSpPr>
        <xdr:cNvPr id="375" name="fright 374"/>
        <xdr:cNvSpPr/>
      </xdr:nvSpPr>
      <xdr:spPr>
        <a:xfrm>
          <a:off x="51816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4724400</xdr:colOff>
      <xdr:row>20</xdr:row>
      <xdr:rowOff>25400</xdr:rowOff>
    </xdr:from>
    <xdr:to>
      <xdr:col>0</xdr:col>
      <xdr:colOff>4914900</xdr:colOff>
      <xdr:row>20</xdr:row>
      <xdr:rowOff>139700</xdr:rowOff>
    </xdr:to>
    <xdr:sp macro="" textlink="">
      <xdr:nvSpPr>
        <xdr:cNvPr id="376" name="eng 375"/>
        <xdr:cNvSpPr/>
      </xdr:nvSpPr>
      <xdr:spPr>
        <a:xfrm>
          <a:off x="4724400" y="33782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2-3</a:t>
          </a:r>
        </a:p>
      </xdr:txBody>
    </xdr:sp>
    <xdr:clientData/>
  </xdr:twoCellAnchor>
  <xdr:twoCellAnchor editAs="absolute">
    <xdr:from>
      <xdr:col>0</xdr:col>
      <xdr:colOff>5384800</xdr:colOff>
      <xdr:row>20</xdr:row>
      <xdr:rowOff>12700</xdr:rowOff>
    </xdr:from>
    <xdr:to>
      <xdr:col>0</xdr:col>
      <xdr:colOff>6057900</xdr:colOff>
      <xdr:row>24</xdr:row>
      <xdr:rowOff>15240</xdr:rowOff>
    </xdr:to>
    <xdr:sp macro="" textlink="">
      <xdr:nvSpPr>
        <xdr:cNvPr id="377" name="outline 376"/>
        <xdr:cNvSpPr/>
      </xdr:nvSpPr>
      <xdr:spPr>
        <a:xfrm>
          <a:off x="5384800" y="3365500"/>
          <a:ext cx="673100" cy="673100"/>
        </a:xfrm>
        <a:prstGeom prst="rect">
          <a:avLst/>
        </a:prstGeom>
        <a:gradFill flip="none" rotWithShape="1">
          <a:gsLst>
            <a:gs pos="0">
              <a:srgbClr val="FFC0CB"/>
            </a:gs>
            <a:gs pos="49000">
              <a:srgbClr val="FFC0CB"/>
            </a:gs>
            <a:gs pos="51000">
              <a:srgbClr val="FFA500"/>
            </a:gs>
            <a:gs pos="100000">
              <a:srgbClr val="FFA500"/>
            </a:gs>
          </a:gsLst>
          <a:lin ang="2700000" scaled="1"/>
          <a:tileRect/>
        </a:gra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5397500</xdr:colOff>
      <xdr:row>20</xdr:row>
      <xdr:rowOff>25400</xdr:rowOff>
    </xdr:from>
    <xdr:to>
      <xdr:col>0</xdr:col>
      <xdr:colOff>6045200</xdr:colOff>
      <xdr:row>20</xdr:row>
      <xdr:rowOff>165100</xdr:rowOff>
    </xdr:to>
    <xdr:sp macro="" textlink="">
      <xdr:nvSpPr>
        <xdr:cNvPr id="378" name="name 377"/>
        <xdr:cNvSpPr/>
      </xdr:nvSpPr>
      <xdr:spPr>
        <a:xfrm>
          <a:off x="5397500" y="3378200"/>
          <a:ext cx="647700" cy="1397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Pack</a:t>
          </a:r>
        </a:p>
      </xdr:txBody>
    </xdr:sp>
    <xdr:clientData/>
  </xdr:twoCellAnchor>
  <xdr:twoCellAnchor editAs="absolute">
    <xdr:from>
      <xdr:col>0</xdr:col>
      <xdr:colOff>5600700</xdr:colOff>
      <xdr:row>21</xdr:row>
      <xdr:rowOff>10160</xdr:rowOff>
    </xdr:from>
    <xdr:to>
      <xdr:col>0</xdr:col>
      <xdr:colOff>5969000</xdr:colOff>
      <xdr:row>23</xdr:row>
      <xdr:rowOff>93980</xdr:rowOff>
    </xdr:to>
    <xdr:pic>
      <xdr:nvPicPr>
        <xdr:cNvPr id="379" name="symbol 37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35306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5448300</xdr:colOff>
      <xdr:row>22</xdr:row>
      <xdr:rowOff>147320</xdr:rowOff>
    </xdr:from>
    <xdr:to>
      <xdr:col>0</xdr:col>
      <xdr:colOff>5613400</xdr:colOff>
      <xdr:row>24</xdr:row>
      <xdr:rowOff>2540</xdr:rowOff>
    </xdr:to>
    <xdr:sp macro="" textlink="">
      <xdr:nvSpPr>
        <xdr:cNvPr id="380" name="fleft 379"/>
        <xdr:cNvSpPr/>
      </xdr:nvSpPr>
      <xdr:spPr>
        <a:xfrm>
          <a:off x="54483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5753100</xdr:colOff>
      <xdr:row>22</xdr:row>
      <xdr:rowOff>147320</xdr:rowOff>
    </xdr:from>
    <xdr:to>
      <xdr:col>0</xdr:col>
      <xdr:colOff>5892800</xdr:colOff>
      <xdr:row>24</xdr:row>
      <xdr:rowOff>2540</xdr:rowOff>
    </xdr:to>
    <xdr:sp macro="" textlink="">
      <xdr:nvSpPr>
        <xdr:cNvPr id="381" name="fmiddle 380"/>
        <xdr:cNvSpPr/>
      </xdr:nvSpPr>
      <xdr:spPr>
        <a:xfrm>
          <a:off x="5753100" y="38354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5880100</xdr:colOff>
      <xdr:row>22</xdr:row>
      <xdr:rowOff>147320</xdr:rowOff>
    </xdr:from>
    <xdr:to>
      <xdr:col>0</xdr:col>
      <xdr:colOff>6045200</xdr:colOff>
      <xdr:row>24</xdr:row>
      <xdr:rowOff>2540</xdr:rowOff>
    </xdr:to>
    <xdr:sp macro="" textlink="">
      <xdr:nvSpPr>
        <xdr:cNvPr id="382" name="fright 381"/>
        <xdr:cNvSpPr/>
      </xdr:nvSpPr>
      <xdr:spPr>
        <a:xfrm>
          <a:off x="58801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5905500</xdr:colOff>
      <xdr:row>21</xdr:row>
      <xdr:rowOff>60960</xdr:rowOff>
    </xdr:from>
    <xdr:to>
      <xdr:col>0</xdr:col>
      <xdr:colOff>6045200</xdr:colOff>
      <xdr:row>22</xdr:row>
      <xdr:rowOff>58420</xdr:rowOff>
    </xdr:to>
    <xdr:sp macro="" textlink="">
      <xdr:nvSpPr>
        <xdr:cNvPr id="383" name="eng 382"/>
        <xdr:cNvSpPr/>
      </xdr:nvSpPr>
      <xdr:spPr>
        <a:xfrm>
          <a:off x="5905500" y="35814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6057900</xdr:colOff>
      <xdr:row>20</xdr:row>
      <xdr:rowOff>12700</xdr:rowOff>
    </xdr:from>
    <xdr:to>
      <xdr:col>0</xdr:col>
      <xdr:colOff>6731000</xdr:colOff>
      <xdr:row>24</xdr:row>
      <xdr:rowOff>15240</xdr:rowOff>
    </xdr:to>
    <xdr:sp macro="" textlink="">
      <xdr:nvSpPr>
        <xdr:cNvPr id="384" name="outline 383"/>
        <xdr:cNvSpPr/>
      </xdr:nvSpPr>
      <xdr:spPr>
        <a:xfrm>
          <a:off x="6057900" y="3365500"/>
          <a:ext cx="673100" cy="673100"/>
        </a:xfrm>
        <a:prstGeom prst="rect">
          <a:avLst/>
        </a:prstGeom>
        <a:gradFill flip="none" rotWithShape="1">
          <a:gsLst>
            <a:gs pos="0">
              <a:srgbClr val="FFC0CB"/>
            </a:gs>
            <a:gs pos="49000">
              <a:srgbClr val="FFC0CB"/>
            </a:gs>
            <a:gs pos="51000">
              <a:srgbClr val="FFA500"/>
            </a:gs>
            <a:gs pos="100000">
              <a:srgbClr val="FFA500"/>
            </a:gs>
          </a:gsLst>
          <a:lin ang="2700000" scaled="1"/>
          <a:tileRect/>
        </a:gra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6070600</xdr:colOff>
      <xdr:row>20</xdr:row>
      <xdr:rowOff>25400</xdr:rowOff>
    </xdr:from>
    <xdr:to>
      <xdr:col>0</xdr:col>
      <xdr:colOff>6718300</xdr:colOff>
      <xdr:row>20</xdr:row>
      <xdr:rowOff>165100</xdr:rowOff>
    </xdr:to>
    <xdr:sp macro="" textlink="">
      <xdr:nvSpPr>
        <xdr:cNvPr id="385" name="name 384"/>
        <xdr:cNvSpPr/>
      </xdr:nvSpPr>
      <xdr:spPr>
        <a:xfrm>
          <a:off x="6070600" y="3378200"/>
          <a:ext cx="647700" cy="1397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Bradford</a:t>
          </a:r>
        </a:p>
      </xdr:txBody>
    </xdr:sp>
    <xdr:clientData/>
  </xdr:twoCellAnchor>
  <xdr:twoCellAnchor editAs="absolute">
    <xdr:from>
      <xdr:col>0</xdr:col>
      <xdr:colOff>6273800</xdr:colOff>
      <xdr:row>21</xdr:row>
      <xdr:rowOff>10160</xdr:rowOff>
    </xdr:from>
    <xdr:to>
      <xdr:col>0</xdr:col>
      <xdr:colOff>6642100</xdr:colOff>
      <xdr:row>23</xdr:row>
      <xdr:rowOff>93980</xdr:rowOff>
    </xdr:to>
    <xdr:pic>
      <xdr:nvPicPr>
        <xdr:cNvPr id="386" name="symbol 38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3800" y="35306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6121400</xdr:colOff>
      <xdr:row>22</xdr:row>
      <xdr:rowOff>147320</xdr:rowOff>
    </xdr:from>
    <xdr:to>
      <xdr:col>0</xdr:col>
      <xdr:colOff>6286500</xdr:colOff>
      <xdr:row>24</xdr:row>
      <xdr:rowOff>2540</xdr:rowOff>
    </xdr:to>
    <xdr:sp macro="" textlink="">
      <xdr:nvSpPr>
        <xdr:cNvPr id="387" name="fleft 386"/>
        <xdr:cNvSpPr/>
      </xdr:nvSpPr>
      <xdr:spPr>
        <a:xfrm>
          <a:off x="61214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6426200</xdr:colOff>
      <xdr:row>22</xdr:row>
      <xdr:rowOff>147320</xdr:rowOff>
    </xdr:from>
    <xdr:to>
      <xdr:col>0</xdr:col>
      <xdr:colOff>6565900</xdr:colOff>
      <xdr:row>24</xdr:row>
      <xdr:rowOff>2540</xdr:rowOff>
    </xdr:to>
    <xdr:sp macro="" textlink="">
      <xdr:nvSpPr>
        <xdr:cNvPr id="388" name="fmiddle 387"/>
        <xdr:cNvSpPr/>
      </xdr:nvSpPr>
      <xdr:spPr>
        <a:xfrm>
          <a:off x="6426200" y="38354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6553200</xdr:colOff>
      <xdr:row>22</xdr:row>
      <xdr:rowOff>147320</xdr:rowOff>
    </xdr:from>
    <xdr:to>
      <xdr:col>0</xdr:col>
      <xdr:colOff>6718300</xdr:colOff>
      <xdr:row>24</xdr:row>
      <xdr:rowOff>2540</xdr:rowOff>
    </xdr:to>
    <xdr:sp macro="" textlink="">
      <xdr:nvSpPr>
        <xdr:cNvPr id="389" name="fright 388"/>
        <xdr:cNvSpPr/>
      </xdr:nvSpPr>
      <xdr:spPr>
        <a:xfrm>
          <a:off x="65532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6578600</xdr:colOff>
      <xdr:row>21</xdr:row>
      <xdr:rowOff>60960</xdr:rowOff>
    </xdr:from>
    <xdr:to>
      <xdr:col>0</xdr:col>
      <xdr:colOff>6718300</xdr:colOff>
      <xdr:row>22</xdr:row>
      <xdr:rowOff>58420</xdr:rowOff>
    </xdr:to>
    <xdr:sp macro="" textlink="">
      <xdr:nvSpPr>
        <xdr:cNvPr id="390" name="eng 389"/>
        <xdr:cNvSpPr/>
      </xdr:nvSpPr>
      <xdr:spPr>
        <a:xfrm>
          <a:off x="6578600" y="35814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0</xdr:colOff>
      <xdr:row>24</xdr:row>
      <xdr:rowOff>15240</xdr:rowOff>
    </xdr:from>
    <xdr:to>
      <xdr:col>0</xdr:col>
      <xdr:colOff>673100</xdr:colOff>
      <xdr:row>28</xdr:row>
      <xdr:rowOff>17780</xdr:rowOff>
    </xdr:to>
    <xdr:sp macro="" textlink="">
      <xdr:nvSpPr>
        <xdr:cNvPr id="391" name="outline 390"/>
        <xdr:cNvSpPr/>
      </xdr:nvSpPr>
      <xdr:spPr>
        <a:xfrm>
          <a:off x="0" y="4038600"/>
          <a:ext cx="673100" cy="673100"/>
        </a:xfrm>
        <a:prstGeom prst="rect">
          <a:avLst/>
        </a:prstGeom>
        <a:solidFill>
          <a:srgbClr val="FFA3C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12700</xdr:colOff>
      <xdr:row>24</xdr:row>
      <xdr:rowOff>27940</xdr:rowOff>
    </xdr:from>
    <xdr:to>
      <xdr:col>0</xdr:col>
      <xdr:colOff>660400</xdr:colOff>
      <xdr:row>26</xdr:row>
      <xdr:rowOff>162560</xdr:rowOff>
    </xdr:to>
    <xdr:sp macro="" textlink="">
      <xdr:nvSpPr>
        <xdr:cNvPr id="392" name="name 391"/>
        <xdr:cNvSpPr/>
      </xdr:nvSpPr>
      <xdr:spPr>
        <a:xfrm>
          <a:off x="12700" y="4051300"/>
          <a:ext cx="647700" cy="4699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832" b="1" i="1">
              <a:solidFill>
                <a:srgbClr val="000000"/>
              </a:solidFill>
              <a:latin typeface="arial"/>
            </a:rPr>
            <a:t>Surprise Attack</a:t>
          </a:r>
        </a:p>
      </xdr:txBody>
    </xdr:sp>
    <xdr:clientData/>
  </xdr:twoCellAnchor>
  <xdr:twoCellAnchor editAs="absolute">
    <xdr:from>
      <xdr:col>0</xdr:col>
      <xdr:colOff>88900</xdr:colOff>
      <xdr:row>26</xdr:row>
      <xdr:rowOff>149860</xdr:rowOff>
    </xdr:from>
    <xdr:to>
      <xdr:col>0</xdr:col>
      <xdr:colOff>228600</xdr:colOff>
      <xdr:row>28</xdr:row>
      <xdr:rowOff>5080</xdr:rowOff>
    </xdr:to>
    <xdr:sp macro="" textlink="">
      <xdr:nvSpPr>
        <xdr:cNvPr id="393" name="left 392"/>
        <xdr:cNvSpPr/>
      </xdr:nvSpPr>
      <xdr:spPr>
        <a:xfrm>
          <a:off x="88900" y="45085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C</a:t>
          </a:r>
        </a:p>
      </xdr:txBody>
    </xdr:sp>
    <xdr:clientData/>
  </xdr:twoCellAnchor>
  <xdr:twoCellAnchor editAs="absolute">
    <xdr:from>
      <xdr:col>0</xdr:col>
      <xdr:colOff>495300</xdr:colOff>
      <xdr:row>26</xdr:row>
      <xdr:rowOff>149860</xdr:rowOff>
    </xdr:from>
    <xdr:to>
      <xdr:col>0</xdr:col>
      <xdr:colOff>635000</xdr:colOff>
      <xdr:row>28</xdr:row>
      <xdr:rowOff>5080</xdr:rowOff>
    </xdr:to>
    <xdr:sp macro="" textlink="">
      <xdr:nvSpPr>
        <xdr:cNvPr id="394" name="right 393"/>
        <xdr:cNvSpPr/>
      </xdr:nvSpPr>
      <xdr:spPr>
        <a:xfrm>
          <a:off x="495300" y="45085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1125" b="1" i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673100</xdr:colOff>
      <xdr:row>24</xdr:row>
      <xdr:rowOff>15240</xdr:rowOff>
    </xdr:from>
    <xdr:to>
      <xdr:col>0</xdr:col>
      <xdr:colOff>1346200</xdr:colOff>
      <xdr:row>28</xdr:row>
      <xdr:rowOff>17780</xdr:rowOff>
    </xdr:to>
    <xdr:sp macro="" textlink="">
      <xdr:nvSpPr>
        <xdr:cNvPr id="395" name="outline 394"/>
        <xdr:cNvSpPr/>
      </xdr:nvSpPr>
      <xdr:spPr>
        <a:xfrm>
          <a:off x="673100" y="4038600"/>
          <a:ext cx="673100" cy="673100"/>
        </a:xfrm>
        <a:prstGeom prst="rect">
          <a:avLst/>
        </a:prstGeom>
        <a:solidFill>
          <a:srgbClr val="FFA3C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685800</xdr:colOff>
      <xdr:row>24</xdr:row>
      <xdr:rowOff>27940</xdr:rowOff>
    </xdr:from>
    <xdr:to>
      <xdr:col>0</xdr:col>
      <xdr:colOff>1333500</xdr:colOff>
      <xdr:row>26</xdr:row>
      <xdr:rowOff>162560</xdr:rowOff>
    </xdr:to>
    <xdr:sp macro="" textlink="">
      <xdr:nvSpPr>
        <xdr:cNvPr id="396" name="name 395"/>
        <xdr:cNvSpPr/>
      </xdr:nvSpPr>
      <xdr:spPr>
        <a:xfrm>
          <a:off x="685800" y="4051300"/>
          <a:ext cx="647700" cy="4699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832" b="1" i="1">
              <a:solidFill>
                <a:srgbClr val="000000"/>
              </a:solidFill>
              <a:latin typeface="arial"/>
            </a:rPr>
            <a:t>Combined Attack</a:t>
          </a:r>
        </a:p>
      </xdr:txBody>
    </xdr:sp>
    <xdr:clientData/>
  </xdr:twoCellAnchor>
  <xdr:twoCellAnchor editAs="absolute">
    <xdr:from>
      <xdr:col>0</xdr:col>
      <xdr:colOff>762000</xdr:colOff>
      <xdr:row>26</xdr:row>
      <xdr:rowOff>149860</xdr:rowOff>
    </xdr:from>
    <xdr:to>
      <xdr:col>0</xdr:col>
      <xdr:colOff>901700</xdr:colOff>
      <xdr:row>28</xdr:row>
      <xdr:rowOff>5080</xdr:rowOff>
    </xdr:to>
    <xdr:sp macro="" textlink="">
      <xdr:nvSpPr>
        <xdr:cNvPr id="397" name="left 396"/>
        <xdr:cNvSpPr/>
      </xdr:nvSpPr>
      <xdr:spPr>
        <a:xfrm>
          <a:off x="762000" y="45085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C</a:t>
          </a:r>
        </a:p>
      </xdr:txBody>
    </xdr:sp>
    <xdr:clientData/>
  </xdr:twoCellAnchor>
  <xdr:twoCellAnchor editAs="absolute">
    <xdr:from>
      <xdr:col>0</xdr:col>
      <xdr:colOff>1168400</xdr:colOff>
      <xdr:row>26</xdr:row>
      <xdr:rowOff>149860</xdr:rowOff>
    </xdr:from>
    <xdr:to>
      <xdr:col>0</xdr:col>
      <xdr:colOff>1308100</xdr:colOff>
      <xdr:row>28</xdr:row>
      <xdr:rowOff>5080</xdr:rowOff>
    </xdr:to>
    <xdr:sp macro="" textlink="">
      <xdr:nvSpPr>
        <xdr:cNvPr id="398" name="right 397"/>
        <xdr:cNvSpPr/>
      </xdr:nvSpPr>
      <xdr:spPr>
        <a:xfrm>
          <a:off x="1168400" y="45085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1125" b="1" i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1346200</xdr:colOff>
      <xdr:row>24</xdr:row>
      <xdr:rowOff>15240</xdr:rowOff>
    </xdr:from>
    <xdr:to>
      <xdr:col>0</xdr:col>
      <xdr:colOff>2019300</xdr:colOff>
      <xdr:row>28</xdr:row>
      <xdr:rowOff>17780</xdr:rowOff>
    </xdr:to>
    <xdr:sp macro="" textlink="">
      <xdr:nvSpPr>
        <xdr:cNvPr id="399" name="outline 398"/>
        <xdr:cNvSpPr/>
      </xdr:nvSpPr>
      <xdr:spPr>
        <a:xfrm>
          <a:off x="1346200" y="4038600"/>
          <a:ext cx="673100" cy="673100"/>
        </a:xfrm>
        <a:prstGeom prst="rect">
          <a:avLst/>
        </a:prstGeom>
        <a:solidFill>
          <a:srgbClr val="FFA3C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1358900</xdr:colOff>
      <xdr:row>24</xdr:row>
      <xdr:rowOff>27940</xdr:rowOff>
    </xdr:from>
    <xdr:to>
      <xdr:col>0</xdr:col>
      <xdr:colOff>2006600</xdr:colOff>
      <xdr:row>26</xdr:row>
      <xdr:rowOff>162560</xdr:rowOff>
    </xdr:to>
    <xdr:sp macro="" textlink="">
      <xdr:nvSpPr>
        <xdr:cNvPr id="400" name="name 399"/>
        <xdr:cNvSpPr/>
      </xdr:nvSpPr>
      <xdr:spPr>
        <a:xfrm>
          <a:off x="1358900" y="4051300"/>
          <a:ext cx="647700" cy="4699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832" b="1" i="1">
              <a:solidFill>
                <a:srgbClr val="000000"/>
              </a:solidFill>
              <a:latin typeface="arial"/>
            </a:rPr>
            <a:t>Wellington</a:t>
          </a:r>
        </a:p>
      </xdr:txBody>
    </xdr:sp>
    <xdr:clientData/>
  </xdr:twoCellAnchor>
  <xdr:twoCellAnchor editAs="absolute">
    <xdr:from>
      <xdr:col>0</xdr:col>
      <xdr:colOff>1435100</xdr:colOff>
      <xdr:row>26</xdr:row>
      <xdr:rowOff>149860</xdr:rowOff>
    </xdr:from>
    <xdr:to>
      <xdr:col>0</xdr:col>
      <xdr:colOff>1574800</xdr:colOff>
      <xdr:row>28</xdr:row>
      <xdr:rowOff>5080</xdr:rowOff>
    </xdr:to>
    <xdr:sp macro="" textlink="">
      <xdr:nvSpPr>
        <xdr:cNvPr id="401" name="left 400"/>
        <xdr:cNvSpPr/>
      </xdr:nvSpPr>
      <xdr:spPr>
        <a:xfrm>
          <a:off x="1435100" y="45085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C</a:t>
          </a:r>
        </a:p>
      </xdr:txBody>
    </xdr:sp>
    <xdr:clientData/>
  </xdr:twoCellAnchor>
  <xdr:twoCellAnchor editAs="absolute">
    <xdr:from>
      <xdr:col>0</xdr:col>
      <xdr:colOff>1841500</xdr:colOff>
      <xdr:row>26</xdr:row>
      <xdr:rowOff>149860</xdr:rowOff>
    </xdr:from>
    <xdr:to>
      <xdr:col>0</xdr:col>
      <xdr:colOff>1981200</xdr:colOff>
      <xdr:row>28</xdr:row>
      <xdr:rowOff>5080</xdr:rowOff>
    </xdr:to>
    <xdr:sp macro="" textlink="">
      <xdr:nvSpPr>
        <xdr:cNvPr id="402" name="right 401"/>
        <xdr:cNvSpPr/>
      </xdr:nvSpPr>
      <xdr:spPr>
        <a:xfrm>
          <a:off x="1841500" y="45085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1125" b="1" i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2019300</xdr:colOff>
      <xdr:row>24</xdr:row>
      <xdr:rowOff>15240</xdr:rowOff>
    </xdr:from>
    <xdr:to>
      <xdr:col>0</xdr:col>
      <xdr:colOff>2692400</xdr:colOff>
      <xdr:row>28</xdr:row>
      <xdr:rowOff>17780</xdr:rowOff>
    </xdr:to>
    <xdr:sp macro="" textlink="">
      <xdr:nvSpPr>
        <xdr:cNvPr id="403" name="outline 402"/>
        <xdr:cNvSpPr/>
      </xdr:nvSpPr>
      <xdr:spPr>
        <a:xfrm>
          <a:off x="2019300" y="4038600"/>
          <a:ext cx="673100" cy="673100"/>
        </a:xfrm>
        <a:prstGeom prst="rect">
          <a:avLst/>
        </a:prstGeom>
        <a:solidFill>
          <a:srgbClr val="FFA3C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2032000</xdr:colOff>
      <xdr:row>24</xdr:row>
      <xdr:rowOff>27940</xdr:rowOff>
    </xdr:from>
    <xdr:to>
      <xdr:col>0</xdr:col>
      <xdr:colOff>2679700</xdr:colOff>
      <xdr:row>28</xdr:row>
      <xdr:rowOff>5080</xdr:rowOff>
    </xdr:to>
    <xdr:sp macro="" textlink="">
      <xdr:nvSpPr>
        <xdr:cNvPr id="404" name="name 403"/>
        <xdr:cNvSpPr/>
      </xdr:nvSpPr>
      <xdr:spPr>
        <a:xfrm>
          <a:off x="2032000" y="4051300"/>
          <a:ext cx="647700" cy="647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1" i="1">
              <a:solidFill>
                <a:srgbClr val="8B0000"/>
              </a:solidFill>
              <a:latin typeface="arial"/>
            </a:rPr>
            <a:t>Attached: Le Marchant</a:t>
          </a:r>
        </a:p>
      </xdr:txBody>
    </xdr:sp>
    <xdr:clientData/>
  </xdr:twoCellAnchor>
  <xdr:twoCellAnchor editAs="absolute">
    <xdr:from>
      <xdr:col>0</xdr:col>
      <xdr:colOff>2692400</xdr:colOff>
      <xdr:row>24</xdr:row>
      <xdr:rowOff>15240</xdr:rowOff>
    </xdr:from>
    <xdr:to>
      <xdr:col>0</xdr:col>
      <xdr:colOff>3365500</xdr:colOff>
      <xdr:row>28</xdr:row>
      <xdr:rowOff>17780</xdr:rowOff>
    </xdr:to>
    <xdr:sp macro="" textlink="">
      <xdr:nvSpPr>
        <xdr:cNvPr id="405" name="outline 404"/>
        <xdr:cNvSpPr/>
      </xdr:nvSpPr>
      <xdr:spPr>
        <a:xfrm>
          <a:off x="2692400" y="4038600"/>
          <a:ext cx="673100" cy="673100"/>
        </a:xfrm>
        <a:prstGeom prst="rect">
          <a:avLst/>
        </a:prstGeom>
        <a:solidFill>
          <a:srgbClr val="FFA3C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2705100</xdr:colOff>
      <xdr:row>24</xdr:row>
      <xdr:rowOff>27940</xdr:rowOff>
    </xdr:from>
    <xdr:to>
      <xdr:col>0</xdr:col>
      <xdr:colOff>3352800</xdr:colOff>
      <xdr:row>28</xdr:row>
      <xdr:rowOff>5080</xdr:rowOff>
    </xdr:to>
    <xdr:sp macro="" textlink="">
      <xdr:nvSpPr>
        <xdr:cNvPr id="406" name="name 405"/>
        <xdr:cNvSpPr/>
      </xdr:nvSpPr>
      <xdr:spPr>
        <a:xfrm>
          <a:off x="2705100" y="4051300"/>
          <a:ext cx="647700" cy="647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1" i="1">
              <a:solidFill>
                <a:srgbClr val="8B0000"/>
              </a:solidFill>
              <a:latin typeface="arial"/>
            </a:rPr>
            <a:t>Attached: Anson</a:t>
          </a:r>
        </a:p>
      </xdr:txBody>
    </xdr:sp>
    <xdr:clientData/>
  </xdr:twoCellAnchor>
  <xdr:twoCellAnchor editAs="absolute">
    <xdr:from>
      <xdr:col>0</xdr:col>
      <xdr:colOff>3365500</xdr:colOff>
      <xdr:row>24</xdr:row>
      <xdr:rowOff>15240</xdr:rowOff>
    </xdr:from>
    <xdr:to>
      <xdr:col>0</xdr:col>
      <xdr:colOff>4038600</xdr:colOff>
      <xdr:row>28</xdr:row>
      <xdr:rowOff>17780</xdr:rowOff>
    </xdr:to>
    <xdr:sp macro="" textlink="">
      <xdr:nvSpPr>
        <xdr:cNvPr id="407" name="outline 406"/>
        <xdr:cNvSpPr/>
      </xdr:nvSpPr>
      <xdr:spPr>
        <a:xfrm>
          <a:off x="3365500" y="4038600"/>
          <a:ext cx="673100" cy="673100"/>
        </a:xfrm>
        <a:prstGeom prst="rect">
          <a:avLst/>
        </a:prstGeom>
        <a:solidFill>
          <a:srgbClr val="FFA3C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3378200</xdr:colOff>
      <xdr:row>24</xdr:row>
      <xdr:rowOff>27940</xdr:rowOff>
    </xdr:from>
    <xdr:to>
      <xdr:col>0</xdr:col>
      <xdr:colOff>4025900</xdr:colOff>
      <xdr:row>28</xdr:row>
      <xdr:rowOff>5080</xdr:rowOff>
    </xdr:to>
    <xdr:sp macro="" textlink="">
      <xdr:nvSpPr>
        <xdr:cNvPr id="408" name="name 407"/>
        <xdr:cNvSpPr/>
      </xdr:nvSpPr>
      <xdr:spPr>
        <a:xfrm>
          <a:off x="3378200" y="4051300"/>
          <a:ext cx="647700" cy="647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1" i="1">
              <a:solidFill>
                <a:srgbClr val="8B0000"/>
              </a:solidFill>
              <a:latin typeface="arial"/>
            </a:rPr>
            <a:t>Attached: Alten</a:t>
          </a:r>
        </a:p>
      </xdr:txBody>
    </xdr:sp>
    <xdr:clientData/>
  </xdr:twoCellAnchor>
  <xdr:twoCellAnchor editAs="absolute">
    <xdr:from>
      <xdr:col>0</xdr:col>
      <xdr:colOff>4038600</xdr:colOff>
      <xdr:row>24</xdr:row>
      <xdr:rowOff>15240</xdr:rowOff>
    </xdr:from>
    <xdr:to>
      <xdr:col>0</xdr:col>
      <xdr:colOff>4711700</xdr:colOff>
      <xdr:row>28</xdr:row>
      <xdr:rowOff>17780</xdr:rowOff>
    </xdr:to>
    <xdr:sp macro="" textlink="">
      <xdr:nvSpPr>
        <xdr:cNvPr id="409" name="outline 408"/>
        <xdr:cNvSpPr/>
      </xdr:nvSpPr>
      <xdr:spPr>
        <a:xfrm>
          <a:off x="4038600" y="4038600"/>
          <a:ext cx="673100" cy="673100"/>
        </a:xfrm>
        <a:prstGeom prst="rect">
          <a:avLst/>
        </a:prstGeom>
        <a:solidFill>
          <a:srgbClr val="FFA3C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4051300</xdr:colOff>
      <xdr:row>24</xdr:row>
      <xdr:rowOff>27940</xdr:rowOff>
    </xdr:from>
    <xdr:to>
      <xdr:col>0</xdr:col>
      <xdr:colOff>4699000</xdr:colOff>
      <xdr:row>28</xdr:row>
      <xdr:rowOff>5080</xdr:rowOff>
    </xdr:to>
    <xdr:sp macro="" textlink="">
      <xdr:nvSpPr>
        <xdr:cNvPr id="410" name="name 409"/>
        <xdr:cNvSpPr/>
      </xdr:nvSpPr>
      <xdr:spPr>
        <a:xfrm>
          <a:off x="4051300" y="4051300"/>
          <a:ext cx="647700" cy="647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1" i="1">
              <a:solidFill>
                <a:srgbClr val="8B0000"/>
              </a:solidFill>
              <a:latin typeface="arial"/>
            </a:rPr>
            <a:t>Attached: Bock</a:t>
          </a:r>
        </a:p>
      </xdr:txBody>
    </xdr:sp>
    <xdr:clientData/>
  </xdr:twoCellAnchor>
  <xdr:twoCellAnchor editAs="absolute">
    <xdr:from>
      <xdr:col>0</xdr:col>
      <xdr:colOff>4711700</xdr:colOff>
      <xdr:row>24</xdr:row>
      <xdr:rowOff>15240</xdr:rowOff>
    </xdr:from>
    <xdr:to>
      <xdr:col>0</xdr:col>
      <xdr:colOff>5384800</xdr:colOff>
      <xdr:row>28</xdr:row>
      <xdr:rowOff>17780</xdr:rowOff>
    </xdr:to>
    <xdr:sp macro="" textlink="">
      <xdr:nvSpPr>
        <xdr:cNvPr id="411" name="outline 410"/>
        <xdr:cNvSpPr/>
      </xdr:nvSpPr>
      <xdr:spPr>
        <a:xfrm>
          <a:off x="4711700" y="4038600"/>
          <a:ext cx="673100" cy="673100"/>
        </a:xfrm>
        <a:prstGeom prst="rect">
          <a:avLst/>
        </a:prstGeom>
        <a:solidFill>
          <a:srgbClr val="FFA3C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4724400</xdr:colOff>
      <xdr:row>24</xdr:row>
      <xdr:rowOff>27940</xdr:rowOff>
    </xdr:from>
    <xdr:to>
      <xdr:col>0</xdr:col>
      <xdr:colOff>5372100</xdr:colOff>
      <xdr:row>28</xdr:row>
      <xdr:rowOff>5080</xdr:rowOff>
    </xdr:to>
    <xdr:sp macro="" textlink="">
      <xdr:nvSpPr>
        <xdr:cNvPr id="412" name="name 411"/>
        <xdr:cNvSpPr/>
      </xdr:nvSpPr>
      <xdr:spPr>
        <a:xfrm>
          <a:off x="4724400" y="4051300"/>
          <a:ext cx="647700" cy="647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1" i="1">
              <a:solidFill>
                <a:srgbClr val="8B0000"/>
              </a:solidFill>
              <a:latin typeface="arial"/>
            </a:rPr>
            <a:t>Attached: D'Urban</a:t>
          </a:r>
        </a:p>
      </xdr:txBody>
    </xdr:sp>
    <xdr:clientData/>
  </xdr:twoCellAnchor>
  <xdr:twoCellAnchor editAs="absolute">
    <xdr:from>
      <xdr:col>0</xdr:col>
      <xdr:colOff>5384800</xdr:colOff>
      <xdr:row>24</xdr:row>
      <xdr:rowOff>15240</xdr:rowOff>
    </xdr:from>
    <xdr:to>
      <xdr:col>0</xdr:col>
      <xdr:colOff>6057900</xdr:colOff>
      <xdr:row>28</xdr:row>
      <xdr:rowOff>17780</xdr:rowOff>
    </xdr:to>
    <xdr:sp macro="" textlink="">
      <xdr:nvSpPr>
        <xdr:cNvPr id="413" name="outline 412"/>
        <xdr:cNvSpPr/>
      </xdr:nvSpPr>
      <xdr:spPr>
        <a:xfrm>
          <a:off x="5384800" y="4038600"/>
          <a:ext cx="673100" cy="673100"/>
        </a:xfrm>
        <a:prstGeom prst="rect">
          <a:avLst/>
        </a:prstGeom>
        <a:solidFill>
          <a:srgbClr val="FFA3C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5397500</xdr:colOff>
      <xdr:row>24</xdr:row>
      <xdr:rowOff>27940</xdr:rowOff>
    </xdr:from>
    <xdr:to>
      <xdr:col>0</xdr:col>
      <xdr:colOff>6045200</xdr:colOff>
      <xdr:row>28</xdr:row>
      <xdr:rowOff>5080</xdr:rowOff>
    </xdr:to>
    <xdr:sp macro="" textlink="">
      <xdr:nvSpPr>
        <xdr:cNvPr id="414" name="name 413"/>
        <xdr:cNvSpPr/>
      </xdr:nvSpPr>
      <xdr:spPr>
        <a:xfrm>
          <a:off x="5397500" y="4051300"/>
          <a:ext cx="647700" cy="647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1" i="1">
              <a:solidFill>
                <a:srgbClr val="8B0000"/>
              </a:solidFill>
              <a:latin typeface="arial"/>
            </a:rPr>
            <a:t>Attached: Bull</a:t>
          </a:r>
        </a:p>
      </xdr:txBody>
    </xdr:sp>
    <xdr:clientData/>
  </xdr:twoCellAnchor>
  <xdr:twoCellAnchor editAs="absolute">
    <xdr:from>
      <xdr:col>0</xdr:col>
      <xdr:colOff>6057900</xdr:colOff>
      <xdr:row>24</xdr:row>
      <xdr:rowOff>15240</xdr:rowOff>
    </xdr:from>
    <xdr:to>
      <xdr:col>0</xdr:col>
      <xdr:colOff>6731000</xdr:colOff>
      <xdr:row>28</xdr:row>
      <xdr:rowOff>17780</xdr:rowOff>
    </xdr:to>
    <xdr:sp macro="" textlink="">
      <xdr:nvSpPr>
        <xdr:cNvPr id="415" name="outline 414"/>
        <xdr:cNvSpPr/>
      </xdr:nvSpPr>
      <xdr:spPr>
        <a:xfrm>
          <a:off x="6057900" y="4038600"/>
          <a:ext cx="673100" cy="673100"/>
        </a:xfrm>
        <a:prstGeom prst="rect">
          <a:avLst/>
        </a:prstGeom>
        <a:solidFill>
          <a:srgbClr val="FFA3C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6070600</xdr:colOff>
      <xdr:row>24</xdr:row>
      <xdr:rowOff>27940</xdr:rowOff>
    </xdr:from>
    <xdr:to>
      <xdr:col>0</xdr:col>
      <xdr:colOff>6718300</xdr:colOff>
      <xdr:row>28</xdr:row>
      <xdr:rowOff>5080</xdr:rowOff>
    </xdr:to>
    <xdr:sp macro="" textlink="">
      <xdr:nvSpPr>
        <xdr:cNvPr id="416" name="name 415"/>
        <xdr:cNvSpPr/>
      </xdr:nvSpPr>
      <xdr:spPr>
        <a:xfrm>
          <a:off x="6070600" y="4051300"/>
          <a:ext cx="647700" cy="647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1" i="1">
              <a:solidFill>
                <a:srgbClr val="8B0000"/>
              </a:solidFill>
              <a:latin typeface="arial"/>
            </a:rPr>
            <a:t>Attached: Arriaga</a:t>
          </a:r>
        </a:p>
      </xdr:txBody>
    </xdr:sp>
    <xdr:clientData/>
  </xdr:twoCellAnchor>
  <xdr:twoCellAnchor editAs="absolute">
    <xdr:from>
      <xdr:col>0</xdr:col>
      <xdr:colOff>0</xdr:colOff>
      <xdr:row>28</xdr:row>
      <xdr:rowOff>17780</xdr:rowOff>
    </xdr:from>
    <xdr:to>
      <xdr:col>0</xdr:col>
      <xdr:colOff>673100</xdr:colOff>
      <xdr:row>32</xdr:row>
      <xdr:rowOff>20320</xdr:rowOff>
    </xdr:to>
    <xdr:sp macro="" textlink="">
      <xdr:nvSpPr>
        <xdr:cNvPr id="417" name="outline 416"/>
        <xdr:cNvSpPr/>
      </xdr:nvSpPr>
      <xdr:spPr>
        <a:xfrm>
          <a:off x="0" y="4711700"/>
          <a:ext cx="673100" cy="673100"/>
        </a:xfrm>
        <a:prstGeom prst="rect">
          <a:avLst/>
        </a:prstGeom>
        <a:solidFill>
          <a:srgbClr val="FFA3C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12700</xdr:colOff>
      <xdr:row>28</xdr:row>
      <xdr:rowOff>30480</xdr:rowOff>
    </xdr:from>
    <xdr:to>
      <xdr:col>0</xdr:col>
      <xdr:colOff>660400</xdr:colOff>
      <xdr:row>32</xdr:row>
      <xdr:rowOff>7620</xdr:rowOff>
    </xdr:to>
    <xdr:sp macro="" textlink="">
      <xdr:nvSpPr>
        <xdr:cNvPr id="418" name="name 417"/>
        <xdr:cNvSpPr/>
      </xdr:nvSpPr>
      <xdr:spPr>
        <a:xfrm>
          <a:off x="12700" y="4724400"/>
          <a:ext cx="647700" cy="647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1" i="1">
              <a:solidFill>
                <a:srgbClr val="8B0000"/>
              </a:solidFill>
              <a:latin typeface="arial"/>
            </a:rPr>
            <a:t>Attached: Pack</a:t>
          </a:r>
        </a:p>
      </xdr:txBody>
    </xdr:sp>
    <xdr:clientData/>
  </xdr:twoCellAnchor>
  <xdr:twoCellAnchor editAs="absolute">
    <xdr:from>
      <xdr:col>0</xdr:col>
      <xdr:colOff>673100</xdr:colOff>
      <xdr:row>28</xdr:row>
      <xdr:rowOff>17780</xdr:rowOff>
    </xdr:from>
    <xdr:to>
      <xdr:col>0</xdr:col>
      <xdr:colOff>1346200</xdr:colOff>
      <xdr:row>32</xdr:row>
      <xdr:rowOff>20320</xdr:rowOff>
    </xdr:to>
    <xdr:sp macro="" textlink="">
      <xdr:nvSpPr>
        <xdr:cNvPr id="419" name="outline 418"/>
        <xdr:cNvSpPr/>
      </xdr:nvSpPr>
      <xdr:spPr>
        <a:xfrm>
          <a:off x="673100" y="4711700"/>
          <a:ext cx="673100" cy="673100"/>
        </a:xfrm>
        <a:prstGeom prst="rect">
          <a:avLst/>
        </a:prstGeom>
        <a:solidFill>
          <a:srgbClr val="FFA3C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685800</xdr:colOff>
      <xdr:row>28</xdr:row>
      <xdr:rowOff>30480</xdr:rowOff>
    </xdr:from>
    <xdr:to>
      <xdr:col>0</xdr:col>
      <xdr:colOff>1333500</xdr:colOff>
      <xdr:row>32</xdr:row>
      <xdr:rowOff>7620</xdr:rowOff>
    </xdr:to>
    <xdr:sp macro="" textlink="">
      <xdr:nvSpPr>
        <xdr:cNvPr id="420" name="name 419"/>
        <xdr:cNvSpPr/>
      </xdr:nvSpPr>
      <xdr:spPr>
        <a:xfrm>
          <a:off x="685800" y="4724400"/>
          <a:ext cx="647700" cy="647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1" i="1">
              <a:solidFill>
                <a:srgbClr val="8B0000"/>
              </a:solidFill>
              <a:latin typeface="arial"/>
            </a:rPr>
            <a:t>Attached: Bradford</a:t>
          </a:r>
        </a:p>
      </xdr:txBody>
    </xdr:sp>
    <xdr:clientData/>
  </xdr:twoCellAnchor>
  <xdr:twoCellAnchor editAs="absolute">
    <xdr:from>
      <xdr:col>0</xdr:col>
      <xdr:colOff>1346200</xdr:colOff>
      <xdr:row>28</xdr:row>
      <xdr:rowOff>17780</xdr:rowOff>
    </xdr:from>
    <xdr:to>
      <xdr:col>0</xdr:col>
      <xdr:colOff>2019300</xdr:colOff>
      <xdr:row>32</xdr:row>
      <xdr:rowOff>20320</xdr:rowOff>
    </xdr:to>
    <xdr:sp macro="" textlink="">
      <xdr:nvSpPr>
        <xdr:cNvPr id="421" name="outline 420"/>
        <xdr:cNvSpPr/>
      </xdr:nvSpPr>
      <xdr:spPr>
        <a:xfrm>
          <a:off x="1346200" y="4711700"/>
          <a:ext cx="673100" cy="673100"/>
        </a:xfrm>
        <a:prstGeom prst="rect">
          <a:avLst/>
        </a:prstGeom>
        <a:solidFill>
          <a:srgbClr val="FFA3C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1358900</xdr:colOff>
      <xdr:row>28</xdr:row>
      <xdr:rowOff>30480</xdr:rowOff>
    </xdr:from>
    <xdr:to>
      <xdr:col>0</xdr:col>
      <xdr:colOff>2006600</xdr:colOff>
      <xdr:row>32</xdr:row>
      <xdr:rowOff>7620</xdr:rowOff>
    </xdr:to>
    <xdr:sp macro="" textlink="">
      <xdr:nvSpPr>
        <xdr:cNvPr id="422" name="name 421"/>
        <xdr:cNvSpPr/>
      </xdr:nvSpPr>
      <xdr:spPr>
        <a:xfrm>
          <a:off x="1358900" y="4724400"/>
          <a:ext cx="647700" cy="647700"/>
        </a:xfrm>
        <a:prstGeom prst="rect">
          <a:avLst/>
        </a:prstGeom>
        <a:solidFill>
          <a:srgbClr val="FFBE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48" b="1" i="1">
              <a:solidFill>
                <a:srgbClr val="000000"/>
              </a:solidFill>
              <a:latin typeface="arial"/>
            </a:rPr>
            <a:t>Turn</a:t>
          </a:r>
        </a:p>
      </xdr:txBody>
    </xdr:sp>
    <xdr:clientData/>
  </xdr:twoCellAnchor>
  <xdr:twoCellAnchor editAs="absolute">
    <xdr:from>
      <xdr:col>0</xdr:col>
      <xdr:colOff>2019300</xdr:colOff>
      <xdr:row>28</xdr:row>
      <xdr:rowOff>17780</xdr:rowOff>
    </xdr:from>
    <xdr:to>
      <xdr:col>0</xdr:col>
      <xdr:colOff>2692400</xdr:colOff>
      <xdr:row>32</xdr:row>
      <xdr:rowOff>20320</xdr:rowOff>
    </xdr:to>
    <xdr:sp macro="" textlink="">
      <xdr:nvSpPr>
        <xdr:cNvPr id="423" name="outline 422"/>
        <xdr:cNvSpPr/>
      </xdr:nvSpPr>
      <xdr:spPr>
        <a:xfrm>
          <a:off x="2019300" y="47117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2032000</xdr:colOff>
      <xdr:row>28</xdr:row>
      <xdr:rowOff>30480</xdr:rowOff>
    </xdr:from>
    <xdr:to>
      <xdr:col>0</xdr:col>
      <xdr:colOff>2171700</xdr:colOff>
      <xdr:row>30</xdr:row>
      <xdr:rowOff>139700</xdr:rowOff>
    </xdr:to>
    <xdr:sp macro="" textlink="">
      <xdr:nvSpPr>
        <xdr:cNvPr id="424" name="name 423"/>
        <xdr:cNvSpPr/>
      </xdr:nvSpPr>
      <xdr:spPr>
        <a:xfrm>
          <a:off x="2032000" y="4724400"/>
          <a:ext cx="139700" cy="444500"/>
        </a:xfrm>
        <a:prstGeom prst="rect">
          <a:avLst/>
        </a:prstGeom>
        <a:solidFill>
          <a:srgbClr val="FF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Marmont</a:t>
          </a:r>
        </a:p>
      </xdr:txBody>
    </xdr:sp>
    <xdr:clientData/>
  </xdr:twoCellAnchor>
  <xdr:twoCellAnchor editAs="absolute">
    <xdr:from>
      <xdr:col>0</xdr:col>
      <xdr:colOff>2184400</xdr:colOff>
      <xdr:row>28</xdr:row>
      <xdr:rowOff>81280</xdr:rowOff>
    </xdr:from>
    <xdr:to>
      <xdr:col>0</xdr:col>
      <xdr:colOff>2679700</xdr:colOff>
      <xdr:row>31</xdr:row>
      <xdr:rowOff>73660</xdr:rowOff>
    </xdr:to>
    <xdr:pic>
      <xdr:nvPicPr>
        <xdr:cNvPr id="425" name="pic 424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4400" y="4775200"/>
          <a:ext cx="495300" cy="495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2108200</xdr:colOff>
      <xdr:row>30</xdr:row>
      <xdr:rowOff>152400</xdr:rowOff>
    </xdr:from>
    <xdr:to>
      <xdr:col>0</xdr:col>
      <xdr:colOff>2247900</xdr:colOff>
      <xdr:row>32</xdr:row>
      <xdr:rowOff>7620</xdr:rowOff>
    </xdr:to>
    <xdr:sp macro="" textlink="">
      <xdr:nvSpPr>
        <xdr:cNvPr id="426" name="left 425"/>
        <xdr:cNvSpPr/>
      </xdr:nvSpPr>
      <xdr:spPr>
        <a:xfrm>
          <a:off x="2108200" y="51816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2311400</xdr:colOff>
      <xdr:row>30</xdr:row>
      <xdr:rowOff>152400</xdr:rowOff>
    </xdr:from>
    <xdr:to>
      <xdr:col>0</xdr:col>
      <xdr:colOff>2451100</xdr:colOff>
      <xdr:row>32</xdr:row>
      <xdr:rowOff>7620</xdr:rowOff>
    </xdr:to>
    <xdr:sp macro="" textlink="">
      <xdr:nvSpPr>
        <xdr:cNvPr id="427" name="middle 426"/>
        <xdr:cNvSpPr/>
      </xdr:nvSpPr>
      <xdr:spPr>
        <a:xfrm>
          <a:off x="2311400" y="51816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2514600</xdr:colOff>
      <xdr:row>30</xdr:row>
      <xdr:rowOff>152400</xdr:rowOff>
    </xdr:from>
    <xdr:to>
      <xdr:col>0</xdr:col>
      <xdr:colOff>2654300</xdr:colOff>
      <xdr:row>32</xdr:row>
      <xdr:rowOff>7620</xdr:rowOff>
    </xdr:to>
    <xdr:sp macro="" textlink="">
      <xdr:nvSpPr>
        <xdr:cNvPr id="428" name="right 427"/>
        <xdr:cNvSpPr/>
      </xdr:nvSpPr>
      <xdr:spPr>
        <a:xfrm>
          <a:off x="2514600" y="51816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2692400</xdr:colOff>
      <xdr:row>28</xdr:row>
      <xdr:rowOff>17780</xdr:rowOff>
    </xdr:from>
    <xdr:to>
      <xdr:col>0</xdr:col>
      <xdr:colOff>3365500</xdr:colOff>
      <xdr:row>32</xdr:row>
      <xdr:rowOff>20320</xdr:rowOff>
    </xdr:to>
    <xdr:sp macro="" textlink="">
      <xdr:nvSpPr>
        <xdr:cNvPr id="429" name="outline 428"/>
        <xdr:cNvSpPr/>
      </xdr:nvSpPr>
      <xdr:spPr>
        <a:xfrm>
          <a:off x="2692400" y="47117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2705100</xdr:colOff>
      <xdr:row>28</xdr:row>
      <xdr:rowOff>30480</xdr:rowOff>
    </xdr:from>
    <xdr:to>
      <xdr:col>0</xdr:col>
      <xdr:colOff>2844800</xdr:colOff>
      <xdr:row>30</xdr:row>
      <xdr:rowOff>139700</xdr:rowOff>
    </xdr:to>
    <xdr:sp macro="" textlink="">
      <xdr:nvSpPr>
        <xdr:cNvPr id="430" name="name 429"/>
        <xdr:cNvSpPr/>
      </xdr:nvSpPr>
      <xdr:spPr>
        <a:xfrm>
          <a:off x="2705100" y="4724400"/>
          <a:ext cx="139700" cy="444500"/>
        </a:xfrm>
        <a:prstGeom prst="rect">
          <a:avLst/>
        </a:prstGeom>
        <a:solidFill>
          <a:srgbClr val="FF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Clausel</a:t>
          </a:r>
        </a:p>
      </xdr:txBody>
    </xdr:sp>
    <xdr:clientData/>
  </xdr:twoCellAnchor>
  <xdr:twoCellAnchor editAs="absolute">
    <xdr:from>
      <xdr:col>0</xdr:col>
      <xdr:colOff>2857500</xdr:colOff>
      <xdr:row>28</xdr:row>
      <xdr:rowOff>81280</xdr:rowOff>
    </xdr:from>
    <xdr:to>
      <xdr:col>0</xdr:col>
      <xdr:colOff>3352800</xdr:colOff>
      <xdr:row>31</xdr:row>
      <xdr:rowOff>73660</xdr:rowOff>
    </xdr:to>
    <xdr:pic>
      <xdr:nvPicPr>
        <xdr:cNvPr id="431" name="pic 430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0" y="4775200"/>
          <a:ext cx="495300" cy="495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2781300</xdr:colOff>
      <xdr:row>30</xdr:row>
      <xdr:rowOff>152400</xdr:rowOff>
    </xdr:from>
    <xdr:to>
      <xdr:col>0</xdr:col>
      <xdr:colOff>2921000</xdr:colOff>
      <xdr:row>32</xdr:row>
      <xdr:rowOff>7620</xdr:rowOff>
    </xdr:to>
    <xdr:sp macro="" textlink="">
      <xdr:nvSpPr>
        <xdr:cNvPr id="432" name="left 431"/>
        <xdr:cNvSpPr/>
      </xdr:nvSpPr>
      <xdr:spPr>
        <a:xfrm>
          <a:off x="2781300" y="51816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2984500</xdr:colOff>
      <xdr:row>30</xdr:row>
      <xdr:rowOff>152400</xdr:rowOff>
    </xdr:from>
    <xdr:to>
      <xdr:col>0</xdr:col>
      <xdr:colOff>3124200</xdr:colOff>
      <xdr:row>32</xdr:row>
      <xdr:rowOff>7620</xdr:rowOff>
    </xdr:to>
    <xdr:sp macro="" textlink="">
      <xdr:nvSpPr>
        <xdr:cNvPr id="433" name="middle 432"/>
        <xdr:cNvSpPr/>
      </xdr:nvSpPr>
      <xdr:spPr>
        <a:xfrm>
          <a:off x="2984500" y="51816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3187700</xdr:colOff>
      <xdr:row>30</xdr:row>
      <xdr:rowOff>152400</xdr:rowOff>
    </xdr:from>
    <xdr:to>
      <xdr:col>0</xdr:col>
      <xdr:colOff>3327400</xdr:colOff>
      <xdr:row>32</xdr:row>
      <xdr:rowOff>7620</xdr:rowOff>
    </xdr:to>
    <xdr:sp macro="" textlink="">
      <xdr:nvSpPr>
        <xdr:cNvPr id="434" name="right 433"/>
        <xdr:cNvSpPr/>
      </xdr:nvSpPr>
      <xdr:spPr>
        <a:xfrm>
          <a:off x="3187700" y="51816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3365500</xdr:colOff>
      <xdr:row>28</xdr:row>
      <xdr:rowOff>17780</xdr:rowOff>
    </xdr:from>
    <xdr:to>
      <xdr:col>0</xdr:col>
      <xdr:colOff>4038600</xdr:colOff>
      <xdr:row>32</xdr:row>
      <xdr:rowOff>20320</xdr:rowOff>
    </xdr:to>
    <xdr:sp macro="" textlink="">
      <xdr:nvSpPr>
        <xdr:cNvPr id="435" name="outline 434"/>
        <xdr:cNvSpPr/>
      </xdr:nvSpPr>
      <xdr:spPr>
        <a:xfrm>
          <a:off x="3365500" y="47117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3530600</xdr:colOff>
      <xdr:row>28</xdr:row>
      <xdr:rowOff>55880</xdr:rowOff>
    </xdr:from>
    <xdr:to>
      <xdr:col>0</xdr:col>
      <xdr:colOff>4025900</xdr:colOff>
      <xdr:row>30</xdr:row>
      <xdr:rowOff>139700</xdr:rowOff>
    </xdr:to>
    <xdr:sp macro="" textlink="">
      <xdr:nvSpPr>
        <xdr:cNvPr id="436" name="flag 435"/>
        <xdr:cNvSpPr/>
      </xdr:nvSpPr>
      <xdr:spPr>
        <a:xfrm>
          <a:off x="3530600" y="47498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1</a:t>
          </a:r>
        </a:p>
      </xdr:txBody>
    </xdr:sp>
    <xdr:clientData/>
  </xdr:twoCellAnchor>
  <xdr:twoCellAnchor editAs="absolute">
    <xdr:from>
      <xdr:col>0</xdr:col>
      <xdr:colOff>3378200</xdr:colOff>
      <xdr:row>28</xdr:row>
      <xdr:rowOff>30480</xdr:rowOff>
    </xdr:from>
    <xdr:to>
      <xdr:col>0</xdr:col>
      <xdr:colOff>3517900</xdr:colOff>
      <xdr:row>30</xdr:row>
      <xdr:rowOff>165100</xdr:rowOff>
    </xdr:to>
    <xdr:sp macro="" textlink="">
      <xdr:nvSpPr>
        <xdr:cNvPr id="437" name="name 436"/>
        <xdr:cNvSpPr/>
      </xdr:nvSpPr>
      <xdr:spPr>
        <a:xfrm>
          <a:off x="3378200" y="4724400"/>
          <a:ext cx="139700" cy="4699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Foy</a:t>
          </a:r>
        </a:p>
      </xdr:txBody>
    </xdr:sp>
    <xdr:clientData/>
  </xdr:twoCellAnchor>
  <xdr:twoCellAnchor editAs="absolute">
    <xdr:from>
      <xdr:col>0</xdr:col>
      <xdr:colOff>3454400</xdr:colOff>
      <xdr:row>30</xdr:row>
      <xdr:rowOff>152400</xdr:rowOff>
    </xdr:from>
    <xdr:to>
      <xdr:col>0</xdr:col>
      <xdr:colOff>3594100</xdr:colOff>
      <xdr:row>32</xdr:row>
      <xdr:rowOff>7620</xdr:rowOff>
    </xdr:to>
    <xdr:sp macro="" textlink="">
      <xdr:nvSpPr>
        <xdr:cNvPr id="438" name="left 437"/>
        <xdr:cNvSpPr/>
      </xdr:nvSpPr>
      <xdr:spPr>
        <a:xfrm>
          <a:off x="3454400" y="51816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3860800</xdr:colOff>
      <xdr:row>30</xdr:row>
      <xdr:rowOff>152400</xdr:rowOff>
    </xdr:from>
    <xdr:to>
      <xdr:col>0</xdr:col>
      <xdr:colOff>4000500</xdr:colOff>
      <xdr:row>32</xdr:row>
      <xdr:rowOff>7620</xdr:rowOff>
    </xdr:to>
    <xdr:sp macro="" textlink="">
      <xdr:nvSpPr>
        <xdr:cNvPr id="439" name="right 438"/>
        <xdr:cNvSpPr/>
      </xdr:nvSpPr>
      <xdr:spPr>
        <a:xfrm>
          <a:off x="3860800" y="51816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4038600</xdr:colOff>
      <xdr:row>28</xdr:row>
      <xdr:rowOff>17780</xdr:rowOff>
    </xdr:from>
    <xdr:to>
      <xdr:col>0</xdr:col>
      <xdr:colOff>4711700</xdr:colOff>
      <xdr:row>32</xdr:row>
      <xdr:rowOff>20320</xdr:rowOff>
    </xdr:to>
    <xdr:sp macro="" textlink="">
      <xdr:nvSpPr>
        <xdr:cNvPr id="440" name="outline 439"/>
        <xdr:cNvSpPr/>
      </xdr:nvSpPr>
      <xdr:spPr>
        <a:xfrm>
          <a:off x="4038600" y="47117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4203700</xdr:colOff>
      <xdr:row>28</xdr:row>
      <xdr:rowOff>55880</xdr:rowOff>
    </xdr:from>
    <xdr:to>
      <xdr:col>0</xdr:col>
      <xdr:colOff>4699000</xdr:colOff>
      <xdr:row>30</xdr:row>
      <xdr:rowOff>139700</xdr:rowOff>
    </xdr:to>
    <xdr:sp macro="" textlink="">
      <xdr:nvSpPr>
        <xdr:cNvPr id="441" name="flag 440"/>
        <xdr:cNvSpPr/>
      </xdr:nvSpPr>
      <xdr:spPr>
        <a:xfrm>
          <a:off x="4203700" y="47498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1</a:t>
          </a:r>
        </a:p>
      </xdr:txBody>
    </xdr:sp>
    <xdr:clientData/>
  </xdr:twoCellAnchor>
  <xdr:twoCellAnchor editAs="absolute">
    <xdr:from>
      <xdr:col>0</xdr:col>
      <xdr:colOff>4051300</xdr:colOff>
      <xdr:row>28</xdr:row>
      <xdr:rowOff>30480</xdr:rowOff>
    </xdr:from>
    <xdr:to>
      <xdr:col>0</xdr:col>
      <xdr:colOff>4191000</xdr:colOff>
      <xdr:row>30</xdr:row>
      <xdr:rowOff>165100</xdr:rowOff>
    </xdr:to>
    <xdr:sp macro="" textlink="">
      <xdr:nvSpPr>
        <xdr:cNvPr id="442" name="name 441"/>
        <xdr:cNvSpPr/>
      </xdr:nvSpPr>
      <xdr:spPr>
        <a:xfrm>
          <a:off x="4051300" y="4724400"/>
          <a:ext cx="139700" cy="4699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Foy</a:t>
          </a:r>
        </a:p>
      </xdr:txBody>
    </xdr:sp>
    <xdr:clientData/>
  </xdr:twoCellAnchor>
  <xdr:twoCellAnchor editAs="absolute">
    <xdr:from>
      <xdr:col>0</xdr:col>
      <xdr:colOff>4127500</xdr:colOff>
      <xdr:row>30</xdr:row>
      <xdr:rowOff>152400</xdr:rowOff>
    </xdr:from>
    <xdr:to>
      <xdr:col>0</xdr:col>
      <xdr:colOff>4267200</xdr:colOff>
      <xdr:row>32</xdr:row>
      <xdr:rowOff>7620</xdr:rowOff>
    </xdr:to>
    <xdr:sp macro="" textlink="">
      <xdr:nvSpPr>
        <xdr:cNvPr id="443" name="left 442"/>
        <xdr:cNvSpPr/>
      </xdr:nvSpPr>
      <xdr:spPr>
        <a:xfrm>
          <a:off x="4127500" y="51816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4533900</xdr:colOff>
      <xdr:row>30</xdr:row>
      <xdr:rowOff>152400</xdr:rowOff>
    </xdr:from>
    <xdr:to>
      <xdr:col>0</xdr:col>
      <xdr:colOff>4673600</xdr:colOff>
      <xdr:row>32</xdr:row>
      <xdr:rowOff>7620</xdr:rowOff>
    </xdr:to>
    <xdr:sp macro="" textlink="">
      <xdr:nvSpPr>
        <xdr:cNvPr id="444" name="right 443"/>
        <xdr:cNvSpPr/>
      </xdr:nvSpPr>
      <xdr:spPr>
        <a:xfrm>
          <a:off x="4533900" y="51816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4711700</xdr:colOff>
      <xdr:row>28</xdr:row>
      <xdr:rowOff>17780</xdr:rowOff>
    </xdr:from>
    <xdr:to>
      <xdr:col>0</xdr:col>
      <xdr:colOff>5384800</xdr:colOff>
      <xdr:row>32</xdr:row>
      <xdr:rowOff>20320</xdr:rowOff>
    </xdr:to>
    <xdr:sp macro="" textlink="">
      <xdr:nvSpPr>
        <xdr:cNvPr id="445" name="outline 444"/>
        <xdr:cNvSpPr/>
      </xdr:nvSpPr>
      <xdr:spPr>
        <a:xfrm>
          <a:off x="4711700" y="47117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4724400</xdr:colOff>
      <xdr:row>28</xdr:row>
      <xdr:rowOff>30480</xdr:rowOff>
    </xdr:from>
    <xdr:to>
      <xdr:col>0</xdr:col>
      <xdr:colOff>5372100</xdr:colOff>
      <xdr:row>29</xdr:row>
      <xdr:rowOff>2540</xdr:rowOff>
    </xdr:to>
    <xdr:sp macro="" textlink="">
      <xdr:nvSpPr>
        <xdr:cNvPr id="446" name="name 445"/>
        <xdr:cNvSpPr/>
      </xdr:nvSpPr>
      <xdr:spPr>
        <a:xfrm>
          <a:off x="4724400" y="4724400"/>
          <a:ext cx="647700" cy="1397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6°Lg/Chemineau</a:t>
          </a:r>
        </a:p>
      </xdr:txBody>
    </xdr:sp>
    <xdr:clientData/>
  </xdr:twoCellAnchor>
  <xdr:twoCellAnchor editAs="absolute">
    <xdr:from>
      <xdr:col>0</xdr:col>
      <xdr:colOff>4927600</xdr:colOff>
      <xdr:row>29</xdr:row>
      <xdr:rowOff>15240</xdr:rowOff>
    </xdr:from>
    <xdr:to>
      <xdr:col>0</xdr:col>
      <xdr:colOff>5295900</xdr:colOff>
      <xdr:row>31</xdr:row>
      <xdr:rowOff>99060</xdr:rowOff>
    </xdr:to>
    <xdr:pic>
      <xdr:nvPicPr>
        <xdr:cNvPr id="447" name="symbol 44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7600" y="48768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4775200</xdr:colOff>
      <xdr:row>30</xdr:row>
      <xdr:rowOff>152400</xdr:rowOff>
    </xdr:from>
    <xdr:to>
      <xdr:col>0</xdr:col>
      <xdr:colOff>4940300</xdr:colOff>
      <xdr:row>32</xdr:row>
      <xdr:rowOff>7620</xdr:rowOff>
    </xdr:to>
    <xdr:sp macro="" textlink="">
      <xdr:nvSpPr>
        <xdr:cNvPr id="448" name="fleft 447"/>
        <xdr:cNvSpPr/>
      </xdr:nvSpPr>
      <xdr:spPr>
        <a:xfrm>
          <a:off x="47752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5080000</xdr:colOff>
      <xdr:row>30</xdr:row>
      <xdr:rowOff>152400</xdr:rowOff>
    </xdr:from>
    <xdr:to>
      <xdr:col>0</xdr:col>
      <xdr:colOff>5219700</xdr:colOff>
      <xdr:row>32</xdr:row>
      <xdr:rowOff>7620</xdr:rowOff>
    </xdr:to>
    <xdr:sp macro="" textlink="">
      <xdr:nvSpPr>
        <xdr:cNvPr id="449" name="fmiddle 448"/>
        <xdr:cNvSpPr/>
      </xdr:nvSpPr>
      <xdr:spPr>
        <a:xfrm>
          <a:off x="5080000" y="5181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5207000</xdr:colOff>
      <xdr:row>30</xdr:row>
      <xdr:rowOff>152400</xdr:rowOff>
    </xdr:from>
    <xdr:to>
      <xdr:col>0</xdr:col>
      <xdr:colOff>5372100</xdr:colOff>
      <xdr:row>32</xdr:row>
      <xdr:rowOff>7620</xdr:rowOff>
    </xdr:to>
    <xdr:sp macro="" textlink="">
      <xdr:nvSpPr>
        <xdr:cNvPr id="450" name="fright 449"/>
        <xdr:cNvSpPr/>
      </xdr:nvSpPr>
      <xdr:spPr>
        <a:xfrm>
          <a:off x="52070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5232400</xdr:colOff>
      <xdr:row>29</xdr:row>
      <xdr:rowOff>66040</xdr:rowOff>
    </xdr:from>
    <xdr:to>
      <xdr:col>0</xdr:col>
      <xdr:colOff>5372100</xdr:colOff>
      <xdr:row>30</xdr:row>
      <xdr:rowOff>63500</xdr:rowOff>
    </xdr:to>
    <xdr:sp macro="" textlink="">
      <xdr:nvSpPr>
        <xdr:cNvPr id="451" name="eng 450"/>
        <xdr:cNvSpPr/>
      </xdr:nvSpPr>
      <xdr:spPr>
        <a:xfrm>
          <a:off x="5232400" y="49276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5384800</xdr:colOff>
      <xdr:row>28</xdr:row>
      <xdr:rowOff>17780</xdr:rowOff>
    </xdr:from>
    <xdr:to>
      <xdr:col>0</xdr:col>
      <xdr:colOff>6057900</xdr:colOff>
      <xdr:row>32</xdr:row>
      <xdr:rowOff>20320</xdr:rowOff>
    </xdr:to>
    <xdr:sp macro="" textlink="">
      <xdr:nvSpPr>
        <xdr:cNvPr id="452" name="outline 451"/>
        <xdr:cNvSpPr/>
      </xdr:nvSpPr>
      <xdr:spPr>
        <a:xfrm>
          <a:off x="5384800" y="47117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5397500</xdr:colOff>
      <xdr:row>28</xdr:row>
      <xdr:rowOff>30480</xdr:rowOff>
    </xdr:from>
    <xdr:to>
      <xdr:col>0</xdr:col>
      <xdr:colOff>6045200</xdr:colOff>
      <xdr:row>29</xdr:row>
      <xdr:rowOff>2540</xdr:rowOff>
    </xdr:to>
    <xdr:sp macro="" textlink="">
      <xdr:nvSpPr>
        <xdr:cNvPr id="453" name="name 452"/>
        <xdr:cNvSpPr/>
      </xdr:nvSpPr>
      <xdr:spPr>
        <a:xfrm>
          <a:off x="5397500" y="4724400"/>
          <a:ext cx="647700" cy="1397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69°Li/Chemineau</a:t>
          </a:r>
        </a:p>
      </xdr:txBody>
    </xdr:sp>
    <xdr:clientData/>
  </xdr:twoCellAnchor>
  <xdr:twoCellAnchor editAs="absolute">
    <xdr:from>
      <xdr:col>0</xdr:col>
      <xdr:colOff>5600700</xdr:colOff>
      <xdr:row>29</xdr:row>
      <xdr:rowOff>15240</xdr:rowOff>
    </xdr:from>
    <xdr:to>
      <xdr:col>0</xdr:col>
      <xdr:colOff>5969000</xdr:colOff>
      <xdr:row>31</xdr:row>
      <xdr:rowOff>99060</xdr:rowOff>
    </xdr:to>
    <xdr:pic>
      <xdr:nvPicPr>
        <xdr:cNvPr id="454" name="symbol 45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8768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5448300</xdr:colOff>
      <xdr:row>30</xdr:row>
      <xdr:rowOff>152400</xdr:rowOff>
    </xdr:from>
    <xdr:to>
      <xdr:col>0</xdr:col>
      <xdr:colOff>5613400</xdr:colOff>
      <xdr:row>32</xdr:row>
      <xdr:rowOff>7620</xdr:rowOff>
    </xdr:to>
    <xdr:sp macro="" textlink="">
      <xdr:nvSpPr>
        <xdr:cNvPr id="455" name="fleft 454"/>
        <xdr:cNvSpPr/>
      </xdr:nvSpPr>
      <xdr:spPr>
        <a:xfrm>
          <a:off x="54483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5753100</xdr:colOff>
      <xdr:row>30</xdr:row>
      <xdr:rowOff>152400</xdr:rowOff>
    </xdr:from>
    <xdr:to>
      <xdr:col>0</xdr:col>
      <xdr:colOff>5892800</xdr:colOff>
      <xdr:row>32</xdr:row>
      <xdr:rowOff>7620</xdr:rowOff>
    </xdr:to>
    <xdr:sp macro="" textlink="">
      <xdr:nvSpPr>
        <xdr:cNvPr id="456" name="fmiddle 455"/>
        <xdr:cNvSpPr/>
      </xdr:nvSpPr>
      <xdr:spPr>
        <a:xfrm>
          <a:off x="5753100" y="5181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5880100</xdr:colOff>
      <xdr:row>30</xdr:row>
      <xdr:rowOff>152400</xdr:rowOff>
    </xdr:from>
    <xdr:to>
      <xdr:col>0</xdr:col>
      <xdr:colOff>6045200</xdr:colOff>
      <xdr:row>32</xdr:row>
      <xdr:rowOff>7620</xdr:rowOff>
    </xdr:to>
    <xdr:sp macro="" textlink="">
      <xdr:nvSpPr>
        <xdr:cNvPr id="457" name="fright 456"/>
        <xdr:cNvSpPr/>
      </xdr:nvSpPr>
      <xdr:spPr>
        <a:xfrm>
          <a:off x="58801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5905500</xdr:colOff>
      <xdr:row>29</xdr:row>
      <xdr:rowOff>66040</xdr:rowOff>
    </xdr:from>
    <xdr:to>
      <xdr:col>0</xdr:col>
      <xdr:colOff>6045200</xdr:colOff>
      <xdr:row>30</xdr:row>
      <xdr:rowOff>63500</xdr:rowOff>
    </xdr:to>
    <xdr:sp macro="" textlink="">
      <xdr:nvSpPr>
        <xdr:cNvPr id="458" name="eng 457"/>
        <xdr:cNvSpPr/>
      </xdr:nvSpPr>
      <xdr:spPr>
        <a:xfrm>
          <a:off x="5905500" y="49276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6057900</xdr:colOff>
      <xdr:row>28</xdr:row>
      <xdr:rowOff>17780</xdr:rowOff>
    </xdr:from>
    <xdr:to>
      <xdr:col>0</xdr:col>
      <xdr:colOff>6731000</xdr:colOff>
      <xdr:row>32</xdr:row>
      <xdr:rowOff>20320</xdr:rowOff>
    </xdr:to>
    <xdr:sp macro="" textlink="">
      <xdr:nvSpPr>
        <xdr:cNvPr id="459" name="outline 458"/>
        <xdr:cNvSpPr/>
      </xdr:nvSpPr>
      <xdr:spPr>
        <a:xfrm>
          <a:off x="6057900" y="47117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6070600</xdr:colOff>
      <xdr:row>28</xdr:row>
      <xdr:rowOff>30480</xdr:rowOff>
    </xdr:from>
    <xdr:to>
      <xdr:col>0</xdr:col>
      <xdr:colOff>6718300</xdr:colOff>
      <xdr:row>29</xdr:row>
      <xdr:rowOff>2540</xdr:rowOff>
    </xdr:to>
    <xdr:sp macro="" textlink="">
      <xdr:nvSpPr>
        <xdr:cNvPr id="460" name="name 459"/>
        <xdr:cNvSpPr/>
      </xdr:nvSpPr>
      <xdr:spPr>
        <a:xfrm>
          <a:off x="6070600" y="4724400"/>
          <a:ext cx="647700" cy="1397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39°Li/Desgraviers</a:t>
          </a:r>
        </a:p>
      </xdr:txBody>
    </xdr:sp>
    <xdr:clientData/>
  </xdr:twoCellAnchor>
  <xdr:twoCellAnchor editAs="absolute">
    <xdr:from>
      <xdr:col>0</xdr:col>
      <xdr:colOff>6273800</xdr:colOff>
      <xdr:row>29</xdr:row>
      <xdr:rowOff>15240</xdr:rowOff>
    </xdr:from>
    <xdr:to>
      <xdr:col>0</xdr:col>
      <xdr:colOff>6642100</xdr:colOff>
      <xdr:row>31</xdr:row>
      <xdr:rowOff>99060</xdr:rowOff>
    </xdr:to>
    <xdr:pic>
      <xdr:nvPicPr>
        <xdr:cNvPr id="461" name="symbol 46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3800" y="48768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6121400</xdr:colOff>
      <xdr:row>30</xdr:row>
      <xdr:rowOff>152400</xdr:rowOff>
    </xdr:from>
    <xdr:to>
      <xdr:col>0</xdr:col>
      <xdr:colOff>6286500</xdr:colOff>
      <xdr:row>32</xdr:row>
      <xdr:rowOff>7620</xdr:rowOff>
    </xdr:to>
    <xdr:sp macro="" textlink="">
      <xdr:nvSpPr>
        <xdr:cNvPr id="462" name="fleft 461"/>
        <xdr:cNvSpPr/>
      </xdr:nvSpPr>
      <xdr:spPr>
        <a:xfrm>
          <a:off x="61214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6426200</xdr:colOff>
      <xdr:row>30</xdr:row>
      <xdr:rowOff>152400</xdr:rowOff>
    </xdr:from>
    <xdr:to>
      <xdr:col>0</xdr:col>
      <xdr:colOff>6565900</xdr:colOff>
      <xdr:row>32</xdr:row>
      <xdr:rowOff>7620</xdr:rowOff>
    </xdr:to>
    <xdr:sp macro="" textlink="">
      <xdr:nvSpPr>
        <xdr:cNvPr id="463" name="fmiddle 462"/>
        <xdr:cNvSpPr/>
      </xdr:nvSpPr>
      <xdr:spPr>
        <a:xfrm>
          <a:off x="6426200" y="5181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6553200</xdr:colOff>
      <xdr:row>30</xdr:row>
      <xdr:rowOff>152400</xdr:rowOff>
    </xdr:from>
    <xdr:to>
      <xdr:col>0</xdr:col>
      <xdr:colOff>6718300</xdr:colOff>
      <xdr:row>32</xdr:row>
      <xdr:rowOff>7620</xdr:rowOff>
    </xdr:to>
    <xdr:sp macro="" textlink="">
      <xdr:nvSpPr>
        <xdr:cNvPr id="464" name="fright 463"/>
        <xdr:cNvSpPr/>
      </xdr:nvSpPr>
      <xdr:spPr>
        <a:xfrm>
          <a:off x="65532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6578600</xdr:colOff>
      <xdr:row>29</xdr:row>
      <xdr:rowOff>66040</xdr:rowOff>
    </xdr:from>
    <xdr:to>
      <xdr:col>0</xdr:col>
      <xdr:colOff>6718300</xdr:colOff>
      <xdr:row>30</xdr:row>
      <xdr:rowOff>63500</xdr:rowOff>
    </xdr:to>
    <xdr:sp macro="" textlink="">
      <xdr:nvSpPr>
        <xdr:cNvPr id="465" name="eng 464"/>
        <xdr:cNvSpPr/>
      </xdr:nvSpPr>
      <xdr:spPr>
        <a:xfrm>
          <a:off x="6578600" y="49276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0</xdr:colOff>
      <xdr:row>32</xdr:row>
      <xdr:rowOff>20320</xdr:rowOff>
    </xdr:from>
    <xdr:to>
      <xdr:col>0</xdr:col>
      <xdr:colOff>673100</xdr:colOff>
      <xdr:row>36</xdr:row>
      <xdr:rowOff>22860</xdr:rowOff>
    </xdr:to>
    <xdr:sp macro="" textlink="">
      <xdr:nvSpPr>
        <xdr:cNvPr id="466" name="outline 465"/>
        <xdr:cNvSpPr/>
      </xdr:nvSpPr>
      <xdr:spPr>
        <a:xfrm>
          <a:off x="0" y="53848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12700</xdr:colOff>
      <xdr:row>32</xdr:row>
      <xdr:rowOff>33020</xdr:rowOff>
    </xdr:from>
    <xdr:to>
      <xdr:col>0</xdr:col>
      <xdr:colOff>660400</xdr:colOff>
      <xdr:row>33</xdr:row>
      <xdr:rowOff>5080</xdr:rowOff>
    </xdr:to>
    <xdr:sp macro="" textlink="">
      <xdr:nvSpPr>
        <xdr:cNvPr id="467" name="name 466"/>
        <xdr:cNvSpPr/>
      </xdr:nvSpPr>
      <xdr:spPr>
        <a:xfrm>
          <a:off x="12700" y="5397500"/>
          <a:ext cx="647700" cy="1397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76°Li/Desgraviers</a:t>
          </a:r>
        </a:p>
      </xdr:txBody>
    </xdr:sp>
    <xdr:clientData/>
  </xdr:twoCellAnchor>
  <xdr:twoCellAnchor editAs="absolute">
    <xdr:from>
      <xdr:col>0</xdr:col>
      <xdr:colOff>215900</xdr:colOff>
      <xdr:row>33</xdr:row>
      <xdr:rowOff>17780</xdr:rowOff>
    </xdr:from>
    <xdr:to>
      <xdr:col>0</xdr:col>
      <xdr:colOff>584200</xdr:colOff>
      <xdr:row>35</xdr:row>
      <xdr:rowOff>101600</xdr:rowOff>
    </xdr:to>
    <xdr:pic>
      <xdr:nvPicPr>
        <xdr:cNvPr id="468" name="symbol 46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55499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63500</xdr:colOff>
      <xdr:row>34</xdr:row>
      <xdr:rowOff>154940</xdr:rowOff>
    </xdr:from>
    <xdr:to>
      <xdr:col>0</xdr:col>
      <xdr:colOff>228600</xdr:colOff>
      <xdr:row>36</xdr:row>
      <xdr:rowOff>10160</xdr:rowOff>
    </xdr:to>
    <xdr:sp macro="" textlink="">
      <xdr:nvSpPr>
        <xdr:cNvPr id="469" name="fleft 468"/>
        <xdr:cNvSpPr/>
      </xdr:nvSpPr>
      <xdr:spPr>
        <a:xfrm>
          <a:off x="635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368300</xdr:colOff>
      <xdr:row>34</xdr:row>
      <xdr:rowOff>154940</xdr:rowOff>
    </xdr:from>
    <xdr:to>
      <xdr:col>0</xdr:col>
      <xdr:colOff>508000</xdr:colOff>
      <xdr:row>36</xdr:row>
      <xdr:rowOff>10160</xdr:rowOff>
    </xdr:to>
    <xdr:sp macro="" textlink="">
      <xdr:nvSpPr>
        <xdr:cNvPr id="470" name="fmiddle 469"/>
        <xdr:cNvSpPr/>
      </xdr:nvSpPr>
      <xdr:spPr>
        <a:xfrm>
          <a:off x="368300" y="58547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495300</xdr:colOff>
      <xdr:row>34</xdr:row>
      <xdr:rowOff>154940</xdr:rowOff>
    </xdr:from>
    <xdr:to>
      <xdr:col>0</xdr:col>
      <xdr:colOff>660400</xdr:colOff>
      <xdr:row>36</xdr:row>
      <xdr:rowOff>10160</xdr:rowOff>
    </xdr:to>
    <xdr:sp macro="" textlink="">
      <xdr:nvSpPr>
        <xdr:cNvPr id="471" name="fright 470"/>
        <xdr:cNvSpPr/>
      </xdr:nvSpPr>
      <xdr:spPr>
        <a:xfrm>
          <a:off x="4953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520700</xdr:colOff>
      <xdr:row>33</xdr:row>
      <xdr:rowOff>68580</xdr:rowOff>
    </xdr:from>
    <xdr:to>
      <xdr:col>0</xdr:col>
      <xdr:colOff>660400</xdr:colOff>
      <xdr:row>34</xdr:row>
      <xdr:rowOff>66040</xdr:rowOff>
    </xdr:to>
    <xdr:sp macro="" textlink="">
      <xdr:nvSpPr>
        <xdr:cNvPr id="472" name="eng 471"/>
        <xdr:cNvSpPr/>
      </xdr:nvSpPr>
      <xdr:spPr>
        <a:xfrm>
          <a:off x="520700" y="56007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673100</xdr:colOff>
      <xdr:row>32</xdr:row>
      <xdr:rowOff>20320</xdr:rowOff>
    </xdr:from>
    <xdr:to>
      <xdr:col>0</xdr:col>
      <xdr:colOff>1346200</xdr:colOff>
      <xdr:row>36</xdr:row>
      <xdr:rowOff>22860</xdr:rowOff>
    </xdr:to>
    <xdr:sp macro="" textlink="">
      <xdr:nvSpPr>
        <xdr:cNvPr id="473" name="outline 472"/>
        <xdr:cNvSpPr/>
      </xdr:nvSpPr>
      <xdr:spPr>
        <a:xfrm>
          <a:off x="673100" y="53848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889000</xdr:colOff>
      <xdr:row>32</xdr:row>
      <xdr:rowOff>33020</xdr:rowOff>
    </xdr:from>
    <xdr:to>
      <xdr:col>0</xdr:col>
      <xdr:colOff>1333500</xdr:colOff>
      <xdr:row>33</xdr:row>
      <xdr:rowOff>5080</xdr:rowOff>
    </xdr:to>
    <xdr:sp macro="" textlink="">
      <xdr:nvSpPr>
        <xdr:cNvPr id="474" name="name 473"/>
        <xdr:cNvSpPr/>
      </xdr:nvSpPr>
      <xdr:spPr>
        <a:xfrm>
          <a:off x="889000" y="5397500"/>
          <a:ext cx="444500" cy="1397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Foy</a:t>
          </a:r>
        </a:p>
      </xdr:txBody>
    </xdr:sp>
    <xdr:clientData/>
  </xdr:twoCellAnchor>
  <xdr:twoCellAnchor editAs="absolute">
    <xdr:from>
      <xdr:col>0</xdr:col>
      <xdr:colOff>736600</xdr:colOff>
      <xdr:row>33</xdr:row>
      <xdr:rowOff>93980</xdr:rowOff>
    </xdr:from>
    <xdr:to>
      <xdr:col>0</xdr:col>
      <xdr:colOff>1130300</xdr:colOff>
      <xdr:row>35</xdr:row>
      <xdr:rowOff>0</xdr:rowOff>
    </xdr:to>
    <xdr:pic>
      <xdr:nvPicPr>
        <xdr:cNvPr id="475" name="symbol 474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6600" y="5626100"/>
          <a:ext cx="393700" cy="241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1041400</xdr:colOff>
      <xdr:row>32</xdr:row>
      <xdr:rowOff>160020</xdr:rowOff>
    </xdr:from>
    <xdr:to>
      <xdr:col>0</xdr:col>
      <xdr:colOff>1333500</xdr:colOff>
      <xdr:row>34</xdr:row>
      <xdr:rowOff>116840</xdr:rowOff>
    </xdr:to>
    <xdr:pic>
      <xdr:nvPicPr>
        <xdr:cNvPr id="476" name="elite 475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400" y="5524500"/>
          <a:ext cx="2921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736600</xdr:colOff>
      <xdr:row>34</xdr:row>
      <xdr:rowOff>154940</xdr:rowOff>
    </xdr:from>
    <xdr:to>
      <xdr:col>0</xdr:col>
      <xdr:colOff>927100</xdr:colOff>
      <xdr:row>35</xdr:row>
      <xdr:rowOff>152400</xdr:rowOff>
    </xdr:to>
    <xdr:sp macro="" textlink="">
      <xdr:nvSpPr>
        <xdr:cNvPr id="477" name="fleft 476"/>
        <xdr:cNvSpPr/>
      </xdr:nvSpPr>
      <xdr:spPr>
        <a:xfrm>
          <a:off x="736600" y="58547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965200</xdr:colOff>
      <xdr:row>34</xdr:row>
      <xdr:rowOff>154940</xdr:rowOff>
    </xdr:from>
    <xdr:to>
      <xdr:col>0</xdr:col>
      <xdr:colOff>1104900</xdr:colOff>
      <xdr:row>36</xdr:row>
      <xdr:rowOff>10160</xdr:rowOff>
    </xdr:to>
    <xdr:sp macro="" textlink="">
      <xdr:nvSpPr>
        <xdr:cNvPr id="478" name="fmiddle 477"/>
        <xdr:cNvSpPr/>
      </xdr:nvSpPr>
      <xdr:spPr>
        <a:xfrm>
          <a:off x="965200" y="58547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1143000</xdr:colOff>
      <xdr:row>34</xdr:row>
      <xdr:rowOff>154940</xdr:rowOff>
    </xdr:from>
    <xdr:to>
      <xdr:col>0</xdr:col>
      <xdr:colOff>1308100</xdr:colOff>
      <xdr:row>36</xdr:row>
      <xdr:rowOff>10160</xdr:rowOff>
    </xdr:to>
    <xdr:sp macro="" textlink="">
      <xdr:nvSpPr>
        <xdr:cNvPr id="479" name="fright 478"/>
        <xdr:cNvSpPr/>
      </xdr:nvSpPr>
      <xdr:spPr>
        <a:xfrm>
          <a:off x="11430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685800</xdr:colOff>
      <xdr:row>32</xdr:row>
      <xdr:rowOff>33020</xdr:rowOff>
    </xdr:from>
    <xdr:to>
      <xdr:col>0</xdr:col>
      <xdr:colOff>876300</xdr:colOff>
      <xdr:row>32</xdr:row>
      <xdr:rowOff>147320</xdr:rowOff>
    </xdr:to>
    <xdr:sp macro="" textlink="">
      <xdr:nvSpPr>
        <xdr:cNvPr id="480" name="eng 479"/>
        <xdr:cNvSpPr/>
      </xdr:nvSpPr>
      <xdr:spPr>
        <a:xfrm>
          <a:off x="685800" y="53975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2-3</a:t>
          </a:r>
        </a:p>
      </xdr:txBody>
    </xdr:sp>
    <xdr:clientData/>
  </xdr:twoCellAnchor>
  <xdr:twoCellAnchor editAs="absolute">
    <xdr:from>
      <xdr:col>0</xdr:col>
      <xdr:colOff>1346200</xdr:colOff>
      <xdr:row>32</xdr:row>
      <xdr:rowOff>20320</xdr:rowOff>
    </xdr:from>
    <xdr:to>
      <xdr:col>0</xdr:col>
      <xdr:colOff>2019300</xdr:colOff>
      <xdr:row>36</xdr:row>
      <xdr:rowOff>22860</xdr:rowOff>
    </xdr:to>
    <xdr:sp macro="" textlink="">
      <xdr:nvSpPr>
        <xdr:cNvPr id="481" name="outline 480"/>
        <xdr:cNvSpPr/>
      </xdr:nvSpPr>
      <xdr:spPr>
        <a:xfrm>
          <a:off x="1346200" y="53848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1511300</xdr:colOff>
      <xdr:row>32</xdr:row>
      <xdr:rowOff>58420</xdr:rowOff>
    </xdr:from>
    <xdr:to>
      <xdr:col>0</xdr:col>
      <xdr:colOff>2006600</xdr:colOff>
      <xdr:row>34</xdr:row>
      <xdr:rowOff>142240</xdr:rowOff>
    </xdr:to>
    <xdr:sp macro="" textlink="">
      <xdr:nvSpPr>
        <xdr:cNvPr id="482" name="flag 481"/>
        <xdr:cNvSpPr/>
      </xdr:nvSpPr>
      <xdr:spPr>
        <a:xfrm>
          <a:off x="1511300" y="54229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2</a:t>
          </a:r>
        </a:p>
      </xdr:txBody>
    </xdr:sp>
    <xdr:clientData/>
  </xdr:twoCellAnchor>
  <xdr:twoCellAnchor editAs="absolute">
    <xdr:from>
      <xdr:col>0</xdr:col>
      <xdr:colOff>1358900</xdr:colOff>
      <xdr:row>32</xdr:row>
      <xdr:rowOff>33020</xdr:rowOff>
    </xdr:from>
    <xdr:to>
      <xdr:col>0</xdr:col>
      <xdr:colOff>1498600</xdr:colOff>
      <xdr:row>35</xdr:row>
      <xdr:rowOff>0</xdr:rowOff>
    </xdr:to>
    <xdr:sp macro="" textlink="">
      <xdr:nvSpPr>
        <xdr:cNvPr id="483" name="name 482"/>
        <xdr:cNvSpPr/>
      </xdr:nvSpPr>
      <xdr:spPr>
        <a:xfrm>
          <a:off x="1358900" y="5397500"/>
          <a:ext cx="139700" cy="469900"/>
        </a:xfrm>
        <a:prstGeom prst="rect">
          <a:avLst/>
        </a:prstGeom>
        <a:solidFill>
          <a:srgbClr val="00008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00"/>
              </a:solidFill>
              <a:latin typeface="arial narrow"/>
            </a:rPr>
            <a:t>Clausel</a:t>
          </a:r>
        </a:p>
      </xdr:txBody>
    </xdr:sp>
    <xdr:clientData/>
  </xdr:twoCellAnchor>
  <xdr:twoCellAnchor editAs="absolute">
    <xdr:from>
      <xdr:col>0</xdr:col>
      <xdr:colOff>1435100</xdr:colOff>
      <xdr:row>34</xdr:row>
      <xdr:rowOff>154940</xdr:rowOff>
    </xdr:from>
    <xdr:to>
      <xdr:col>0</xdr:col>
      <xdr:colOff>1574800</xdr:colOff>
      <xdr:row>36</xdr:row>
      <xdr:rowOff>10160</xdr:rowOff>
    </xdr:to>
    <xdr:sp macro="" textlink="">
      <xdr:nvSpPr>
        <xdr:cNvPr id="484" name="left 483"/>
        <xdr:cNvSpPr/>
      </xdr:nvSpPr>
      <xdr:spPr>
        <a:xfrm>
          <a:off x="1435100" y="58547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1841500</xdr:colOff>
      <xdr:row>34</xdr:row>
      <xdr:rowOff>154940</xdr:rowOff>
    </xdr:from>
    <xdr:to>
      <xdr:col>0</xdr:col>
      <xdr:colOff>1981200</xdr:colOff>
      <xdr:row>36</xdr:row>
      <xdr:rowOff>10160</xdr:rowOff>
    </xdr:to>
    <xdr:sp macro="" textlink="">
      <xdr:nvSpPr>
        <xdr:cNvPr id="485" name="right 484"/>
        <xdr:cNvSpPr/>
      </xdr:nvSpPr>
      <xdr:spPr>
        <a:xfrm>
          <a:off x="1841500" y="58547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2019300</xdr:colOff>
      <xdr:row>32</xdr:row>
      <xdr:rowOff>20320</xdr:rowOff>
    </xdr:from>
    <xdr:to>
      <xdr:col>0</xdr:col>
      <xdr:colOff>2692400</xdr:colOff>
      <xdr:row>36</xdr:row>
      <xdr:rowOff>22860</xdr:rowOff>
    </xdr:to>
    <xdr:sp macro="" textlink="">
      <xdr:nvSpPr>
        <xdr:cNvPr id="486" name="outline 485"/>
        <xdr:cNvSpPr/>
      </xdr:nvSpPr>
      <xdr:spPr>
        <a:xfrm>
          <a:off x="2019300" y="53848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2184400</xdr:colOff>
      <xdr:row>32</xdr:row>
      <xdr:rowOff>58420</xdr:rowOff>
    </xdr:from>
    <xdr:to>
      <xdr:col>0</xdr:col>
      <xdr:colOff>2679700</xdr:colOff>
      <xdr:row>34</xdr:row>
      <xdr:rowOff>142240</xdr:rowOff>
    </xdr:to>
    <xdr:sp macro="" textlink="">
      <xdr:nvSpPr>
        <xdr:cNvPr id="487" name="flag 486"/>
        <xdr:cNvSpPr/>
      </xdr:nvSpPr>
      <xdr:spPr>
        <a:xfrm>
          <a:off x="2184400" y="54229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2</a:t>
          </a:r>
        </a:p>
      </xdr:txBody>
    </xdr:sp>
    <xdr:clientData/>
  </xdr:twoCellAnchor>
  <xdr:twoCellAnchor editAs="absolute">
    <xdr:from>
      <xdr:col>0</xdr:col>
      <xdr:colOff>2032000</xdr:colOff>
      <xdr:row>32</xdr:row>
      <xdr:rowOff>33020</xdr:rowOff>
    </xdr:from>
    <xdr:to>
      <xdr:col>0</xdr:col>
      <xdr:colOff>2171700</xdr:colOff>
      <xdr:row>35</xdr:row>
      <xdr:rowOff>0</xdr:rowOff>
    </xdr:to>
    <xdr:sp macro="" textlink="">
      <xdr:nvSpPr>
        <xdr:cNvPr id="488" name="name 487"/>
        <xdr:cNvSpPr/>
      </xdr:nvSpPr>
      <xdr:spPr>
        <a:xfrm>
          <a:off x="2032000" y="5397500"/>
          <a:ext cx="139700" cy="469900"/>
        </a:xfrm>
        <a:prstGeom prst="rect">
          <a:avLst/>
        </a:prstGeom>
        <a:solidFill>
          <a:srgbClr val="00008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00"/>
              </a:solidFill>
              <a:latin typeface="arial narrow"/>
            </a:rPr>
            <a:t>Clausel</a:t>
          </a:r>
        </a:p>
      </xdr:txBody>
    </xdr:sp>
    <xdr:clientData/>
  </xdr:twoCellAnchor>
  <xdr:twoCellAnchor editAs="absolute">
    <xdr:from>
      <xdr:col>0</xdr:col>
      <xdr:colOff>2108200</xdr:colOff>
      <xdr:row>34</xdr:row>
      <xdr:rowOff>154940</xdr:rowOff>
    </xdr:from>
    <xdr:to>
      <xdr:col>0</xdr:col>
      <xdr:colOff>2247900</xdr:colOff>
      <xdr:row>36</xdr:row>
      <xdr:rowOff>10160</xdr:rowOff>
    </xdr:to>
    <xdr:sp macro="" textlink="">
      <xdr:nvSpPr>
        <xdr:cNvPr id="489" name="left 488"/>
        <xdr:cNvSpPr/>
      </xdr:nvSpPr>
      <xdr:spPr>
        <a:xfrm>
          <a:off x="2108200" y="58547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2514600</xdr:colOff>
      <xdr:row>34</xdr:row>
      <xdr:rowOff>154940</xdr:rowOff>
    </xdr:from>
    <xdr:to>
      <xdr:col>0</xdr:col>
      <xdr:colOff>2654300</xdr:colOff>
      <xdr:row>36</xdr:row>
      <xdr:rowOff>10160</xdr:rowOff>
    </xdr:to>
    <xdr:sp macro="" textlink="">
      <xdr:nvSpPr>
        <xdr:cNvPr id="490" name="right 489"/>
        <xdr:cNvSpPr/>
      </xdr:nvSpPr>
      <xdr:spPr>
        <a:xfrm>
          <a:off x="2514600" y="58547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2692400</xdr:colOff>
      <xdr:row>32</xdr:row>
      <xdr:rowOff>20320</xdr:rowOff>
    </xdr:from>
    <xdr:to>
      <xdr:col>0</xdr:col>
      <xdr:colOff>3365500</xdr:colOff>
      <xdr:row>36</xdr:row>
      <xdr:rowOff>22860</xdr:rowOff>
    </xdr:to>
    <xdr:sp macro="" textlink="">
      <xdr:nvSpPr>
        <xdr:cNvPr id="491" name="outline 490"/>
        <xdr:cNvSpPr/>
      </xdr:nvSpPr>
      <xdr:spPr>
        <a:xfrm>
          <a:off x="2692400" y="53848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2705100</xdr:colOff>
      <xdr:row>32</xdr:row>
      <xdr:rowOff>33020</xdr:rowOff>
    </xdr:from>
    <xdr:to>
      <xdr:col>0</xdr:col>
      <xdr:colOff>3352800</xdr:colOff>
      <xdr:row>33</xdr:row>
      <xdr:rowOff>5080</xdr:rowOff>
    </xdr:to>
    <xdr:sp macro="" textlink="">
      <xdr:nvSpPr>
        <xdr:cNvPr id="492" name="name 491"/>
        <xdr:cNvSpPr/>
      </xdr:nvSpPr>
      <xdr:spPr>
        <a:xfrm>
          <a:off x="2705100" y="5397500"/>
          <a:ext cx="647700" cy="139700"/>
        </a:xfrm>
        <a:prstGeom prst="rect">
          <a:avLst/>
        </a:prstGeom>
        <a:solidFill>
          <a:srgbClr val="00008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00"/>
              </a:solidFill>
              <a:latin typeface="arial narrow"/>
            </a:rPr>
            <a:t>25°Lg/Berlier</a:t>
          </a:r>
        </a:p>
      </xdr:txBody>
    </xdr:sp>
    <xdr:clientData/>
  </xdr:twoCellAnchor>
  <xdr:twoCellAnchor editAs="absolute">
    <xdr:from>
      <xdr:col>0</xdr:col>
      <xdr:colOff>2908300</xdr:colOff>
      <xdr:row>33</xdr:row>
      <xdr:rowOff>17780</xdr:rowOff>
    </xdr:from>
    <xdr:to>
      <xdr:col>0</xdr:col>
      <xdr:colOff>3276600</xdr:colOff>
      <xdr:row>35</xdr:row>
      <xdr:rowOff>101600</xdr:rowOff>
    </xdr:to>
    <xdr:pic>
      <xdr:nvPicPr>
        <xdr:cNvPr id="493" name="symbol 49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300" y="55499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2755900</xdr:colOff>
      <xdr:row>34</xdr:row>
      <xdr:rowOff>154940</xdr:rowOff>
    </xdr:from>
    <xdr:to>
      <xdr:col>0</xdr:col>
      <xdr:colOff>2921000</xdr:colOff>
      <xdr:row>36</xdr:row>
      <xdr:rowOff>10160</xdr:rowOff>
    </xdr:to>
    <xdr:sp macro="" textlink="">
      <xdr:nvSpPr>
        <xdr:cNvPr id="494" name="fleft 493"/>
        <xdr:cNvSpPr/>
      </xdr:nvSpPr>
      <xdr:spPr>
        <a:xfrm>
          <a:off x="27559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3060700</xdr:colOff>
      <xdr:row>34</xdr:row>
      <xdr:rowOff>154940</xdr:rowOff>
    </xdr:from>
    <xdr:to>
      <xdr:col>0</xdr:col>
      <xdr:colOff>3200400</xdr:colOff>
      <xdr:row>36</xdr:row>
      <xdr:rowOff>10160</xdr:rowOff>
    </xdr:to>
    <xdr:sp macro="" textlink="">
      <xdr:nvSpPr>
        <xdr:cNvPr id="495" name="fmiddle 494"/>
        <xdr:cNvSpPr/>
      </xdr:nvSpPr>
      <xdr:spPr>
        <a:xfrm>
          <a:off x="3060700" y="58547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3187700</xdr:colOff>
      <xdr:row>34</xdr:row>
      <xdr:rowOff>154940</xdr:rowOff>
    </xdr:from>
    <xdr:to>
      <xdr:col>0</xdr:col>
      <xdr:colOff>3352800</xdr:colOff>
      <xdr:row>36</xdr:row>
      <xdr:rowOff>10160</xdr:rowOff>
    </xdr:to>
    <xdr:sp macro="" textlink="">
      <xdr:nvSpPr>
        <xdr:cNvPr id="496" name="fright 495"/>
        <xdr:cNvSpPr/>
      </xdr:nvSpPr>
      <xdr:spPr>
        <a:xfrm>
          <a:off x="31877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3213100</xdr:colOff>
      <xdr:row>33</xdr:row>
      <xdr:rowOff>68580</xdr:rowOff>
    </xdr:from>
    <xdr:to>
      <xdr:col>0</xdr:col>
      <xdr:colOff>3352800</xdr:colOff>
      <xdr:row>34</xdr:row>
      <xdr:rowOff>66040</xdr:rowOff>
    </xdr:to>
    <xdr:sp macro="" textlink="">
      <xdr:nvSpPr>
        <xdr:cNvPr id="497" name="eng 496"/>
        <xdr:cNvSpPr/>
      </xdr:nvSpPr>
      <xdr:spPr>
        <a:xfrm>
          <a:off x="3213100" y="56007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3365500</xdr:colOff>
      <xdr:row>32</xdr:row>
      <xdr:rowOff>20320</xdr:rowOff>
    </xdr:from>
    <xdr:to>
      <xdr:col>0</xdr:col>
      <xdr:colOff>4038600</xdr:colOff>
      <xdr:row>36</xdr:row>
      <xdr:rowOff>22860</xdr:rowOff>
    </xdr:to>
    <xdr:sp macro="" textlink="">
      <xdr:nvSpPr>
        <xdr:cNvPr id="498" name="outline 497"/>
        <xdr:cNvSpPr/>
      </xdr:nvSpPr>
      <xdr:spPr>
        <a:xfrm>
          <a:off x="3365500" y="53848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3378200</xdr:colOff>
      <xdr:row>32</xdr:row>
      <xdr:rowOff>33020</xdr:rowOff>
    </xdr:from>
    <xdr:to>
      <xdr:col>0</xdr:col>
      <xdr:colOff>4025900</xdr:colOff>
      <xdr:row>33</xdr:row>
      <xdr:rowOff>5080</xdr:rowOff>
    </xdr:to>
    <xdr:sp macro="" textlink="">
      <xdr:nvSpPr>
        <xdr:cNvPr id="499" name="name 498"/>
        <xdr:cNvSpPr/>
      </xdr:nvSpPr>
      <xdr:spPr>
        <a:xfrm>
          <a:off x="3378200" y="5397500"/>
          <a:ext cx="647700" cy="139700"/>
        </a:xfrm>
        <a:prstGeom prst="rect">
          <a:avLst/>
        </a:prstGeom>
        <a:solidFill>
          <a:srgbClr val="00008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00"/>
              </a:solidFill>
              <a:latin typeface="arial narrow"/>
            </a:rPr>
            <a:t>27°Li/Berlier</a:t>
          </a:r>
        </a:p>
      </xdr:txBody>
    </xdr:sp>
    <xdr:clientData/>
  </xdr:twoCellAnchor>
  <xdr:twoCellAnchor editAs="absolute">
    <xdr:from>
      <xdr:col>0</xdr:col>
      <xdr:colOff>3581400</xdr:colOff>
      <xdr:row>33</xdr:row>
      <xdr:rowOff>17780</xdr:rowOff>
    </xdr:from>
    <xdr:to>
      <xdr:col>0</xdr:col>
      <xdr:colOff>3949700</xdr:colOff>
      <xdr:row>35</xdr:row>
      <xdr:rowOff>101600</xdr:rowOff>
    </xdr:to>
    <xdr:pic>
      <xdr:nvPicPr>
        <xdr:cNvPr id="500" name="symbol 49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0" y="55499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3429000</xdr:colOff>
      <xdr:row>34</xdr:row>
      <xdr:rowOff>154940</xdr:rowOff>
    </xdr:from>
    <xdr:to>
      <xdr:col>0</xdr:col>
      <xdr:colOff>3594100</xdr:colOff>
      <xdr:row>36</xdr:row>
      <xdr:rowOff>10160</xdr:rowOff>
    </xdr:to>
    <xdr:sp macro="" textlink="">
      <xdr:nvSpPr>
        <xdr:cNvPr id="501" name="fleft 500"/>
        <xdr:cNvSpPr/>
      </xdr:nvSpPr>
      <xdr:spPr>
        <a:xfrm>
          <a:off x="34290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3733800</xdr:colOff>
      <xdr:row>34</xdr:row>
      <xdr:rowOff>154940</xdr:rowOff>
    </xdr:from>
    <xdr:to>
      <xdr:col>0</xdr:col>
      <xdr:colOff>3873500</xdr:colOff>
      <xdr:row>36</xdr:row>
      <xdr:rowOff>10160</xdr:rowOff>
    </xdr:to>
    <xdr:sp macro="" textlink="">
      <xdr:nvSpPr>
        <xdr:cNvPr id="502" name="fmiddle 501"/>
        <xdr:cNvSpPr/>
      </xdr:nvSpPr>
      <xdr:spPr>
        <a:xfrm>
          <a:off x="3733800" y="58547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3860800</xdr:colOff>
      <xdr:row>34</xdr:row>
      <xdr:rowOff>154940</xdr:rowOff>
    </xdr:from>
    <xdr:to>
      <xdr:col>0</xdr:col>
      <xdr:colOff>4025900</xdr:colOff>
      <xdr:row>36</xdr:row>
      <xdr:rowOff>10160</xdr:rowOff>
    </xdr:to>
    <xdr:sp macro="" textlink="">
      <xdr:nvSpPr>
        <xdr:cNvPr id="503" name="fright 502"/>
        <xdr:cNvSpPr/>
      </xdr:nvSpPr>
      <xdr:spPr>
        <a:xfrm>
          <a:off x="38608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3886200</xdr:colOff>
      <xdr:row>33</xdr:row>
      <xdr:rowOff>68580</xdr:rowOff>
    </xdr:from>
    <xdr:to>
      <xdr:col>0</xdr:col>
      <xdr:colOff>4025900</xdr:colOff>
      <xdr:row>34</xdr:row>
      <xdr:rowOff>66040</xdr:rowOff>
    </xdr:to>
    <xdr:sp macro="" textlink="">
      <xdr:nvSpPr>
        <xdr:cNvPr id="504" name="eng 503"/>
        <xdr:cNvSpPr/>
      </xdr:nvSpPr>
      <xdr:spPr>
        <a:xfrm>
          <a:off x="3886200" y="56007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4038600</xdr:colOff>
      <xdr:row>32</xdr:row>
      <xdr:rowOff>20320</xdr:rowOff>
    </xdr:from>
    <xdr:to>
      <xdr:col>0</xdr:col>
      <xdr:colOff>4711700</xdr:colOff>
      <xdr:row>36</xdr:row>
      <xdr:rowOff>22860</xdr:rowOff>
    </xdr:to>
    <xdr:sp macro="" textlink="">
      <xdr:nvSpPr>
        <xdr:cNvPr id="505" name="outline 504"/>
        <xdr:cNvSpPr/>
      </xdr:nvSpPr>
      <xdr:spPr>
        <a:xfrm>
          <a:off x="4038600" y="53848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4051300</xdr:colOff>
      <xdr:row>32</xdr:row>
      <xdr:rowOff>33020</xdr:rowOff>
    </xdr:from>
    <xdr:to>
      <xdr:col>0</xdr:col>
      <xdr:colOff>4699000</xdr:colOff>
      <xdr:row>33</xdr:row>
      <xdr:rowOff>5080</xdr:rowOff>
    </xdr:to>
    <xdr:sp macro="" textlink="">
      <xdr:nvSpPr>
        <xdr:cNvPr id="506" name="name 505"/>
        <xdr:cNvSpPr/>
      </xdr:nvSpPr>
      <xdr:spPr>
        <a:xfrm>
          <a:off x="4051300" y="5397500"/>
          <a:ext cx="647700" cy="139700"/>
        </a:xfrm>
        <a:prstGeom prst="rect">
          <a:avLst/>
        </a:prstGeom>
        <a:solidFill>
          <a:srgbClr val="00008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00"/>
              </a:solidFill>
              <a:latin typeface="arial narrow"/>
            </a:rPr>
            <a:t>50°Li/Barbot</a:t>
          </a:r>
        </a:p>
      </xdr:txBody>
    </xdr:sp>
    <xdr:clientData/>
  </xdr:twoCellAnchor>
  <xdr:twoCellAnchor editAs="absolute">
    <xdr:from>
      <xdr:col>0</xdr:col>
      <xdr:colOff>4254500</xdr:colOff>
      <xdr:row>33</xdr:row>
      <xdr:rowOff>17780</xdr:rowOff>
    </xdr:from>
    <xdr:to>
      <xdr:col>0</xdr:col>
      <xdr:colOff>4622800</xdr:colOff>
      <xdr:row>35</xdr:row>
      <xdr:rowOff>101600</xdr:rowOff>
    </xdr:to>
    <xdr:pic>
      <xdr:nvPicPr>
        <xdr:cNvPr id="507" name="symbol 50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4500" y="55499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4102100</xdr:colOff>
      <xdr:row>34</xdr:row>
      <xdr:rowOff>154940</xdr:rowOff>
    </xdr:from>
    <xdr:to>
      <xdr:col>0</xdr:col>
      <xdr:colOff>4267200</xdr:colOff>
      <xdr:row>36</xdr:row>
      <xdr:rowOff>10160</xdr:rowOff>
    </xdr:to>
    <xdr:sp macro="" textlink="">
      <xdr:nvSpPr>
        <xdr:cNvPr id="508" name="fleft 507"/>
        <xdr:cNvSpPr/>
      </xdr:nvSpPr>
      <xdr:spPr>
        <a:xfrm>
          <a:off x="41021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4406900</xdr:colOff>
      <xdr:row>34</xdr:row>
      <xdr:rowOff>154940</xdr:rowOff>
    </xdr:from>
    <xdr:to>
      <xdr:col>0</xdr:col>
      <xdr:colOff>4546600</xdr:colOff>
      <xdr:row>36</xdr:row>
      <xdr:rowOff>10160</xdr:rowOff>
    </xdr:to>
    <xdr:sp macro="" textlink="">
      <xdr:nvSpPr>
        <xdr:cNvPr id="509" name="fmiddle 508"/>
        <xdr:cNvSpPr/>
      </xdr:nvSpPr>
      <xdr:spPr>
        <a:xfrm>
          <a:off x="4406900" y="58547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4533900</xdr:colOff>
      <xdr:row>34</xdr:row>
      <xdr:rowOff>154940</xdr:rowOff>
    </xdr:from>
    <xdr:to>
      <xdr:col>0</xdr:col>
      <xdr:colOff>4699000</xdr:colOff>
      <xdr:row>36</xdr:row>
      <xdr:rowOff>10160</xdr:rowOff>
    </xdr:to>
    <xdr:sp macro="" textlink="">
      <xdr:nvSpPr>
        <xdr:cNvPr id="510" name="fright 509"/>
        <xdr:cNvSpPr/>
      </xdr:nvSpPr>
      <xdr:spPr>
        <a:xfrm>
          <a:off x="45339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4559300</xdr:colOff>
      <xdr:row>33</xdr:row>
      <xdr:rowOff>68580</xdr:rowOff>
    </xdr:from>
    <xdr:to>
      <xdr:col>0</xdr:col>
      <xdr:colOff>4699000</xdr:colOff>
      <xdr:row>34</xdr:row>
      <xdr:rowOff>66040</xdr:rowOff>
    </xdr:to>
    <xdr:sp macro="" textlink="">
      <xdr:nvSpPr>
        <xdr:cNvPr id="511" name="eng 510"/>
        <xdr:cNvSpPr/>
      </xdr:nvSpPr>
      <xdr:spPr>
        <a:xfrm>
          <a:off x="4559300" y="56007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4711700</xdr:colOff>
      <xdr:row>32</xdr:row>
      <xdr:rowOff>20320</xdr:rowOff>
    </xdr:from>
    <xdr:to>
      <xdr:col>0</xdr:col>
      <xdr:colOff>5384800</xdr:colOff>
      <xdr:row>36</xdr:row>
      <xdr:rowOff>22860</xdr:rowOff>
    </xdr:to>
    <xdr:sp macro="" textlink="">
      <xdr:nvSpPr>
        <xdr:cNvPr id="512" name="outline 511"/>
        <xdr:cNvSpPr/>
      </xdr:nvSpPr>
      <xdr:spPr>
        <a:xfrm>
          <a:off x="4711700" y="53848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4724400</xdr:colOff>
      <xdr:row>32</xdr:row>
      <xdr:rowOff>33020</xdr:rowOff>
    </xdr:from>
    <xdr:to>
      <xdr:col>0</xdr:col>
      <xdr:colOff>5372100</xdr:colOff>
      <xdr:row>33</xdr:row>
      <xdr:rowOff>5080</xdr:rowOff>
    </xdr:to>
    <xdr:sp macro="" textlink="">
      <xdr:nvSpPr>
        <xdr:cNvPr id="513" name="name 512"/>
        <xdr:cNvSpPr/>
      </xdr:nvSpPr>
      <xdr:spPr>
        <a:xfrm>
          <a:off x="4724400" y="5397500"/>
          <a:ext cx="647700" cy="139700"/>
        </a:xfrm>
        <a:prstGeom prst="rect">
          <a:avLst/>
        </a:prstGeom>
        <a:solidFill>
          <a:srgbClr val="00008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00"/>
              </a:solidFill>
              <a:latin typeface="arial narrow"/>
            </a:rPr>
            <a:t>59°Li/Barbot</a:t>
          </a:r>
        </a:p>
      </xdr:txBody>
    </xdr:sp>
    <xdr:clientData/>
  </xdr:twoCellAnchor>
  <xdr:twoCellAnchor editAs="absolute">
    <xdr:from>
      <xdr:col>0</xdr:col>
      <xdr:colOff>4927600</xdr:colOff>
      <xdr:row>33</xdr:row>
      <xdr:rowOff>17780</xdr:rowOff>
    </xdr:from>
    <xdr:to>
      <xdr:col>0</xdr:col>
      <xdr:colOff>5295900</xdr:colOff>
      <xdr:row>35</xdr:row>
      <xdr:rowOff>101600</xdr:rowOff>
    </xdr:to>
    <xdr:pic>
      <xdr:nvPicPr>
        <xdr:cNvPr id="514" name="symbol 51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7600" y="55499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4775200</xdr:colOff>
      <xdr:row>34</xdr:row>
      <xdr:rowOff>154940</xdr:rowOff>
    </xdr:from>
    <xdr:to>
      <xdr:col>0</xdr:col>
      <xdr:colOff>4940300</xdr:colOff>
      <xdr:row>36</xdr:row>
      <xdr:rowOff>10160</xdr:rowOff>
    </xdr:to>
    <xdr:sp macro="" textlink="">
      <xdr:nvSpPr>
        <xdr:cNvPr id="515" name="fleft 514"/>
        <xdr:cNvSpPr/>
      </xdr:nvSpPr>
      <xdr:spPr>
        <a:xfrm>
          <a:off x="47752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0</xdr:col>
      <xdr:colOff>5080000</xdr:colOff>
      <xdr:row>34</xdr:row>
      <xdr:rowOff>154940</xdr:rowOff>
    </xdr:from>
    <xdr:to>
      <xdr:col>0</xdr:col>
      <xdr:colOff>5219700</xdr:colOff>
      <xdr:row>36</xdr:row>
      <xdr:rowOff>10160</xdr:rowOff>
    </xdr:to>
    <xdr:sp macro="" textlink="">
      <xdr:nvSpPr>
        <xdr:cNvPr id="516" name="fmiddle 515"/>
        <xdr:cNvSpPr/>
      </xdr:nvSpPr>
      <xdr:spPr>
        <a:xfrm>
          <a:off x="5080000" y="58547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5207000</xdr:colOff>
      <xdr:row>34</xdr:row>
      <xdr:rowOff>154940</xdr:rowOff>
    </xdr:from>
    <xdr:to>
      <xdr:col>0</xdr:col>
      <xdr:colOff>5372100</xdr:colOff>
      <xdr:row>36</xdr:row>
      <xdr:rowOff>10160</xdr:rowOff>
    </xdr:to>
    <xdr:sp macro="" textlink="">
      <xdr:nvSpPr>
        <xdr:cNvPr id="517" name="fright 516"/>
        <xdr:cNvSpPr/>
      </xdr:nvSpPr>
      <xdr:spPr>
        <a:xfrm>
          <a:off x="52070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5232400</xdr:colOff>
      <xdr:row>33</xdr:row>
      <xdr:rowOff>68580</xdr:rowOff>
    </xdr:from>
    <xdr:to>
      <xdr:col>0</xdr:col>
      <xdr:colOff>5372100</xdr:colOff>
      <xdr:row>34</xdr:row>
      <xdr:rowOff>66040</xdr:rowOff>
    </xdr:to>
    <xdr:sp macro="" textlink="">
      <xdr:nvSpPr>
        <xdr:cNvPr id="518" name="eng 517"/>
        <xdr:cNvSpPr/>
      </xdr:nvSpPr>
      <xdr:spPr>
        <a:xfrm>
          <a:off x="5232400" y="56007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5384800</xdr:colOff>
      <xdr:row>32</xdr:row>
      <xdr:rowOff>20320</xdr:rowOff>
    </xdr:from>
    <xdr:to>
      <xdr:col>0</xdr:col>
      <xdr:colOff>6057900</xdr:colOff>
      <xdr:row>36</xdr:row>
      <xdr:rowOff>22860</xdr:rowOff>
    </xdr:to>
    <xdr:sp macro="" textlink="">
      <xdr:nvSpPr>
        <xdr:cNvPr id="519" name="outline 518"/>
        <xdr:cNvSpPr/>
      </xdr:nvSpPr>
      <xdr:spPr>
        <a:xfrm>
          <a:off x="5384800" y="53848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5600700</xdr:colOff>
      <xdr:row>32</xdr:row>
      <xdr:rowOff>33020</xdr:rowOff>
    </xdr:from>
    <xdr:to>
      <xdr:col>0</xdr:col>
      <xdr:colOff>6045200</xdr:colOff>
      <xdr:row>33</xdr:row>
      <xdr:rowOff>5080</xdr:rowOff>
    </xdr:to>
    <xdr:sp macro="" textlink="">
      <xdr:nvSpPr>
        <xdr:cNvPr id="520" name="name 519"/>
        <xdr:cNvSpPr/>
      </xdr:nvSpPr>
      <xdr:spPr>
        <a:xfrm>
          <a:off x="5600700" y="5397500"/>
          <a:ext cx="444500" cy="139700"/>
        </a:xfrm>
        <a:prstGeom prst="rect">
          <a:avLst/>
        </a:prstGeom>
        <a:solidFill>
          <a:srgbClr val="00008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00"/>
              </a:solidFill>
              <a:latin typeface="arial narrow"/>
            </a:rPr>
            <a:t>Clausel</a:t>
          </a:r>
        </a:p>
      </xdr:txBody>
    </xdr:sp>
    <xdr:clientData/>
  </xdr:twoCellAnchor>
  <xdr:twoCellAnchor editAs="absolute">
    <xdr:from>
      <xdr:col>0</xdr:col>
      <xdr:colOff>5448300</xdr:colOff>
      <xdr:row>33</xdr:row>
      <xdr:rowOff>93980</xdr:rowOff>
    </xdr:from>
    <xdr:to>
      <xdr:col>0</xdr:col>
      <xdr:colOff>5842000</xdr:colOff>
      <xdr:row>35</xdr:row>
      <xdr:rowOff>0</xdr:rowOff>
    </xdr:to>
    <xdr:pic>
      <xdr:nvPicPr>
        <xdr:cNvPr id="521" name="symbol 520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8300" y="5626100"/>
          <a:ext cx="393700" cy="241300"/>
        </a:xfrm>
        <a:prstGeom prst="rect">
          <a:avLst/>
        </a:prstGeom>
      </xdr:spPr>
    </xdr:pic>
    <xdr:clientData/>
  </xdr:twoCellAnchor>
  <xdr:twoCellAnchor editAs="absolute">
    <xdr:from>
      <xdr:col>0</xdr:col>
      <xdr:colOff>5753100</xdr:colOff>
      <xdr:row>32</xdr:row>
      <xdr:rowOff>160020</xdr:rowOff>
    </xdr:from>
    <xdr:to>
      <xdr:col>0</xdr:col>
      <xdr:colOff>6045200</xdr:colOff>
      <xdr:row>34</xdr:row>
      <xdr:rowOff>116840</xdr:rowOff>
    </xdr:to>
    <xdr:pic>
      <xdr:nvPicPr>
        <xdr:cNvPr id="522" name="elite 521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0" y="5524500"/>
          <a:ext cx="2921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5448300</xdr:colOff>
      <xdr:row>34</xdr:row>
      <xdr:rowOff>154940</xdr:rowOff>
    </xdr:from>
    <xdr:to>
      <xdr:col>0</xdr:col>
      <xdr:colOff>5638800</xdr:colOff>
      <xdr:row>35</xdr:row>
      <xdr:rowOff>152400</xdr:rowOff>
    </xdr:to>
    <xdr:sp macro="" textlink="">
      <xdr:nvSpPr>
        <xdr:cNvPr id="523" name="fleft 522"/>
        <xdr:cNvSpPr/>
      </xdr:nvSpPr>
      <xdr:spPr>
        <a:xfrm>
          <a:off x="5448300" y="58547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5676900</xdr:colOff>
      <xdr:row>34</xdr:row>
      <xdr:rowOff>154940</xdr:rowOff>
    </xdr:from>
    <xdr:to>
      <xdr:col>0</xdr:col>
      <xdr:colOff>5816600</xdr:colOff>
      <xdr:row>36</xdr:row>
      <xdr:rowOff>10160</xdr:rowOff>
    </xdr:to>
    <xdr:sp macro="" textlink="">
      <xdr:nvSpPr>
        <xdr:cNvPr id="524" name="fmiddle 523"/>
        <xdr:cNvSpPr/>
      </xdr:nvSpPr>
      <xdr:spPr>
        <a:xfrm>
          <a:off x="5676900" y="58547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5854700</xdr:colOff>
      <xdr:row>34</xdr:row>
      <xdr:rowOff>154940</xdr:rowOff>
    </xdr:from>
    <xdr:to>
      <xdr:col>0</xdr:col>
      <xdr:colOff>6019800</xdr:colOff>
      <xdr:row>36</xdr:row>
      <xdr:rowOff>10160</xdr:rowOff>
    </xdr:to>
    <xdr:sp macro="" textlink="">
      <xdr:nvSpPr>
        <xdr:cNvPr id="525" name="fright 524"/>
        <xdr:cNvSpPr/>
      </xdr:nvSpPr>
      <xdr:spPr>
        <a:xfrm>
          <a:off x="58547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5397500</xdr:colOff>
      <xdr:row>32</xdr:row>
      <xdr:rowOff>33020</xdr:rowOff>
    </xdr:from>
    <xdr:to>
      <xdr:col>0</xdr:col>
      <xdr:colOff>5588000</xdr:colOff>
      <xdr:row>32</xdr:row>
      <xdr:rowOff>147320</xdr:rowOff>
    </xdr:to>
    <xdr:sp macro="" textlink="">
      <xdr:nvSpPr>
        <xdr:cNvPr id="526" name="eng 525"/>
        <xdr:cNvSpPr/>
      </xdr:nvSpPr>
      <xdr:spPr>
        <a:xfrm>
          <a:off x="5397500" y="53975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2-3</a:t>
          </a:r>
        </a:p>
      </xdr:txBody>
    </xdr:sp>
    <xdr:clientData/>
  </xdr:twoCellAnchor>
  <xdr:twoCellAnchor editAs="absolute">
    <xdr:from>
      <xdr:col>0</xdr:col>
      <xdr:colOff>6057900</xdr:colOff>
      <xdr:row>32</xdr:row>
      <xdr:rowOff>20320</xdr:rowOff>
    </xdr:from>
    <xdr:to>
      <xdr:col>0</xdr:col>
      <xdr:colOff>6731000</xdr:colOff>
      <xdr:row>36</xdr:row>
      <xdr:rowOff>22860</xdr:rowOff>
    </xdr:to>
    <xdr:sp macro="" textlink="">
      <xdr:nvSpPr>
        <xdr:cNvPr id="527" name="outline 526"/>
        <xdr:cNvSpPr/>
      </xdr:nvSpPr>
      <xdr:spPr>
        <a:xfrm>
          <a:off x="6057900" y="53848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6223000</xdr:colOff>
      <xdr:row>32</xdr:row>
      <xdr:rowOff>58420</xdr:rowOff>
    </xdr:from>
    <xdr:to>
      <xdr:col>0</xdr:col>
      <xdr:colOff>6718300</xdr:colOff>
      <xdr:row>34</xdr:row>
      <xdr:rowOff>142240</xdr:rowOff>
    </xdr:to>
    <xdr:sp macro="" textlink="">
      <xdr:nvSpPr>
        <xdr:cNvPr id="528" name="flag 527"/>
        <xdr:cNvSpPr/>
      </xdr:nvSpPr>
      <xdr:spPr>
        <a:xfrm>
          <a:off x="6223000" y="54229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3</a:t>
          </a:r>
        </a:p>
      </xdr:txBody>
    </xdr:sp>
    <xdr:clientData/>
  </xdr:twoCellAnchor>
  <xdr:twoCellAnchor editAs="absolute">
    <xdr:from>
      <xdr:col>0</xdr:col>
      <xdr:colOff>6070600</xdr:colOff>
      <xdr:row>32</xdr:row>
      <xdr:rowOff>33020</xdr:rowOff>
    </xdr:from>
    <xdr:to>
      <xdr:col>0</xdr:col>
      <xdr:colOff>6210300</xdr:colOff>
      <xdr:row>35</xdr:row>
      <xdr:rowOff>0</xdr:rowOff>
    </xdr:to>
    <xdr:sp macro="" textlink="">
      <xdr:nvSpPr>
        <xdr:cNvPr id="529" name="name 528"/>
        <xdr:cNvSpPr/>
      </xdr:nvSpPr>
      <xdr:spPr>
        <a:xfrm>
          <a:off x="6070600" y="5397500"/>
          <a:ext cx="139700" cy="4699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Ferey</a:t>
          </a:r>
        </a:p>
      </xdr:txBody>
    </xdr:sp>
    <xdr:clientData/>
  </xdr:twoCellAnchor>
  <xdr:twoCellAnchor editAs="absolute">
    <xdr:from>
      <xdr:col>0</xdr:col>
      <xdr:colOff>6146800</xdr:colOff>
      <xdr:row>34</xdr:row>
      <xdr:rowOff>154940</xdr:rowOff>
    </xdr:from>
    <xdr:to>
      <xdr:col>0</xdr:col>
      <xdr:colOff>6286500</xdr:colOff>
      <xdr:row>36</xdr:row>
      <xdr:rowOff>10160</xdr:rowOff>
    </xdr:to>
    <xdr:sp macro="" textlink="">
      <xdr:nvSpPr>
        <xdr:cNvPr id="530" name="left 529"/>
        <xdr:cNvSpPr/>
      </xdr:nvSpPr>
      <xdr:spPr>
        <a:xfrm>
          <a:off x="6146800" y="58547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6553200</xdr:colOff>
      <xdr:row>34</xdr:row>
      <xdr:rowOff>154940</xdr:rowOff>
    </xdr:from>
    <xdr:to>
      <xdr:col>0</xdr:col>
      <xdr:colOff>6692900</xdr:colOff>
      <xdr:row>36</xdr:row>
      <xdr:rowOff>10160</xdr:rowOff>
    </xdr:to>
    <xdr:sp macro="" textlink="">
      <xdr:nvSpPr>
        <xdr:cNvPr id="531" name="right 530"/>
        <xdr:cNvSpPr/>
      </xdr:nvSpPr>
      <xdr:spPr>
        <a:xfrm>
          <a:off x="6553200" y="58547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0</xdr:colOff>
      <xdr:row>36</xdr:row>
      <xdr:rowOff>22860</xdr:rowOff>
    </xdr:from>
    <xdr:to>
      <xdr:col>0</xdr:col>
      <xdr:colOff>673100</xdr:colOff>
      <xdr:row>40</xdr:row>
      <xdr:rowOff>25400</xdr:rowOff>
    </xdr:to>
    <xdr:sp macro="" textlink="">
      <xdr:nvSpPr>
        <xdr:cNvPr id="532" name="outline 531"/>
        <xdr:cNvSpPr/>
      </xdr:nvSpPr>
      <xdr:spPr>
        <a:xfrm>
          <a:off x="0" y="60579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165100</xdr:colOff>
      <xdr:row>36</xdr:row>
      <xdr:rowOff>60960</xdr:rowOff>
    </xdr:from>
    <xdr:to>
      <xdr:col>0</xdr:col>
      <xdr:colOff>660400</xdr:colOff>
      <xdr:row>38</xdr:row>
      <xdr:rowOff>144780</xdr:rowOff>
    </xdr:to>
    <xdr:sp macro="" textlink="">
      <xdr:nvSpPr>
        <xdr:cNvPr id="533" name="flag 532"/>
        <xdr:cNvSpPr/>
      </xdr:nvSpPr>
      <xdr:spPr>
        <a:xfrm>
          <a:off x="165100" y="60960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3</a:t>
          </a:r>
        </a:p>
      </xdr:txBody>
    </xdr:sp>
    <xdr:clientData/>
  </xdr:twoCellAnchor>
  <xdr:twoCellAnchor editAs="absolute">
    <xdr:from>
      <xdr:col>0</xdr:col>
      <xdr:colOff>12700</xdr:colOff>
      <xdr:row>36</xdr:row>
      <xdr:rowOff>35560</xdr:rowOff>
    </xdr:from>
    <xdr:to>
      <xdr:col>0</xdr:col>
      <xdr:colOff>152400</xdr:colOff>
      <xdr:row>39</xdr:row>
      <xdr:rowOff>2540</xdr:rowOff>
    </xdr:to>
    <xdr:sp macro="" textlink="">
      <xdr:nvSpPr>
        <xdr:cNvPr id="534" name="name 533"/>
        <xdr:cNvSpPr/>
      </xdr:nvSpPr>
      <xdr:spPr>
        <a:xfrm>
          <a:off x="12700" y="6070600"/>
          <a:ext cx="139700" cy="4699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Ferey</a:t>
          </a:r>
        </a:p>
      </xdr:txBody>
    </xdr:sp>
    <xdr:clientData/>
  </xdr:twoCellAnchor>
  <xdr:twoCellAnchor editAs="absolute">
    <xdr:from>
      <xdr:col>0</xdr:col>
      <xdr:colOff>88900</xdr:colOff>
      <xdr:row>38</xdr:row>
      <xdr:rowOff>157480</xdr:rowOff>
    </xdr:from>
    <xdr:to>
      <xdr:col>0</xdr:col>
      <xdr:colOff>228600</xdr:colOff>
      <xdr:row>40</xdr:row>
      <xdr:rowOff>12700</xdr:rowOff>
    </xdr:to>
    <xdr:sp macro="" textlink="">
      <xdr:nvSpPr>
        <xdr:cNvPr id="535" name="left 534"/>
        <xdr:cNvSpPr/>
      </xdr:nvSpPr>
      <xdr:spPr>
        <a:xfrm>
          <a:off x="88900" y="65278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495300</xdr:colOff>
      <xdr:row>38</xdr:row>
      <xdr:rowOff>157480</xdr:rowOff>
    </xdr:from>
    <xdr:to>
      <xdr:col>0</xdr:col>
      <xdr:colOff>635000</xdr:colOff>
      <xdr:row>40</xdr:row>
      <xdr:rowOff>12700</xdr:rowOff>
    </xdr:to>
    <xdr:sp macro="" textlink="">
      <xdr:nvSpPr>
        <xdr:cNvPr id="536" name="right 535"/>
        <xdr:cNvSpPr/>
      </xdr:nvSpPr>
      <xdr:spPr>
        <a:xfrm>
          <a:off x="495300" y="65278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673100</xdr:colOff>
      <xdr:row>36</xdr:row>
      <xdr:rowOff>22860</xdr:rowOff>
    </xdr:from>
    <xdr:to>
      <xdr:col>0</xdr:col>
      <xdr:colOff>1346200</xdr:colOff>
      <xdr:row>40</xdr:row>
      <xdr:rowOff>25400</xdr:rowOff>
    </xdr:to>
    <xdr:sp macro="" textlink="">
      <xdr:nvSpPr>
        <xdr:cNvPr id="537" name="outline 536"/>
        <xdr:cNvSpPr/>
      </xdr:nvSpPr>
      <xdr:spPr>
        <a:xfrm>
          <a:off x="673100" y="60579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685800</xdr:colOff>
      <xdr:row>36</xdr:row>
      <xdr:rowOff>35560</xdr:rowOff>
    </xdr:from>
    <xdr:to>
      <xdr:col>0</xdr:col>
      <xdr:colOff>1333500</xdr:colOff>
      <xdr:row>37</xdr:row>
      <xdr:rowOff>7620</xdr:rowOff>
    </xdr:to>
    <xdr:sp macro="" textlink="">
      <xdr:nvSpPr>
        <xdr:cNvPr id="538" name="name 537"/>
        <xdr:cNvSpPr/>
      </xdr:nvSpPr>
      <xdr:spPr>
        <a:xfrm>
          <a:off x="685800" y="60706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31°Lg/Menne</a:t>
          </a:r>
        </a:p>
      </xdr:txBody>
    </xdr:sp>
    <xdr:clientData/>
  </xdr:twoCellAnchor>
  <xdr:twoCellAnchor editAs="absolute">
    <xdr:from>
      <xdr:col>0</xdr:col>
      <xdr:colOff>889000</xdr:colOff>
      <xdr:row>37</xdr:row>
      <xdr:rowOff>20320</xdr:rowOff>
    </xdr:from>
    <xdr:to>
      <xdr:col>0</xdr:col>
      <xdr:colOff>1257300</xdr:colOff>
      <xdr:row>39</xdr:row>
      <xdr:rowOff>104140</xdr:rowOff>
    </xdr:to>
    <xdr:pic>
      <xdr:nvPicPr>
        <xdr:cNvPr id="539" name="symbol 53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000" y="62230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736600</xdr:colOff>
      <xdr:row>38</xdr:row>
      <xdr:rowOff>157480</xdr:rowOff>
    </xdr:from>
    <xdr:to>
      <xdr:col>0</xdr:col>
      <xdr:colOff>901700</xdr:colOff>
      <xdr:row>40</xdr:row>
      <xdr:rowOff>12700</xdr:rowOff>
    </xdr:to>
    <xdr:sp macro="" textlink="">
      <xdr:nvSpPr>
        <xdr:cNvPr id="540" name="fleft 539"/>
        <xdr:cNvSpPr/>
      </xdr:nvSpPr>
      <xdr:spPr>
        <a:xfrm>
          <a:off x="7366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1041400</xdr:colOff>
      <xdr:row>38</xdr:row>
      <xdr:rowOff>157480</xdr:rowOff>
    </xdr:from>
    <xdr:to>
      <xdr:col>0</xdr:col>
      <xdr:colOff>1181100</xdr:colOff>
      <xdr:row>40</xdr:row>
      <xdr:rowOff>12700</xdr:rowOff>
    </xdr:to>
    <xdr:sp macro="" textlink="">
      <xdr:nvSpPr>
        <xdr:cNvPr id="541" name="fmiddle 540"/>
        <xdr:cNvSpPr/>
      </xdr:nvSpPr>
      <xdr:spPr>
        <a:xfrm>
          <a:off x="1041400" y="6527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1168400</xdr:colOff>
      <xdr:row>38</xdr:row>
      <xdr:rowOff>157480</xdr:rowOff>
    </xdr:from>
    <xdr:to>
      <xdr:col>0</xdr:col>
      <xdr:colOff>1333500</xdr:colOff>
      <xdr:row>40</xdr:row>
      <xdr:rowOff>12700</xdr:rowOff>
    </xdr:to>
    <xdr:sp macro="" textlink="">
      <xdr:nvSpPr>
        <xdr:cNvPr id="542" name="fright 541"/>
        <xdr:cNvSpPr/>
      </xdr:nvSpPr>
      <xdr:spPr>
        <a:xfrm>
          <a:off x="11684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1193800</xdr:colOff>
      <xdr:row>37</xdr:row>
      <xdr:rowOff>71120</xdr:rowOff>
    </xdr:from>
    <xdr:to>
      <xdr:col>0</xdr:col>
      <xdr:colOff>1333500</xdr:colOff>
      <xdr:row>38</xdr:row>
      <xdr:rowOff>68580</xdr:rowOff>
    </xdr:to>
    <xdr:sp macro="" textlink="">
      <xdr:nvSpPr>
        <xdr:cNvPr id="543" name="eng 542"/>
        <xdr:cNvSpPr/>
      </xdr:nvSpPr>
      <xdr:spPr>
        <a:xfrm>
          <a:off x="1193800" y="62738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1346200</xdr:colOff>
      <xdr:row>36</xdr:row>
      <xdr:rowOff>22860</xdr:rowOff>
    </xdr:from>
    <xdr:to>
      <xdr:col>0</xdr:col>
      <xdr:colOff>2019300</xdr:colOff>
      <xdr:row>40</xdr:row>
      <xdr:rowOff>25400</xdr:rowOff>
    </xdr:to>
    <xdr:sp macro="" textlink="">
      <xdr:nvSpPr>
        <xdr:cNvPr id="544" name="outline 543"/>
        <xdr:cNvSpPr/>
      </xdr:nvSpPr>
      <xdr:spPr>
        <a:xfrm>
          <a:off x="1346200" y="60579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1358900</xdr:colOff>
      <xdr:row>36</xdr:row>
      <xdr:rowOff>35560</xdr:rowOff>
    </xdr:from>
    <xdr:to>
      <xdr:col>0</xdr:col>
      <xdr:colOff>2006600</xdr:colOff>
      <xdr:row>37</xdr:row>
      <xdr:rowOff>7620</xdr:rowOff>
    </xdr:to>
    <xdr:sp macro="" textlink="">
      <xdr:nvSpPr>
        <xdr:cNvPr id="545" name="name 544"/>
        <xdr:cNvSpPr/>
      </xdr:nvSpPr>
      <xdr:spPr>
        <a:xfrm>
          <a:off x="1358900" y="60706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26°Li/Menne</a:t>
          </a:r>
        </a:p>
      </xdr:txBody>
    </xdr:sp>
    <xdr:clientData/>
  </xdr:twoCellAnchor>
  <xdr:twoCellAnchor editAs="absolute">
    <xdr:from>
      <xdr:col>0</xdr:col>
      <xdr:colOff>1562100</xdr:colOff>
      <xdr:row>37</xdr:row>
      <xdr:rowOff>20320</xdr:rowOff>
    </xdr:from>
    <xdr:to>
      <xdr:col>0</xdr:col>
      <xdr:colOff>1930400</xdr:colOff>
      <xdr:row>39</xdr:row>
      <xdr:rowOff>104140</xdr:rowOff>
    </xdr:to>
    <xdr:pic>
      <xdr:nvPicPr>
        <xdr:cNvPr id="546" name="symbol 54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0" y="62230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1409700</xdr:colOff>
      <xdr:row>38</xdr:row>
      <xdr:rowOff>157480</xdr:rowOff>
    </xdr:from>
    <xdr:to>
      <xdr:col>0</xdr:col>
      <xdr:colOff>1574800</xdr:colOff>
      <xdr:row>40</xdr:row>
      <xdr:rowOff>12700</xdr:rowOff>
    </xdr:to>
    <xdr:sp macro="" textlink="">
      <xdr:nvSpPr>
        <xdr:cNvPr id="547" name="fleft 546"/>
        <xdr:cNvSpPr/>
      </xdr:nvSpPr>
      <xdr:spPr>
        <a:xfrm>
          <a:off x="14097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1714500</xdr:colOff>
      <xdr:row>38</xdr:row>
      <xdr:rowOff>157480</xdr:rowOff>
    </xdr:from>
    <xdr:to>
      <xdr:col>0</xdr:col>
      <xdr:colOff>1854200</xdr:colOff>
      <xdr:row>40</xdr:row>
      <xdr:rowOff>12700</xdr:rowOff>
    </xdr:to>
    <xdr:sp macro="" textlink="">
      <xdr:nvSpPr>
        <xdr:cNvPr id="548" name="fmiddle 547"/>
        <xdr:cNvSpPr/>
      </xdr:nvSpPr>
      <xdr:spPr>
        <a:xfrm>
          <a:off x="1714500" y="6527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1841500</xdr:colOff>
      <xdr:row>38</xdr:row>
      <xdr:rowOff>157480</xdr:rowOff>
    </xdr:from>
    <xdr:to>
      <xdr:col>0</xdr:col>
      <xdr:colOff>2006600</xdr:colOff>
      <xdr:row>40</xdr:row>
      <xdr:rowOff>12700</xdr:rowOff>
    </xdr:to>
    <xdr:sp macro="" textlink="">
      <xdr:nvSpPr>
        <xdr:cNvPr id="549" name="fright 548"/>
        <xdr:cNvSpPr/>
      </xdr:nvSpPr>
      <xdr:spPr>
        <a:xfrm>
          <a:off x="18415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1866900</xdr:colOff>
      <xdr:row>37</xdr:row>
      <xdr:rowOff>71120</xdr:rowOff>
    </xdr:from>
    <xdr:to>
      <xdr:col>0</xdr:col>
      <xdr:colOff>2006600</xdr:colOff>
      <xdr:row>38</xdr:row>
      <xdr:rowOff>68580</xdr:rowOff>
    </xdr:to>
    <xdr:sp macro="" textlink="">
      <xdr:nvSpPr>
        <xdr:cNvPr id="550" name="eng 549"/>
        <xdr:cNvSpPr/>
      </xdr:nvSpPr>
      <xdr:spPr>
        <a:xfrm>
          <a:off x="1866900" y="62738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2019300</xdr:colOff>
      <xdr:row>36</xdr:row>
      <xdr:rowOff>22860</xdr:rowOff>
    </xdr:from>
    <xdr:to>
      <xdr:col>0</xdr:col>
      <xdr:colOff>2692400</xdr:colOff>
      <xdr:row>40</xdr:row>
      <xdr:rowOff>25400</xdr:rowOff>
    </xdr:to>
    <xdr:sp macro="" textlink="">
      <xdr:nvSpPr>
        <xdr:cNvPr id="551" name="outline 550"/>
        <xdr:cNvSpPr/>
      </xdr:nvSpPr>
      <xdr:spPr>
        <a:xfrm>
          <a:off x="2019300" y="60579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2032000</xdr:colOff>
      <xdr:row>36</xdr:row>
      <xdr:rowOff>35560</xdr:rowOff>
    </xdr:from>
    <xdr:to>
      <xdr:col>0</xdr:col>
      <xdr:colOff>2679700</xdr:colOff>
      <xdr:row>37</xdr:row>
      <xdr:rowOff>7620</xdr:rowOff>
    </xdr:to>
    <xdr:sp macro="" textlink="">
      <xdr:nvSpPr>
        <xdr:cNvPr id="552" name="name 551"/>
        <xdr:cNvSpPr/>
      </xdr:nvSpPr>
      <xdr:spPr>
        <a:xfrm>
          <a:off x="2032000" y="60706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47°Li/2nd Bgde</a:t>
          </a:r>
        </a:p>
      </xdr:txBody>
    </xdr:sp>
    <xdr:clientData/>
  </xdr:twoCellAnchor>
  <xdr:twoCellAnchor editAs="absolute">
    <xdr:from>
      <xdr:col>0</xdr:col>
      <xdr:colOff>2235200</xdr:colOff>
      <xdr:row>37</xdr:row>
      <xdr:rowOff>20320</xdr:rowOff>
    </xdr:from>
    <xdr:to>
      <xdr:col>0</xdr:col>
      <xdr:colOff>2603500</xdr:colOff>
      <xdr:row>39</xdr:row>
      <xdr:rowOff>104140</xdr:rowOff>
    </xdr:to>
    <xdr:pic>
      <xdr:nvPicPr>
        <xdr:cNvPr id="553" name="symbol 55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62230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2082800</xdr:colOff>
      <xdr:row>38</xdr:row>
      <xdr:rowOff>157480</xdr:rowOff>
    </xdr:from>
    <xdr:to>
      <xdr:col>0</xdr:col>
      <xdr:colOff>2247900</xdr:colOff>
      <xdr:row>40</xdr:row>
      <xdr:rowOff>12700</xdr:rowOff>
    </xdr:to>
    <xdr:sp macro="" textlink="">
      <xdr:nvSpPr>
        <xdr:cNvPr id="554" name="fleft 553"/>
        <xdr:cNvSpPr/>
      </xdr:nvSpPr>
      <xdr:spPr>
        <a:xfrm>
          <a:off x="20828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2387600</xdr:colOff>
      <xdr:row>38</xdr:row>
      <xdr:rowOff>157480</xdr:rowOff>
    </xdr:from>
    <xdr:to>
      <xdr:col>0</xdr:col>
      <xdr:colOff>2527300</xdr:colOff>
      <xdr:row>40</xdr:row>
      <xdr:rowOff>12700</xdr:rowOff>
    </xdr:to>
    <xdr:sp macro="" textlink="">
      <xdr:nvSpPr>
        <xdr:cNvPr id="555" name="fmiddle 554"/>
        <xdr:cNvSpPr/>
      </xdr:nvSpPr>
      <xdr:spPr>
        <a:xfrm>
          <a:off x="2387600" y="6527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2514600</xdr:colOff>
      <xdr:row>38</xdr:row>
      <xdr:rowOff>157480</xdr:rowOff>
    </xdr:from>
    <xdr:to>
      <xdr:col>0</xdr:col>
      <xdr:colOff>2679700</xdr:colOff>
      <xdr:row>40</xdr:row>
      <xdr:rowOff>12700</xdr:rowOff>
    </xdr:to>
    <xdr:sp macro="" textlink="">
      <xdr:nvSpPr>
        <xdr:cNvPr id="556" name="fright 555"/>
        <xdr:cNvSpPr/>
      </xdr:nvSpPr>
      <xdr:spPr>
        <a:xfrm>
          <a:off x="25146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2540000</xdr:colOff>
      <xdr:row>37</xdr:row>
      <xdr:rowOff>71120</xdr:rowOff>
    </xdr:from>
    <xdr:to>
      <xdr:col>0</xdr:col>
      <xdr:colOff>2679700</xdr:colOff>
      <xdr:row>38</xdr:row>
      <xdr:rowOff>68580</xdr:rowOff>
    </xdr:to>
    <xdr:sp macro="" textlink="">
      <xdr:nvSpPr>
        <xdr:cNvPr id="557" name="eng 556"/>
        <xdr:cNvSpPr/>
      </xdr:nvSpPr>
      <xdr:spPr>
        <a:xfrm>
          <a:off x="2540000" y="62738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2692400</xdr:colOff>
      <xdr:row>36</xdr:row>
      <xdr:rowOff>22860</xdr:rowOff>
    </xdr:from>
    <xdr:to>
      <xdr:col>0</xdr:col>
      <xdr:colOff>3365500</xdr:colOff>
      <xdr:row>40</xdr:row>
      <xdr:rowOff>25400</xdr:rowOff>
    </xdr:to>
    <xdr:sp macro="" textlink="">
      <xdr:nvSpPr>
        <xdr:cNvPr id="558" name="outline 557"/>
        <xdr:cNvSpPr/>
      </xdr:nvSpPr>
      <xdr:spPr>
        <a:xfrm>
          <a:off x="2692400" y="60579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2705100</xdr:colOff>
      <xdr:row>36</xdr:row>
      <xdr:rowOff>35560</xdr:rowOff>
    </xdr:from>
    <xdr:to>
      <xdr:col>0</xdr:col>
      <xdr:colOff>3352800</xdr:colOff>
      <xdr:row>37</xdr:row>
      <xdr:rowOff>7620</xdr:rowOff>
    </xdr:to>
    <xdr:sp macro="" textlink="">
      <xdr:nvSpPr>
        <xdr:cNvPr id="559" name="name 558"/>
        <xdr:cNvSpPr/>
      </xdr:nvSpPr>
      <xdr:spPr>
        <a:xfrm>
          <a:off x="2705100" y="60706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70°Li/2nd Bgde</a:t>
          </a:r>
        </a:p>
      </xdr:txBody>
    </xdr:sp>
    <xdr:clientData/>
  </xdr:twoCellAnchor>
  <xdr:twoCellAnchor editAs="absolute">
    <xdr:from>
      <xdr:col>0</xdr:col>
      <xdr:colOff>2908300</xdr:colOff>
      <xdr:row>37</xdr:row>
      <xdr:rowOff>20320</xdr:rowOff>
    </xdr:from>
    <xdr:to>
      <xdr:col>0</xdr:col>
      <xdr:colOff>3276600</xdr:colOff>
      <xdr:row>39</xdr:row>
      <xdr:rowOff>104140</xdr:rowOff>
    </xdr:to>
    <xdr:pic>
      <xdr:nvPicPr>
        <xdr:cNvPr id="560" name="symbol 55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300" y="62230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2755900</xdr:colOff>
      <xdr:row>38</xdr:row>
      <xdr:rowOff>157480</xdr:rowOff>
    </xdr:from>
    <xdr:to>
      <xdr:col>0</xdr:col>
      <xdr:colOff>2921000</xdr:colOff>
      <xdr:row>40</xdr:row>
      <xdr:rowOff>12700</xdr:rowOff>
    </xdr:to>
    <xdr:sp macro="" textlink="">
      <xdr:nvSpPr>
        <xdr:cNvPr id="561" name="fleft 560"/>
        <xdr:cNvSpPr/>
      </xdr:nvSpPr>
      <xdr:spPr>
        <a:xfrm>
          <a:off x="27559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3060700</xdr:colOff>
      <xdr:row>38</xdr:row>
      <xdr:rowOff>157480</xdr:rowOff>
    </xdr:from>
    <xdr:to>
      <xdr:col>0</xdr:col>
      <xdr:colOff>3200400</xdr:colOff>
      <xdr:row>40</xdr:row>
      <xdr:rowOff>12700</xdr:rowOff>
    </xdr:to>
    <xdr:sp macro="" textlink="">
      <xdr:nvSpPr>
        <xdr:cNvPr id="562" name="fmiddle 561"/>
        <xdr:cNvSpPr/>
      </xdr:nvSpPr>
      <xdr:spPr>
        <a:xfrm>
          <a:off x="3060700" y="6527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3187700</xdr:colOff>
      <xdr:row>38</xdr:row>
      <xdr:rowOff>157480</xdr:rowOff>
    </xdr:from>
    <xdr:to>
      <xdr:col>0</xdr:col>
      <xdr:colOff>3352800</xdr:colOff>
      <xdr:row>40</xdr:row>
      <xdr:rowOff>12700</xdr:rowOff>
    </xdr:to>
    <xdr:sp macro="" textlink="">
      <xdr:nvSpPr>
        <xdr:cNvPr id="563" name="fright 562"/>
        <xdr:cNvSpPr/>
      </xdr:nvSpPr>
      <xdr:spPr>
        <a:xfrm>
          <a:off x="31877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3213100</xdr:colOff>
      <xdr:row>37</xdr:row>
      <xdr:rowOff>71120</xdr:rowOff>
    </xdr:from>
    <xdr:to>
      <xdr:col>0</xdr:col>
      <xdr:colOff>3352800</xdr:colOff>
      <xdr:row>38</xdr:row>
      <xdr:rowOff>68580</xdr:rowOff>
    </xdr:to>
    <xdr:sp macro="" textlink="">
      <xdr:nvSpPr>
        <xdr:cNvPr id="564" name="eng 563"/>
        <xdr:cNvSpPr/>
      </xdr:nvSpPr>
      <xdr:spPr>
        <a:xfrm>
          <a:off x="3213100" y="62738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3365500</xdr:colOff>
      <xdr:row>36</xdr:row>
      <xdr:rowOff>22860</xdr:rowOff>
    </xdr:from>
    <xdr:to>
      <xdr:col>0</xdr:col>
      <xdr:colOff>4038600</xdr:colOff>
      <xdr:row>40</xdr:row>
      <xdr:rowOff>25400</xdr:rowOff>
    </xdr:to>
    <xdr:sp macro="" textlink="">
      <xdr:nvSpPr>
        <xdr:cNvPr id="565" name="outline 564"/>
        <xdr:cNvSpPr/>
      </xdr:nvSpPr>
      <xdr:spPr>
        <a:xfrm>
          <a:off x="3365500" y="60579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3581400</xdr:colOff>
      <xdr:row>36</xdr:row>
      <xdr:rowOff>35560</xdr:rowOff>
    </xdr:from>
    <xdr:to>
      <xdr:col>0</xdr:col>
      <xdr:colOff>4025900</xdr:colOff>
      <xdr:row>37</xdr:row>
      <xdr:rowOff>7620</xdr:rowOff>
    </xdr:to>
    <xdr:sp macro="" textlink="">
      <xdr:nvSpPr>
        <xdr:cNvPr id="566" name="name 565"/>
        <xdr:cNvSpPr/>
      </xdr:nvSpPr>
      <xdr:spPr>
        <a:xfrm>
          <a:off x="3581400" y="6070600"/>
          <a:ext cx="4445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Ferey</a:t>
          </a:r>
        </a:p>
      </xdr:txBody>
    </xdr:sp>
    <xdr:clientData/>
  </xdr:twoCellAnchor>
  <xdr:twoCellAnchor editAs="absolute">
    <xdr:from>
      <xdr:col>0</xdr:col>
      <xdr:colOff>3429000</xdr:colOff>
      <xdr:row>37</xdr:row>
      <xdr:rowOff>96520</xdr:rowOff>
    </xdr:from>
    <xdr:to>
      <xdr:col>0</xdr:col>
      <xdr:colOff>3822700</xdr:colOff>
      <xdr:row>39</xdr:row>
      <xdr:rowOff>2540</xdr:rowOff>
    </xdr:to>
    <xdr:pic>
      <xdr:nvPicPr>
        <xdr:cNvPr id="567" name="symbol 566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0" y="6299200"/>
          <a:ext cx="393700" cy="241300"/>
        </a:xfrm>
        <a:prstGeom prst="rect">
          <a:avLst/>
        </a:prstGeom>
      </xdr:spPr>
    </xdr:pic>
    <xdr:clientData/>
  </xdr:twoCellAnchor>
  <xdr:twoCellAnchor editAs="absolute">
    <xdr:from>
      <xdr:col>0</xdr:col>
      <xdr:colOff>3733800</xdr:colOff>
      <xdr:row>36</xdr:row>
      <xdr:rowOff>162560</xdr:rowOff>
    </xdr:from>
    <xdr:to>
      <xdr:col>0</xdr:col>
      <xdr:colOff>4025900</xdr:colOff>
      <xdr:row>38</xdr:row>
      <xdr:rowOff>119380</xdr:rowOff>
    </xdr:to>
    <xdr:pic>
      <xdr:nvPicPr>
        <xdr:cNvPr id="568" name="elite 567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3800" y="6197600"/>
          <a:ext cx="2921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3429000</xdr:colOff>
      <xdr:row>38</xdr:row>
      <xdr:rowOff>157480</xdr:rowOff>
    </xdr:from>
    <xdr:to>
      <xdr:col>0</xdr:col>
      <xdr:colOff>3619500</xdr:colOff>
      <xdr:row>39</xdr:row>
      <xdr:rowOff>154940</xdr:rowOff>
    </xdr:to>
    <xdr:sp macro="" textlink="">
      <xdr:nvSpPr>
        <xdr:cNvPr id="569" name="fleft 568"/>
        <xdr:cNvSpPr/>
      </xdr:nvSpPr>
      <xdr:spPr>
        <a:xfrm>
          <a:off x="3429000" y="65278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3657600</xdr:colOff>
      <xdr:row>38</xdr:row>
      <xdr:rowOff>157480</xdr:rowOff>
    </xdr:from>
    <xdr:to>
      <xdr:col>0</xdr:col>
      <xdr:colOff>3797300</xdr:colOff>
      <xdr:row>40</xdr:row>
      <xdr:rowOff>12700</xdr:rowOff>
    </xdr:to>
    <xdr:sp macro="" textlink="">
      <xdr:nvSpPr>
        <xdr:cNvPr id="570" name="fmiddle 569"/>
        <xdr:cNvSpPr/>
      </xdr:nvSpPr>
      <xdr:spPr>
        <a:xfrm>
          <a:off x="3657600" y="6527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3835400</xdr:colOff>
      <xdr:row>38</xdr:row>
      <xdr:rowOff>157480</xdr:rowOff>
    </xdr:from>
    <xdr:to>
      <xdr:col>0</xdr:col>
      <xdr:colOff>4000500</xdr:colOff>
      <xdr:row>40</xdr:row>
      <xdr:rowOff>12700</xdr:rowOff>
    </xdr:to>
    <xdr:sp macro="" textlink="">
      <xdr:nvSpPr>
        <xdr:cNvPr id="571" name="fright 570"/>
        <xdr:cNvSpPr/>
      </xdr:nvSpPr>
      <xdr:spPr>
        <a:xfrm>
          <a:off x="38354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3378200</xdr:colOff>
      <xdr:row>36</xdr:row>
      <xdr:rowOff>35560</xdr:rowOff>
    </xdr:from>
    <xdr:to>
      <xdr:col>0</xdr:col>
      <xdr:colOff>3568700</xdr:colOff>
      <xdr:row>36</xdr:row>
      <xdr:rowOff>149860</xdr:rowOff>
    </xdr:to>
    <xdr:sp macro="" textlink="">
      <xdr:nvSpPr>
        <xdr:cNvPr id="572" name="eng 571"/>
        <xdr:cNvSpPr/>
      </xdr:nvSpPr>
      <xdr:spPr>
        <a:xfrm>
          <a:off x="3378200" y="60706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2-3</a:t>
          </a:r>
        </a:p>
      </xdr:txBody>
    </xdr:sp>
    <xdr:clientData/>
  </xdr:twoCellAnchor>
  <xdr:twoCellAnchor editAs="absolute">
    <xdr:from>
      <xdr:col>0</xdr:col>
      <xdr:colOff>4038600</xdr:colOff>
      <xdr:row>36</xdr:row>
      <xdr:rowOff>22860</xdr:rowOff>
    </xdr:from>
    <xdr:to>
      <xdr:col>0</xdr:col>
      <xdr:colOff>4711700</xdr:colOff>
      <xdr:row>40</xdr:row>
      <xdr:rowOff>25400</xdr:rowOff>
    </xdr:to>
    <xdr:sp macro="" textlink="">
      <xdr:nvSpPr>
        <xdr:cNvPr id="573" name="outline 572"/>
        <xdr:cNvSpPr/>
      </xdr:nvSpPr>
      <xdr:spPr>
        <a:xfrm>
          <a:off x="4038600" y="60579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4203700</xdr:colOff>
      <xdr:row>36</xdr:row>
      <xdr:rowOff>60960</xdr:rowOff>
    </xdr:from>
    <xdr:to>
      <xdr:col>0</xdr:col>
      <xdr:colOff>4699000</xdr:colOff>
      <xdr:row>38</xdr:row>
      <xdr:rowOff>144780</xdr:rowOff>
    </xdr:to>
    <xdr:sp macro="" textlink="">
      <xdr:nvSpPr>
        <xdr:cNvPr id="574" name="flag 573"/>
        <xdr:cNvSpPr/>
      </xdr:nvSpPr>
      <xdr:spPr>
        <a:xfrm>
          <a:off x="4203700" y="60960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4</a:t>
          </a:r>
        </a:p>
      </xdr:txBody>
    </xdr:sp>
    <xdr:clientData/>
  </xdr:twoCellAnchor>
  <xdr:twoCellAnchor editAs="absolute">
    <xdr:from>
      <xdr:col>0</xdr:col>
      <xdr:colOff>4051300</xdr:colOff>
      <xdr:row>36</xdr:row>
      <xdr:rowOff>35560</xdr:rowOff>
    </xdr:from>
    <xdr:to>
      <xdr:col>0</xdr:col>
      <xdr:colOff>4191000</xdr:colOff>
      <xdr:row>39</xdr:row>
      <xdr:rowOff>2540</xdr:rowOff>
    </xdr:to>
    <xdr:sp macro="" textlink="">
      <xdr:nvSpPr>
        <xdr:cNvPr id="575" name="name 574"/>
        <xdr:cNvSpPr/>
      </xdr:nvSpPr>
      <xdr:spPr>
        <a:xfrm>
          <a:off x="4051300" y="6070600"/>
          <a:ext cx="139700" cy="469900"/>
        </a:xfrm>
        <a:prstGeom prst="rect">
          <a:avLst/>
        </a:prstGeom>
        <a:solidFill>
          <a:srgbClr val="CCFFC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Sarrut</a:t>
          </a:r>
        </a:p>
      </xdr:txBody>
    </xdr:sp>
    <xdr:clientData/>
  </xdr:twoCellAnchor>
  <xdr:twoCellAnchor editAs="absolute">
    <xdr:from>
      <xdr:col>0</xdr:col>
      <xdr:colOff>4127500</xdr:colOff>
      <xdr:row>38</xdr:row>
      <xdr:rowOff>157480</xdr:rowOff>
    </xdr:from>
    <xdr:to>
      <xdr:col>0</xdr:col>
      <xdr:colOff>4267200</xdr:colOff>
      <xdr:row>40</xdr:row>
      <xdr:rowOff>12700</xdr:rowOff>
    </xdr:to>
    <xdr:sp macro="" textlink="">
      <xdr:nvSpPr>
        <xdr:cNvPr id="576" name="left 575"/>
        <xdr:cNvSpPr/>
      </xdr:nvSpPr>
      <xdr:spPr>
        <a:xfrm>
          <a:off x="4127500" y="65278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4533900</xdr:colOff>
      <xdr:row>38</xdr:row>
      <xdr:rowOff>157480</xdr:rowOff>
    </xdr:from>
    <xdr:to>
      <xdr:col>0</xdr:col>
      <xdr:colOff>4673600</xdr:colOff>
      <xdr:row>40</xdr:row>
      <xdr:rowOff>12700</xdr:rowOff>
    </xdr:to>
    <xdr:sp macro="" textlink="">
      <xdr:nvSpPr>
        <xdr:cNvPr id="577" name="right 576"/>
        <xdr:cNvSpPr/>
      </xdr:nvSpPr>
      <xdr:spPr>
        <a:xfrm>
          <a:off x="4533900" y="65278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4711700</xdr:colOff>
      <xdr:row>36</xdr:row>
      <xdr:rowOff>22860</xdr:rowOff>
    </xdr:from>
    <xdr:to>
      <xdr:col>0</xdr:col>
      <xdr:colOff>5384800</xdr:colOff>
      <xdr:row>40</xdr:row>
      <xdr:rowOff>25400</xdr:rowOff>
    </xdr:to>
    <xdr:sp macro="" textlink="">
      <xdr:nvSpPr>
        <xdr:cNvPr id="578" name="outline 577"/>
        <xdr:cNvSpPr/>
      </xdr:nvSpPr>
      <xdr:spPr>
        <a:xfrm>
          <a:off x="4711700" y="60579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4876800</xdr:colOff>
      <xdr:row>36</xdr:row>
      <xdr:rowOff>60960</xdr:rowOff>
    </xdr:from>
    <xdr:to>
      <xdr:col>0</xdr:col>
      <xdr:colOff>5372100</xdr:colOff>
      <xdr:row>38</xdr:row>
      <xdr:rowOff>144780</xdr:rowOff>
    </xdr:to>
    <xdr:sp macro="" textlink="">
      <xdr:nvSpPr>
        <xdr:cNvPr id="579" name="flag 578"/>
        <xdr:cNvSpPr/>
      </xdr:nvSpPr>
      <xdr:spPr>
        <a:xfrm>
          <a:off x="4876800" y="60960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4</a:t>
          </a:r>
        </a:p>
      </xdr:txBody>
    </xdr:sp>
    <xdr:clientData/>
  </xdr:twoCellAnchor>
  <xdr:twoCellAnchor editAs="absolute">
    <xdr:from>
      <xdr:col>0</xdr:col>
      <xdr:colOff>4724400</xdr:colOff>
      <xdr:row>36</xdr:row>
      <xdr:rowOff>35560</xdr:rowOff>
    </xdr:from>
    <xdr:to>
      <xdr:col>0</xdr:col>
      <xdr:colOff>4864100</xdr:colOff>
      <xdr:row>39</xdr:row>
      <xdr:rowOff>2540</xdr:rowOff>
    </xdr:to>
    <xdr:sp macro="" textlink="">
      <xdr:nvSpPr>
        <xdr:cNvPr id="580" name="name 579"/>
        <xdr:cNvSpPr/>
      </xdr:nvSpPr>
      <xdr:spPr>
        <a:xfrm>
          <a:off x="4724400" y="6070600"/>
          <a:ext cx="139700" cy="469900"/>
        </a:xfrm>
        <a:prstGeom prst="rect">
          <a:avLst/>
        </a:prstGeom>
        <a:solidFill>
          <a:srgbClr val="CCFFC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Sarrut</a:t>
          </a:r>
        </a:p>
      </xdr:txBody>
    </xdr:sp>
    <xdr:clientData/>
  </xdr:twoCellAnchor>
  <xdr:twoCellAnchor editAs="absolute">
    <xdr:from>
      <xdr:col>0</xdr:col>
      <xdr:colOff>4800600</xdr:colOff>
      <xdr:row>38</xdr:row>
      <xdr:rowOff>157480</xdr:rowOff>
    </xdr:from>
    <xdr:to>
      <xdr:col>0</xdr:col>
      <xdr:colOff>4940300</xdr:colOff>
      <xdr:row>40</xdr:row>
      <xdr:rowOff>12700</xdr:rowOff>
    </xdr:to>
    <xdr:sp macro="" textlink="">
      <xdr:nvSpPr>
        <xdr:cNvPr id="581" name="left 580"/>
        <xdr:cNvSpPr/>
      </xdr:nvSpPr>
      <xdr:spPr>
        <a:xfrm>
          <a:off x="4800600" y="65278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5207000</xdr:colOff>
      <xdr:row>38</xdr:row>
      <xdr:rowOff>157480</xdr:rowOff>
    </xdr:from>
    <xdr:to>
      <xdr:col>0</xdr:col>
      <xdr:colOff>5346700</xdr:colOff>
      <xdr:row>40</xdr:row>
      <xdr:rowOff>12700</xdr:rowOff>
    </xdr:to>
    <xdr:sp macro="" textlink="">
      <xdr:nvSpPr>
        <xdr:cNvPr id="582" name="right 581"/>
        <xdr:cNvSpPr/>
      </xdr:nvSpPr>
      <xdr:spPr>
        <a:xfrm>
          <a:off x="5207000" y="65278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5384800</xdr:colOff>
      <xdr:row>36</xdr:row>
      <xdr:rowOff>22860</xdr:rowOff>
    </xdr:from>
    <xdr:to>
      <xdr:col>0</xdr:col>
      <xdr:colOff>6057900</xdr:colOff>
      <xdr:row>40</xdr:row>
      <xdr:rowOff>25400</xdr:rowOff>
    </xdr:to>
    <xdr:sp macro="" textlink="">
      <xdr:nvSpPr>
        <xdr:cNvPr id="583" name="outline 582"/>
        <xdr:cNvSpPr/>
      </xdr:nvSpPr>
      <xdr:spPr>
        <a:xfrm>
          <a:off x="5384800" y="60579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5397500</xdr:colOff>
      <xdr:row>36</xdr:row>
      <xdr:rowOff>35560</xdr:rowOff>
    </xdr:from>
    <xdr:to>
      <xdr:col>0</xdr:col>
      <xdr:colOff>6045200</xdr:colOff>
      <xdr:row>37</xdr:row>
      <xdr:rowOff>7620</xdr:rowOff>
    </xdr:to>
    <xdr:sp macro="" textlink="">
      <xdr:nvSpPr>
        <xdr:cNvPr id="584" name="name 583"/>
        <xdr:cNvSpPr/>
      </xdr:nvSpPr>
      <xdr:spPr>
        <a:xfrm>
          <a:off x="5397500" y="6070600"/>
          <a:ext cx="647700" cy="139700"/>
        </a:xfrm>
        <a:prstGeom prst="rect">
          <a:avLst/>
        </a:prstGeom>
        <a:solidFill>
          <a:srgbClr val="CCFFC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2°Lg/Fririon</a:t>
          </a:r>
        </a:p>
      </xdr:txBody>
    </xdr:sp>
    <xdr:clientData/>
  </xdr:twoCellAnchor>
  <xdr:twoCellAnchor editAs="absolute">
    <xdr:from>
      <xdr:col>0</xdr:col>
      <xdr:colOff>5600700</xdr:colOff>
      <xdr:row>37</xdr:row>
      <xdr:rowOff>20320</xdr:rowOff>
    </xdr:from>
    <xdr:to>
      <xdr:col>0</xdr:col>
      <xdr:colOff>5969000</xdr:colOff>
      <xdr:row>39</xdr:row>
      <xdr:rowOff>104140</xdr:rowOff>
    </xdr:to>
    <xdr:pic>
      <xdr:nvPicPr>
        <xdr:cNvPr id="585" name="symbol 58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62230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5448300</xdr:colOff>
      <xdr:row>38</xdr:row>
      <xdr:rowOff>157480</xdr:rowOff>
    </xdr:from>
    <xdr:to>
      <xdr:col>0</xdr:col>
      <xdr:colOff>5613400</xdr:colOff>
      <xdr:row>40</xdr:row>
      <xdr:rowOff>12700</xdr:rowOff>
    </xdr:to>
    <xdr:sp macro="" textlink="">
      <xdr:nvSpPr>
        <xdr:cNvPr id="586" name="fleft 585"/>
        <xdr:cNvSpPr/>
      </xdr:nvSpPr>
      <xdr:spPr>
        <a:xfrm>
          <a:off x="54483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5753100</xdr:colOff>
      <xdr:row>38</xdr:row>
      <xdr:rowOff>157480</xdr:rowOff>
    </xdr:from>
    <xdr:to>
      <xdr:col>0</xdr:col>
      <xdr:colOff>5892800</xdr:colOff>
      <xdr:row>40</xdr:row>
      <xdr:rowOff>12700</xdr:rowOff>
    </xdr:to>
    <xdr:sp macro="" textlink="">
      <xdr:nvSpPr>
        <xdr:cNvPr id="587" name="fmiddle 586"/>
        <xdr:cNvSpPr/>
      </xdr:nvSpPr>
      <xdr:spPr>
        <a:xfrm>
          <a:off x="5753100" y="6527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5880100</xdr:colOff>
      <xdr:row>38</xdr:row>
      <xdr:rowOff>157480</xdr:rowOff>
    </xdr:from>
    <xdr:to>
      <xdr:col>0</xdr:col>
      <xdr:colOff>6045200</xdr:colOff>
      <xdr:row>40</xdr:row>
      <xdr:rowOff>12700</xdr:rowOff>
    </xdr:to>
    <xdr:sp macro="" textlink="">
      <xdr:nvSpPr>
        <xdr:cNvPr id="588" name="fright 587"/>
        <xdr:cNvSpPr/>
      </xdr:nvSpPr>
      <xdr:spPr>
        <a:xfrm>
          <a:off x="58801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5905500</xdr:colOff>
      <xdr:row>37</xdr:row>
      <xdr:rowOff>71120</xdr:rowOff>
    </xdr:from>
    <xdr:to>
      <xdr:col>0</xdr:col>
      <xdr:colOff>6045200</xdr:colOff>
      <xdr:row>38</xdr:row>
      <xdr:rowOff>68580</xdr:rowOff>
    </xdr:to>
    <xdr:sp macro="" textlink="">
      <xdr:nvSpPr>
        <xdr:cNvPr id="589" name="eng 588"/>
        <xdr:cNvSpPr/>
      </xdr:nvSpPr>
      <xdr:spPr>
        <a:xfrm>
          <a:off x="5905500" y="62738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6057900</xdr:colOff>
      <xdr:row>36</xdr:row>
      <xdr:rowOff>22860</xdr:rowOff>
    </xdr:from>
    <xdr:to>
      <xdr:col>0</xdr:col>
      <xdr:colOff>6731000</xdr:colOff>
      <xdr:row>40</xdr:row>
      <xdr:rowOff>25400</xdr:rowOff>
    </xdr:to>
    <xdr:sp macro="" textlink="">
      <xdr:nvSpPr>
        <xdr:cNvPr id="590" name="outline 589"/>
        <xdr:cNvSpPr/>
      </xdr:nvSpPr>
      <xdr:spPr>
        <a:xfrm>
          <a:off x="6057900" y="60579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6070600</xdr:colOff>
      <xdr:row>36</xdr:row>
      <xdr:rowOff>35560</xdr:rowOff>
    </xdr:from>
    <xdr:to>
      <xdr:col>0</xdr:col>
      <xdr:colOff>6718300</xdr:colOff>
      <xdr:row>37</xdr:row>
      <xdr:rowOff>7620</xdr:rowOff>
    </xdr:to>
    <xdr:sp macro="" textlink="">
      <xdr:nvSpPr>
        <xdr:cNvPr id="591" name="name 590"/>
        <xdr:cNvSpPr/>
      </xdr:nvSpPr>
      <xdr:spPr>
        <a:xfrm>
          <a:off x="6070600" y="6070600"/>
          <a:ext cx="647700" cy="139700"/>
        </a:xfrm>
        <a:prstGeom prst="rect">
          <a:avLst/>
        </a:prstGeom>
        <a:solidFill>
          <a:srgbClr val="CCFFC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36°Li/Fririon</a:t>
          </a:r>
        </a:p>
      </xdr:txBody>
    </xdr:sp>
    <xdr:clientData/>
  </xdr:twoCellAnchor>
  <xdr:twoCellAnchor editAs="absolute">
    <xdr:from>
      <xdr:col>0</xdr:col>
      <xdr:colOff>6273800</xdr:colOff>
      <xdr:row>37</xdr:row>
      <xdr:rowOff>20320</xdr:rowOff>
    </xdr:from>
    <xdr:to>
      <xdr:col>0</xdr:col>
      <xdr:colOff>6642100</xdr:colOff>
      <xdr:row>39</xdr:row>
      <xdr:rowOff>104140</xdr:rowOff>
    </xdr:to>
    <xdr:pic>
      <xdr:nvPicPr>
        <xdr:cNvPr id="592" name="symbol 59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3800" y="62230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6121400</xdr:colOff>
      <xdr:row>38</xdr:row>
      <xdr:rowOff>157480</xdr:rowOff>
    </xdr:from>
    <xdr:to>
      <xdr:col>0</xdr:col>
      <xdr:colOff>6286500</xdr:colOff>
      <xdr:row>40</xdr:row>
      <xdr:rowOff>12700</xdr:rowOff>
    </xdr:to>
    <xdr:sp macro="" textlink="">
      <xdr:nvSpPr>
        <xdr:cNvPr id="593" name="fleft 592"/>
        <xdr:cNvSpPr/>
      </xdr:nvSpPr>
      <xdr:spPr>
        <a:xfrm>
          <a:off x="61214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6426200</xdr:colOff>
      <xdr:row>38</xdr:row>
      <xdr:rowOff>157480</xdr:rowOff>
    </xdr:from>
    <xdr:to>
      <xdr:col>0</xdr:col>
      <xdr:colOff>6565900</xdr:colOff>
      <xdr:row>40</xdr:row>
      <xdr:rowOff>12700</xdr:rowOff>
    </xdr:to>
    <xdr:sp macro="" textlink="">
      <xdr:nvSpPr>
        <xdr:cNvPr id="594" name="fmiddle 593"/>
        <xdr:cNvSpPr/>
      </xdr:nvSpPr>
      <xdr:spPr>
        <a:xfrm>
          <a:off x="6426200" y="6527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6553200</xdr:colOff>
      <xdr:row>38</xdr:row>
      <xdr:rowOff>157480</xdr:rowOff>
    </xdr:from>
    <xdr:to>
      <xdr:col>0</xdr:col>
      <xdr:colOff>6718300</xdr:colOff>
      <xdr:row>40</xdr:row>
      <xdr:rowOff>12700</xdr:rowOff>
    </xdr:to>
    <xdr:sp macro="" textlink="">
      <xdr:nvSpPr>
        <xdr:cNvPr id="595" name="fright 594"/>
        <xdr:cNvSpPr/>
      </xdr:nvSpPr>
      <xdr:spPr>
        <a:xfrm>
          <a:off x="65532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6578600</xdr:colOff>
      <xdr:row>37</xdr:row>
      <xdr:rowOff>71120</xdr:rowOff>
    </xdr:from>
    <xdr:to>
      <xdr:col>0</xdr:col>
      <xdr:colOff>6718300</xdr:colOff>
      <xdr:row>38</xdr:row>
      <xdr:rowOff>68580</xdr:rowOff>
    </xdr:to>
    <xdr:sp macro="" textlink="">
      <xdr:nvSpPr>
        <xdr:cNvPr id="596" name="eng 595"/>
        <xdr:cNvSpPr/>
      </xdr:nvSpPr>
      <xdr:spPr>
        <a:xfrm>
          <a:off x="6578600" y="62738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0</xdr:colOff>
      <xdr:row>40</xdr:row>
      <xdr:rowOff>25400</xdr:rowOff>
    </xdr:from>
    <xdr:to>
      <xdr:col>0</xdr:col>
      <xdr:colOff>673100</xdr:colOff>
      <xdr:row>44</xdr:row>
      <xdr:rowOff>27940</xdr:rowOff>
    </xdr:to>
    <xdr:sp macro="" textlink="">
      <xdr:nvSpPr>
        <xdr:cNvPr id="597" name="outline 596"/>
        <xdr:cNvSpPr/>
      </xdr:nvSpPr>
      <xdr:spPr>
        <a:xfrm>
          <a:off x="0" y="67310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12700</xdr:colOff>
      <xdr:row>40</xdr:row>
      <xdr:rowOff>38100</xdr:rowOff>
    </xdr:from>
    <xdr:to>
      <xdr:col>0</xdr:col>
      <xdr:colOff>660400</xdr:colOff>
      <xdr:row>41</xdr:row>
      <xdr:rowOff>10160</xdr:rowOff>
    </xdr:to>
    <xdr:sp macro="" textlink="">
      <xdr:nvSpPr>
        <xdr:cNvPr id="598" name="name 597"/>
        <xdr:cNvSpPr/>
      </xdr:nvSpPr>
      <xdr:spPr>
        <a:xfrm>
          <a:off x="12700" y="6743700"/>
          <a:ext cx="647700" cy="139700"/>
        </a:xfrm>
        <a:prstGeom prst="rect">
          <a:avLst/>
        </a:prstGeom>
        <a:solidFill>
          <a:srgbClr val="CCFFC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4°Lg/2nd Bgde</a:t>
          </a:r>
        </a:p>
      </xdr:txBody>
    </xdr:sp>
    <xdr:clientData/>
  </xdr:twoCellAnchor>
  <xdr:twoCellAnchor editAs="absolute">
    <xdr:from>
      <xdr:col>0</xdr:col>
      <xdr:colOff>215900</xdr:colOff>
      <xdr:row>41</xdr:row>
      <xdr:rowOff>22860</xdr:rowOff>
    </xdr:from>
    <xdr:to>
      <xdr:col>0</xdr:col>
      <xdr:colOff>584200</xdr:colOff>
      <xdr:row>43</xdr:row>
      <xdr:rowOff>106680</xdr:rowOff>
    </xdr:to>
    <xdr:pic>
      <xdr:nvPicPr>
        <xdr:cNvPr id="599" name="symbol 59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6896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63500</xdr:colOff>
      <xdr:row>42</xdr:row>
      <xdr:rowOff>160020</xdr:rowOff>
    </xdr:from>
    <xdr:to>
      <xdr:col>0</xdr:col>
      <xdr:colOff>228600</xdr:colOff>
      <xdr:row>44</xdr:row>
      <xdr:rowOff>15240</xdr:rowOff>
    </xdr:to>
    <xdr:sp macro="" textlink="">
      <xdr:nvSpPr>
        <xdr:cNvPr id="600" name="fleft 599"/>
        <xdr:cNvSpPr/>
      </xdr:nvSpPr>
      <xdr:spPr>
        <a:xfrm>
          <a:off x="63500" y="7200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368300</xdr:colOff>
      <xdr:row>42</xdr:row>
      <xdr:rowOff>160020</xdr:rowOff>
    </xdr:from>
    <xdr:to>
      <xdr:col>0</xdr:col>
      <xdr:colOff>508000</xdr:colOff>
      <xdr:row>44</xdr:row>
      <xdr:rowOff>15240</xdr:rowOff>
    </xdr:to>
    <xdr:sp macro="" textlink="">
      <xdr:nvSpPr>
        <xdr:cNvPr id="601" name="fmiddle 600"/>
        <xdr:cNvSpPr/>
      </xdr:nvSpPr>
      <xdr:spPr>
        <a:xfrm>
          <a:off x="368300" y="7200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495300</xdr:colOff>
      <xdr:row>42</xdr:row>
      <xdr:rowOff>160020</xdr:rowOff>
    </xdr:from>
    <xdr:to>
      <xdr:col>0</xdr:col>
      <xdr:colOff>660400</xdr:colOff>
      <xdr:row>44</xdr:row>
      <xdr:rowOff>15240</xdr:rowOff>
    </xdr:to>
    <xdr:sp macro="" textlink="">
      <xdr:nvSpPr>
        <xdr:cNvPr id="602" name="fright 601"/>
        <xdr:cNvSpPr/>
      </xdr:nvSpPr>
      <xdr:spPr>
        <a:xfrm>
          <a:off x="495300" y="7200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520700</xdr:colOff>
      <xdr:row>41</xdr:row>
      <xdr:rowOff>73660</xdr:rowOff>
    </xdr:from>
    <xdr:to>
      <xdr:col>0</xdr:col>
      <xdr:colOff>660400</xdr:colOff>
      <xdr:row>42</xdr:row>
      <xdr:rowOff>71120</xdr:rowOff>
    </xdr:to>
    <xdr:sp macro="" textlink="">
      <xdr:nvSpPr>
        <xdr:cNvPr id="603" name="eng 602"/>
        <xdr:cNvSpPr/>
      </xdr:nvSpPr>
      <xdr:spPr>
        <a:xfrm>
          <a:off x="520700" y="69469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673100</xdr:colOff>
      <xdr:row>40</xdr:row>
      <xdr:rowOff>25400</xdr:rowOff>
    </xdr:from>
    <xdr:to>
      <xdr:col>0</xdr:col>
      <xdr:colOff>1346200</xdr:colOff>
      <xdr:row>44</xdr:row>
      <xdr:rowOff>27940</xdr:rowOff>
    </xdr:to>
    <xdr:sp macro="" textlink="">
      <xdr:nvSpPr>
        <xdr:cNvPr id="604" name="outline 603"/>
        <xdr:cNvSpPr/>
      </xdr:nvSpPr>
      <xdr:spPr>
        <a:xfrm>
          <a:off x="673100" y="67310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889000</xdr:colOff>
      <xdr:row>40</xdr:row>
      <xdr:rowOff>38100</xdr:rowOff>
    </xdr:from>
    <xdr:to>
      <xdr:col>0</xdr:col>
      <xdr:colOff>1333500</xdr:colOff>
      <xdr:row>41</xdr:row>
      <xdr:rowOff>10160</xdr:rowOff>
    </xdr:to>
    <xdr:sp macro="" textlink="">
      <xdr:nvSpPr>
        <xdr:cNvPr id="605" name="name 604"/>
        <xdr:cNvSpPr/>
      </xdr:nvSpPr>
      <xdr:spPr>
        <a:xfrm>
          <a:off x="889000" y="6743700"/>
          <a:ext cx="444500" cy="139700"/>
        </a:xfrm>
        <a:prstGeom prst="rect">
          <a:avLst/>
        </a:prstGeom>
        <a:solidFill>
          <a:srgbClr val="CCFFC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Sarrut</a:t>
          </a:r>
        </a:p>
      </xdr:txBody>
    </xdr:sp>
    <xdr:clientData/>
  </xdr:twoCellAnchor>
  <xdr:twoCellAnchor editAs="absolute">
    <xdr:from>
      <xdr:col>0</xdr:col>
      <xdr:colOff>762000</xdr:colOff>
      <xdr:row>41</xdr:row>
      <xdr:rowOff>48260</xdr:rowOff>
    </xdr:from>
    <xdr:to>
      <xdr:col>0</xdr:col>
      <xdr:colOff>1257300</xdr:colOff>
      <xdr:row>43</xdr:row>
      <xdr:rowOff>5080</xdr:rowOff>
    </xdr:to>
    <xdr:pic>
      <xdr:nvPicPr>
        <xdr:cNvPr id="606" name="symbol 605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69215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736600</xdr:colOff>
      <xdr:row>42</xdr:row>
      <xdr:rowOff>160020</xdr:rowOff>
    </xdr:from>
    <xdr:to>
      <xdr:col>0</xdr:col>
      <xdr:colOff>927100</xdr:colOff>
      <xdr:row>43</xdr:row>
      <xdr:rowOff>157480</xdr:rowOff>
    </xdr:to>
    <xdr:sp macro="" textlink="">
      <xdr:nvSpPr>
        <xdr:cNvPr id="607" name="fleft 606"/>
        <xdr:cNvSpPr/>
      </xdr:nvSpPr>
      <xdr:spPr>
        <a:xfrm>
          <a:off x="736600" y="72009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965200</xdr:colOff>
      <xdr:row>42</xdr:row>
      <xdr:rowOff>160020</xdr:rowOff>
    </xdr:from>
    <xdr:to>
      <xdr:col>0</xdr:col>
      <xdr:colOff>1104900</xdr:colOff>
      <xdr:row>44</xdr:row>
      <xdr:rowOff>15240</xdr:rowOff>
    </xdr:to>
    <xdr:sp macro="" textlink="">
      <xdr:nvSpPr>
        <xdr:cNvPr id="608" name="fmiddle 607"/>
        <xdr:cNvSpPr/>
      </xdr:nvSpPr>
      <xdr:spPr>
        <a:xfrm>
          <a:off x="965200" y="7200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1143000</xdr:colOff>
      <xdr:row>42</xdr:row>
      <xdr:rowOff>160020</xdr:rowOff>
    </xdr:from>
    <xdr:to>
      <xdr:col>0</xdr:col>
      <xdr:colOff>1308100</xdr:colOff>
      <xdr:row>44</xdr:row>
      <xdr:rowOff>15240</xdr:rowOff>
    </xdr:to>
    <xdr:sp macro="" textlink="">
      <xdr:nvSpPr>
        <xdr:cNvPr id="609" name="fright 608"/>
        <xdr:cNvSpPr/>
      </xdr:nvSpPr>
      <xdr:spPr>
        <a:xfrm>
          <a:off x="1143000" y="7200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685800</xdr:colOff>
      <xdr:row>40</xdr:row>
      <xdr:rowOff>38100</xdr:rowOff>
    </xdr:from>
    <xdr:to>
      <xdr:col>0</xdr:col>
      <xdr:colOff>876300</xdr:colOff>
      <xdr:row>40</xdr:row>
      <xdr:rowOff>152400</xdr:rowOff>
    </xdr:to>
    <xdr:sp macro="" textlink="">
      <xdr:nvSpPr>
        <xdr:cNvPr id="610" name="eng 609"/>
        <xdr:cNvSpPr/>
      </xdr:nvSpPr>
      <xdr:spPr>
        <a:xfrm>
          <a:off x="685800" y="67437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2-3</a:t>
          </a:r>
        </a:p>
      </xdr:txBody>
    </xdr:sp>
    <xdr:clientData/>
  </xdr:twoCellAnchor>
  <xdr:twoCellAnchor editAs="absolute">
    <xdr:from>
      <xdr:col>0</xdr:col>
      <xdr:colOff>1346200</xdr:colOff>
      <xdr:row>40</xdr:row>
      <xdr:rowOff>25400</xdr:rowOff>
    </xdr:from>
    <xdr:to>
      <xdr:col>0</xdr:col>
      <xdr:colOff>2019300</xdr:colOff>
      <xdr:row>44</xdr:row>
      <xdr:rowOff>27940</xdr:rowOff>
    </xdr:to>
    <xdr:sp macro="" textlink="">
      <xdr:nvSpPr>
        <xdr:cNvPr id="611" name="outline 610"/>
        <xdr:cNvSpPr/>
      </xdr:nvSpPr>
      <xdr:spPr>
        <a:xfrm>
          <a:off x="1346200" y="67310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1511300</xdr:colOff>
      <xdr:row>40</xdr:row>
      <xdr:rowOff>63500</xdr:rowOff>
    </xdr:from>
    <xdr:to>
      <xdr:col>0</xdr:col>
      <xdr:colOff>2006600</xdr:colOff>
      <xdr:row>42</xdr:row>
      <xdr:rowOff>147320</xdr:rowOff>
    </xdr:to>
    <xdr:sp macro="" textlink="">
      <xdr:nvSpPr>
        <xdr:cNvPr id="612" name="flag 611"/>
        <xdr:cNvSpPr/>
      </xdr:nvSpPr>
      <xdr:spPr>
        <a:xfrm>
          <a:off x="1511300" y="67691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5</a:t>
          </a:r>
        </a:p>
      </xdr:txBody>
    </xdr:sp>
    <xdr:clientData/>
  </xdr:twoCellAnchor>
  <xdr:twoCellAnchor editAs="absolute">
    <xdr:from>
      <xdr:col>0</xdr:col>
      <xdr:colOff>1358900</xdr:colOff>
      <xdr:row>40</xdr:row>
      <xdr:rowOff>38100</xdr:rowOff>
    </xdr:from>
    <xdr:to>
      <xdr:col>0</xdr:col>
      <xdr:colOff>1498600</xdr:colOff>
      <xdr:row>43</xdr:row>
      <xdr:rowOff>5080</xdr:rowOff>
    </xdr:to>
    <xdr:sp macro="" textlink="">
      <xdr:nvSpPr>
        <xdr:cNvPr id="613" name="name 612"/>
        <xdr:cNvSpPr/>
      </xdr:nvSpPr>
      <xdr:spPr>
        <a:xfrm>
          <a:off x="1358900" y="6743700"/>
          <a:ext cx="139700" cy="469900"/>
        </a:xfrm>
        <a:prstGeom prst="rect">
          <a:avLst/>
        </a:prstGeom>
        <a:solidFill>
          <a:srgbClr val="FF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Maucune</a:t>
          </a:r>
        </a:p>
      </xdr:txBody>
    </xdr:sp>
    <xdr:clientData/>
  </xdr:twoCellAnchor>
  <xdr:twoCellAnchor editAs="absolute">
    <xdr:from>
      <xdr:col>0</xdr:col>
      <xdr:colOff>1435100</xdr:colOff>
      <xdr:row>42</xdr:row>
      <xdr:rowOff>160020</xdr:rowOff>
    </xdr:from>
    <xdr:to>
      <xdr:col>0</xdr:col>
      <xdr:colOff>1574800</xdr:colOff>
      <xdr:row>44</xdr:row>
      <xdr:rowOff>15240</xdr:rowOff>
    </xdr:to>
    <xdr:sp macro="" textlink="">
      <xdr:nvSpPr>
        <xdr:cNvPr id="614" name="left 613"/>
        <xdr:cNvSpPr/>
      </xdr:nvSpPr>
      <xdr:spPr>
        <a:xfrm>
          <a:off x="1435100" y="7200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1841500</xdr:colOff>
      <xdr:row>42</xdr:row>
      <xdr:rowOff>160020</xdr:rowOff>
    </xdr:from>
    <xdr:to>
      <xdr:col>0</xdr:col>
      <xdr:colOff>1981200</xdr:colOff>
      <xdr:row>44</xdr:row>
      <xdr:rowOff>15240</xdr:rowOff>
    </xdr:to>
    <xdr:sp macro="" textlink="">
      <xdr:nvSpPr>
        <xdr:cNvPr id="615" name="right 614"/>
        <xdr:cNvSpPr/>
      </xdr:nvSpPr>
      <xdr:spPr>
        <a:xfrm>
          <a:off x="1841500" y="7200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2019300</xdr:colOff>
      <xdr:row>40</xdr:row>
      <xdr:rowOff>25400</xdr:rowOff>
    </xdr:from>
    <xdr:to>
      <xdr:col>0</xdr:col>
      <xdr:colOff>2692400</xdr:colOff>
      <xdr:row>44</xdr:row>
      <xdr:rowOff>27940</xdr:rowOff>
    </xdr:to>
    <xdr:sp macro="" textlink="">
      <xdr:nvSpPr>
        <xdr:cNvPr id="616" name="outline 615"/>
        <xdr:cNvSpPr/>
      </xdr:nvSpPr>
      <xdr:spPr>
        <a:xfrm>
          <a:off x="2019300" y="67310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2184400</xdr:colOff>
      <xdr:row>40</xdr:row>
      <xdr:rowOff>63500</xdr:rowOff>
    </xdr:from>
    <xdr:to>
      <xdr:col>0</xdr:col>
      <xdr:colOff>2679700</xdr:colOff>
      <xdr:row>42</xdr:row>
      <xdr:rowOff>147320</xdr:rowOff>
    </xdr:to>
    <xdr:sp macro="" textlink="">
      <xdr:nvSpPr>
        <xdr:cNvPr id="617" name="flag 616"/>
        <xdr:cNvSpPr/>
      </xdr:nvSpPr>
      <xdr:spPr>
        <a:xfrm>
          <a:off x="2184400" y="67691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5</a:t>
          </a:r>
        </a:p>
      </xdr:txBody>
    </xdr:sp>
    <xdr:clientData/>
  </xdr:twoCellAnchor>
  <xdr:twoCellAnchor editAs="absolute">
    <xdr:from>
      <xdr:col>0</xdr:col>
      <xdr:colOff>2032000</xdr:colOff>
      <xdr:row>40</xdr:row>
      <xdr:rowOff>38100</xdr:rowOff>
    </xdr:from>
    <xdr:to>
      <xdr:col>0</xdr:col>
      <xdr:colOff>2171700</xdr:colOff>
      <xdr:row>43</xdr:row>
      <xdr:rowOff>5080</xdr:rowOff>
    </xdr:to>
    <xdr:sp macro="" textlink="">
      <xdr:nvSpPr>
        <xdr:cNvPr id="618" name="name 617"/>
        <xdr:cNvSpPr/>
      </xdr:nvSpPr>
      <xdr:spPr>
        <a:xfrm>
          <a:off x="2032000" y="6743700"/>
          <a:ext cx="139700" cy="469900"/>
        </a:xfrm>
        <a:prstGeom prst="rect">
          <a:avLst/>
        </a:prstGeom>
        <a:solidFill>
          <a:srgbClr val="FF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Maucune</a:t>
          </a:r>
        </a:p>
      </xdr:txBody>
    </xdr:sp>
    <xdr:clientData/>
  </xdr:twoCellAnchor>
  <xdr:twoCellAnchor editAs="absolute">
    <xdr:from>
      <xdr:col>0</xdr:col>
      <xdr:colOff>2108200</xdr:colOff>
      <xdr:row>42</xdr:row>
      <xdr:rowOff>160020</xdr:rowOff>
    </xdr:from>
    <xdr:to>
      <xdr:col>0</xdr:col>
      <xdr:colOff>2247900</xdr:colOff>
      <xdr:row>44</xdr:row>
      <xdr:rowOff>15240</xdr:rowOff>
    </xdr:to>
    <xdr:sp macro="" textlink="">
      <xdr:nvSpPr>
        <xdr:cNvPr id="619" name="left 618"/>
        <xdr:cNvSpPr/>
      </xdr:nvSpPr>
      <xdr:spPr>
        <a:xfrm>
          <a:off x="2108200" y="7200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2514600</xdr:colOff>
      <xdr:row>42</xdr:row>
      <xdr:rowOff>160020</xdr:rowOff>
    </xdr:from>
    <xdr:to>
      <xdr:col>0</xdr:col>
      <xdr:colOff>2654300</xdr:colOff>
      <xdr:row>44</xdr:row>
      <xdr:rowOff>15240</xdr:rowOff>
    </xdr:to>
    <xdr:sp macro="" textlink="">
      <xdr:nvSpPr>
        <xdr:cNvPr id="620" name="right 619"/>
        <xdr:cNvSpPr/>
      </xdr:nvSpPr>
      <xdr:spPr>
        <a:xfrm>
          <a:off x="2514600" y="7200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2692400</xdr:colOff>
      <xdr:row>40</xdr:row>
      <xdr:rowOff>25400</xdr:rowOff>
    </xdr:from>
    <xdr:to>
      <xdr:col>0</xdr:col>
      <xdr:colOff>3365500</xdr:colOff>
      <xdr:row>44</xdr:row>
      <xdr:rowOff>27940</xdr:rowOff>
    </xdr:to>
    <xdr:sp macro="" textlink="">
      <xdr:nvSpPr>
        <xdr:cNvPr id="621" name="outline 620"/>
        <xdr:cNvSpPr/>
      </xdr:nvSpPr>
      <xdr:spPr>
        <a:xfrm>
          <a:off x="2692400" y="67310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2705100</xdr:colOff>
      <xdr:row>40</xdr:row>
      <xdr:rowOff>38100</xdr:rowOff>
    </xdr:from>
    <xdr:to>
      <xdr:col>0</xdr:col>
      <xdr:colOff>3352800</xdr:colOff>
      <xdr:row>41</xdr:row>
      <xdr:rowOff>10160</xdr:rowOff>
    </xdr:to>
    <xdr:sp macro="" textlink="">
      <xdr:nvSpPr>
        <xdr:cNvPr id="622" name="name 621"/>
        <xdr:cNvSpPr/>
      </xdr:nvSpPr>
      <xdr:spPr>
        <a:xfrm>
          <a:off x="2705100" y="6743700"/>
          <a:ext cx="647700" cy="139700"/>
        </a:xfrm>
        <a:prstGeom prst="rect">
          <a:avLst/>
        </a:prstGeom>
        <a:solidFill>
          <a:srgbClr val="FF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15°Li/Arnaud</a:t>
          </a:r>
        </a:p>
      </xdr:txBody>
    </xdr:sp>
    <xdr:clientData/>
  </xdr:twoCellAnchor>
  <xdr:twoCellAnchor editAs="absolute">
    <xdr:from>
      <xdr:col>0</xdr:col>
      <xdr:colOff>2908300</xdr:colOff>
      <xdr:row>41</xdr:row>
      <xdr:rowOff>22860</xdr:rowOff>
    </xdr:from>
    <xdr:to>
      <xdr:col>0</xdr:col>
      <xdr:colOff>3276600</xdr:colOff>
      <xdr:row>43</xdr:row>
      <xdr:rowOff>106680</xdr:rowOff>
    </xdr:to>
    <xdr:pic>
      <xdr:nvPicPr>
        <xdr:cNvPr id="623" name="symbol 62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300" y="6896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2755900</xdr:colOff>
      <xdr:row>42</xdr:row>
      <xdr:rowOff>160020</xdr:rowOff>
    </xdr:from>
    <xdr:to>
      <xdr:col>0</xdr:col>
      <xdr:colOff>2921000</xdr:colOff>
      <xdr:row>44</xdr:row>
      <xdr:rowOff>15240</xdr:rowOff>
    </xdr:to>
    <xdr:sp macro="" textlink="">
      <xdr:nvSpPr>
        <xdr:cNvPr id="624" name="fleft 623"/>
        <xdr:cNvSpPr/>
      </xdr:nvSpPr>
      <xdr:spPr>
        <a:xfrm>
          <a:off x="2755900" y="7200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3060700</xdr:colOff>
      <xdr:row>42</xdr:row>
      <xdr:rowOff>160020</xdr:rowOff>
    </xdr:from>
    <xdr:to>
      <xdr:col>0</xdr:col>
      <xdr:colOff>3200400</xdr:colOff>
      <xdr:row>44</xdr:row>
      <xdr:rowOff>15240</xdr:rowOff>
    </xdr:to>
    <xdr:sp macro="" textlink="">
      <xdr:nvSpPr>
        <xdr:cNvPr id="625" name="fmiddle 624"/>
        <xdr:cNvSpPr/>
      </xdr:nvSpPr>
      <xdr:spPr>
        <a:xfrm>
          <a:off x="3060700" y="7200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3187700</xdr:colOff>
      <xdr:row>42</xdr:row>
      <xdr:rowOff>160020</xdr:rowOff>
    </xdr:from>
    <xdr:to>
      <xdr:col>0</xdr:col>
      <xdr:colOff>3352800</xdr:colOff>
      <xdr:row>44</xdr:row>
      <xdr:rowOff>15240</xdr:rowOff>
    </xdr:to>
    <xdr:sp macro="" textlink="">
      <xdr:nvSpPr>
        <xdr:cNvPr id="626" name="fright 625"/>
        <xdr:cNvSpPr/>
      </xdr:nvSpPr>
      <xdr:spPr>
        <a:xfrm>
          <a:off x="3187700" y="7200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3213100</xdr:colOff>
      <xdr:row>41</xdr:row>
      <xdr:rowOff>73660</xdr:rowOff>
    </xdr:from>
    <xdr:to>
      <xdr:col>0</xdr:col>
      <xdr:colOff>3352800</xdr:colOff>
      <xdr:row>42</xdr:row>
      <xdr:rowOff>71120</xdr:rowOff>
    </xdr:to>
    <xdr:sp macro="" textlink="">
      <xdr:nvSpPr>
        <xdr:cNvPr id="627" name="eng 626"/>
        <xdr:cNvSpPr/>
      </xdr:nvSpPr>
      <xdr:spPr>
        <a:xfrm>
          <a:off x="3213100" y="69469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3365500</xdr:colOff>
      <xdr:row>40</xdr:row>
      <xdr:rowOff>25400</xdr:rowOff>
    </xdr:from>
    <xdr:to>
      <xdr:col>0</xdr:col>
      <xdr:colOff>4038600</xdr:colOff>
      <xdr:row>44</xdr:row>
      <xdr:rowOff>27940</xdr:rowOff>
    </xdr:to>
    <xdr:sp macro="" textlink="">
      <xdr:nvSpPr>
        <xdr:cNvPr id="628" name="outline 627"/>
        <xdr:cNvSpPr/>
      </xdr:nvSpPr>
      <xdr:spPr>
        <a:xfrm>
          <a:off x="3365500" y="67310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3378200</xdr:colOff>
      <xdr:row>40</xdr:row>
      <xdr:rowOff>38100</xdr:rowOff>
    </xdr:from>
    <xdr:to>
      <xdr:col>0</xdr:col>
      <xdr:colOff>4025900</xdr:colOff>
      <xdr:row>41</xdr:row>
      <xdr:rowOff>10160</xdr:rowOff>
    </xdr:to>
    <xdr:sp macro="" textlink="">
      <xdr:nvSpPr>
        <xdr:cNvPr id="629" name="name 628"/>
        <xdr:cNvSpPr/>
      </xdr:nvSpPr>
      <xdr:spPr>
        <a:xfrm>
          <a:off x="3378200" y="6743700"/>
          <a:ext cx="647700" cy="139700"/>
        </a:xfrm>
        <a:prstGeom prst="rect">
          <a:avLst/>
        </a:prstGeom>
        <a:solidFill>
          <a:srgbClr val="FF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66°Li/Arnaud</a:t>
          </a:r>
        </a:p>
      </xdr:txBody>
    </xdr:sp>
    <xdr:clientData/>
  </xdr:twoCellAnchor>
  <xdr:twoCellAnchor editAs="absolute">
    <xdr:from>
      <xdr:col>0</xdr:col>
      <xdr:colOff>3581400</xdr:colOff>
      <xdr:row>41</xdr:row>
      <xdr:rowOff>22860</xdr:rowOff>
    </xdr:from>
    <xdr:to>
      <xdr:col>0</xdr:col>
      <xdr:colOff>3949700</xdr:colOff>
      <xdr:row>43</xdr:row>
      <xdr:rowOff>106680</xdr:rowOff>
    </xdr:to>
    <xdr:pic>
      <xdr:nvPicPr>
        <xdr:cNvPr id="630" name="symbol 62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0" y="6896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3429000</xdr:colOff>
      <xdr:row>42</xdr:row>
      <xdr:rowOff>160020</xdr:rowOff>
    </xdr:from>
    <xdr:to>
      <xdr:col>0</xdr:col>
      <xdr:colOff>3594100</xdr:colOff>
      <xdr:row>44</xdr:row>
      <xdr:rowOff>15240</xdr:rowOff>
    </xdr:to>
    <xdr:sp macro="" textlink="">
      <xdr:nvSpPr>
        <xdr:cNvPr id="631" name="fleft 630"/>
        <xdr:cNvSpPr/>
      </xdr:nvSpPr>
      <xdr:spPr>
        <a:xfrm>
          <a:off x="3429000" y="7200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3733800</xdr:colOff>
      <xdr:row>42</xdr:row>
      <xdr:rowOff>160020</xdr:rowOff>
    </xdr:from>
    <xdr:to>
      <xdr:col>0</xdr:col>
      <xdr:colOff>3873500</xdr:colOff>
      <xdr:row>44</xdr:row>
      <xdr:rowOff>15240</xdr:rowOff>
    </xdr:to>
    <xdr:sp macro="" textlink="">
      <xdr:nvSpPr>
        <xdr:cNvPr id="632" name="fmiddle 631"/>
        <xdr:cNvSpPr/>
      </xdr:nvSpPr>
      <xdr:spPr>
        <a:xfrm>
          <a:off x="3733800" y="7200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3860800</xdr:colOff>
      <xdr:row>42</xdr:row>
      <xdr:rowOff>160020</xdr:rowOff>
    </xdr:from>
    <xdr:to>
      <xdr:col>0</xdr:col>
      <xdr:colOff>4025900</xdr:colOff>
      <xdr:row>44</xdr:row>
      <xdr:rowOff>15240</xdr:rowOff>
    </xdr:to>
    <xdr:sp macro="" textlink="">
      <xdr:nvSpPr>
        <xdr:cNvPr id="633" name="fright 632"/>
        <xdr:cNvSpPr/>
      </xdr:nvSpPr>
      <xdr:spPr>
        <a:xfrm>
          <a:off x="3860800" y="7200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3886200</xdr:colOff>
      <xdr:row>41</xdr:row>
      <xdr:rowOff>73660</xdr:rowOff>
    </xdr:from>
    <xdr:to>
      <xdr:col>0</xdr:col>
      <xdr:colOff>4025900</xdr:colOff>
      <xdr:row>42</xdr:row>
      <xdr:rowOff>71120</xdr:rowOff>
    </xdr:to>
    <xdr:sp macro="" textlink="">
      <xdr:nvSpPr>
        <xdr:cNvPr id="634" name="eng 633"/>
        <xdr:cNvSpPr/>
      </xdr:nvSpPr>
      <xdr:spPr>
        <a:xfrm>
          <a:off x="3886200" y="69469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4038600</xdr:colOff>
      <xdr:row>40</xdr:row>
      <xdr:rowOff>25400</xdr:rowOff>
    </xdr:from>
    <xdr:to>
      <xdr:col>0</xdr:col>
      <xdr:colOff>4711700</xdr:colOff>
      <xdr:row>44</xdr:row>
      <xdr:rowOff>27940</xdr:rowOff>
    </xdr:to>
    <xdr:sp macro="" textlink="">
      <xdr:nvSpPr>
        <xdr:cNvPr id="635" name="outline 634"/>
        <xdr:cNvSpPr/>
      </xdr:nvSpPr>
      <xdr:spPr>
        <a:xfrm>
          <a:off x="4038600" y="67310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4051300</xdr:colOff>
      <xdr:row>40</xdr:row>
      <xdr:rowOff>38100</xdr:rowOff>
    </xdr:from>
    <xdr:to>
      <xdr:col>0</xdr:col>
      <xdr:colOff>4699000</xdr:colOff>
      <xdr:row>41</xdr:row>
      <xdr:rowOff>10160</xdr:rowOff>
    </xdr:to>
    <xdr:sp macro="" textlink="">
      <xdr:nvSpPr>
        <xdr:cNvPr id="636" name="name 635"/>
        <xdr:cNvSpPr/>
      </xdr:nvSpPr>
      <xdr:spPr>
        <a:xfrm>
          <a:off x="4051300" y="6743700"/>
          <a:ext cx="647700" cy="139700"/>
        </a:xfrm>
        <a:prstGeom prst="rect">
          <a:avLst/>
        </a:prstGeom>
        <a:solidFill>
          <a:srgbClr val="FF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82°Li/Montfort</a:t>
          </a:r>
        </a:p>
      </xdr:txBody>
    </xdr:sp>
    <xdr:clientData/>
  </xdr:twoCellAnchor>
  <xdr:twoCellAnchor editAs="absolute">
    <xdr:from>
      <xdr:col>0</xdr:col>
      <xdr:colOff>4254500</xdr:colOff>
      <xdr:row>41</xdr:row>
      <xdr:rowOff>22860</xdr:rowOff>
    </xdr:from>
    <xdr:to>
      <xdr:col>0</xdr:col>
      <xdr:colOff>4622800</xdr:colOff>
      <xdr:row>43</xdr:row>
      <xdr:rowOff>106680</xdr:rowOff>
    </xdr:to>
    <xdr:pic>
      <xdr:nvPicPr>
        <xdr:cNvPr id="637" name="symbol 63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4500" y="6896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4102100</xdr:colOff>
      <xdr:row>42</xdr:row>
      <xdr:rowOff>160020</xdr:rowOff>
    </xdr:from>
    <xdr:to>
      <xdr:col>0</xdr:col>
      <xdr:colOff>4267200</xdr:colOff>
      <xdr:row>44</xdr:row>
      <xdr:rowOff>15240</xdr:rowOff>
    </xdr:to>
    <xdr:sp macro="" textlink="">
      <xdr:nvSpPr>
        <xdr:cNvPr id="638" name="fleft 637"/>
        <xdr:cNvSpPr/>
      </xdr:nvSpPr>
      <xdr:spPr>
        <a:xfrm>
          <a:off x="4102100" y="7200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4406900</xdr:colOff>
      <xdr:row>42</xdr:row>
      <xdr:rowOff>160020</xdr:rowOff>
    </xdr:from>
    <xdr:to>
      <xdr:col>0</xdr:col>
      <xdr:colOff>4546600</xdr:colOff>
      <xdr:row>44</xdr:row>
      <xdr:rowOff>15240</xdr:rowOff>
    </xdr:to>
    <xdr:sp macro="" textlink="">
      <xdr:nvSpPr>
        <xdr:cNvPr id="639" name="fmiddle 638"/>
        <xdr:cNvSpPr/>
      </xdr:nvSpPr>
      <xdr:spPr>
        <a:xfrm>
          <a:off x="4406900" y="7200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4533900</xdr:colOff>
      <xdr:row>42</xdr:row>
      <xdr:rowOff>160020</xdr:rowOff>
    </xdr:from>
    <xdr:to>
      <xdr:col>0</xdr:col>
      <xdr:colOff>4699000</xdr:colOff>
      <xdr:row>44</xdr:row>
      <xdr:rowOff>15240</xdr:rowOff>
    </xdr:to>
    <xdr:sp macro="" textlink="">
      <xdr:nvSpPr>
        <xdr:cNvPr id="640" name="fright 639"/>
        <xdr:cNvSpPr/>
      </xdr:nvSpPr>
      <xdr:spPr>
        <a:xfrm>
          <a:off x="4533900" y="7200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4559300</xdr:colOff>
      <xdr:row>41</xdr:row>
      <xdr:rowOff>73660</xdr:rowOff>
    </xdr:from>
    <xdr:to>
      <xdr:col>0</xdr:col>
      <xdr:colOff>4699000</xdr:colOff>
      <xdr:row>42</xdr:row>
      <xdr:rowOff>71120</xdr:rowOff>
    </xdr:to>
    <xdr:sp macro="" textlink="">
      <xdr:nvSpPr>
        <xdr:cNvPr id="641" name="eng 640"/>
        <xdr:cNvSpPr/>
      </xdr:nvSpPr>
      <xdr:spPr>
        <a:xfrm>
          <a:off x="4559300" y="69469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4711700</xdr:colOff>
      <xdr:row>40</xdr:row>
      <xdr:rowOff>25400</xdr:rowOff>
    </xdr:from>
    <xdr:to>
      <xdr:col>0</xdr:col>
      <xdr:colOff>5384800</xdr:colOff>
      <xdr:row>44</xdr:row>
      <xdr:rowOff>27940</xdr:rowOff>
    </xdr:to>
    <xdr:sp macro="" textlink="">
      <xdr:nvSpPr>
        <xdr:cNvPr id="642" name="outline 641"/>
        <xdr:cNvSpPr/>
      </xdr:nvSpPr>
      <xdr:spPr>
        <a:xfrm>
          <a:off x="4711700" y="67310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4724400</xdr:colOff>
      <xdr:row>40</xdr:row>
      <xdr:rowOff>38100</xdr:rowOff>
    </xdr:from>
    <xdr:to>
      <xdr:col>0</xdr:col>
      <xdr:colOff>5372100</xdr:colOff>
      <xdr:row>41</xdr:row>
      <xdr:rowOff>10160</xdr:rowOff>
    </xdr:to>
    <xdr:sp macro="" textlink="">
      <xdr:nvSpPr>
        <xdr:cNvPr id="643" name="name 642"/>
        <xdr:cNvSpPr/>
      </xdr:nvSpPr>
      <xdr:spPr>
        <a:xfrm>
          <a:off x="4724400" y="6743700"/>
          <a:ext cx="647700" cy="139700"/>
        </a:xfrm>
        <a:prstGeom prst="rect">
          <a:avLst/>
        </a:prstGeom>
        <a:solidFill>
          <a:srgbClr val="FF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86°Li/Montfort</a:t>
          </a:r>
        </a:p>
      </xdr:txBody>
    </xdr:sp>
    <xdr:clientData/>
  </xdr:twoCellAnchor>
  <xdr:twoCellAnchor editAs="absolute">
    <xdr:from>
      <xdr:col>0</xdr:col>
      <xdr:colOff>4927600</xdr:colOff>
      <xdr:row>41</xdr:row>
      <xdr:rowOff>22860</xdr:rowOff>
    </xdr:from>
    <xdr:to>
      <xdr:col>0</xdr:col>
      <xdr:colOff>5295900</xdr:colOff>
      <xdr:row>43</xdr:row>
      <xdr:rowOff>106680</xdr:rowOff>
    </xdr:to>
    <xdr:pic>
      <xdr:nvPicPr>
        <xdr:cNvPr id="644" name="symbol 64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7600" y="6896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4775200</xdr:colOff>
      <xdr:row>42</xdr:row>
      <xdr:rowOff>160020</xdr:rowOff>
    </xdr:from>
    <xdr:to>
      <xdr:col>0</xdr:col>
      <xdr:colOff>4940300</xdr:colOff>
      <xdr:row>44</xdr:row>
      <xdr:rowOff>15240</xdr:rowOff>
    </xdr:to>
    <xdr:sp macro="" textlink="">
      <xdr:nvSpPr>
        <xdr:cNvPr id="645" name="fleft 644"/>
        <xdr:cNvSpPr/>
      </xdr:nvSpPr>
      <xdr:spPr>
        <a:xfrm>
          <a:off x="4775200" y="7200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5080000</xdr:colOff>
      <xdr:row>42</xdr:row>
      <xdr:rowOff>160020</xdr:rowOff>
    </xdr:from>
    <xdr:to>
      <xdr:col>0</xdr:col>
      <xdr:colOff>5219700</xdr:colOff>
      <xdr:row>44</xdr:row>
      <xdr:rowOff>15240</xdr:rowOff>
    </xdr:to>
    <xdr:sp macro="" textlink="">
      <xdr:nvSpPr>
        <xdr:cNvPr id="646" name="fmiddle 645"/>
        <xdr:cNvSpPr/>
      </xdr:nvSpPr>
      <xdr:spPr>
        <a:xfrm>
          <a:off x="5080000" y="7200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5207000</xdr:colOff>
      <xdr:row>42</xdr:row>
      <xdr:rowOff>160020</xdr:rowOff>
    </xdr:from>
    <xdr:to>
      <xdr:col>0</xdr:col>
      <xdr:colOff>5372100</xdr:colOff>
      <xdr:row>44</xdr:row>
      <xdr:rowOff>15240</xdr:rowOff>
    </xdr:to>
    <xdr:sp macro="" textlink="">
      <xdr:nvSpPr>
        <xdr:cNvPr id="647" name="fright 646"/>
        <xdr:cNvSpPr/>
      </xdr:nvSpPr>
      <xdr:spPr>
        <a:xfrm>
          <a:off x="5207000" y="7200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5232400</xdr:colOff>
      <xdr:row>41</xdr:row>
      <xdr:rowOff>73660</xdr:rowOff>
    </xdr:from>
    <xdr:to>
      <xdr:col>0</xdr:col>
      <xdr:colOff>5372100</xdr:colOff>
      <xdr:row>42</xdr:row>
      <xdr:rowOff>71120</xdr:rowOff>
    </xdr:to>
    <xdr:sp macro="" textlink="">
      <xdr:nvSpPr>
        <xdr:cNvPr id="648" name="eng 647"/>
        <xdr:cNvSpPr/>
      </xdr:nvSpPr>
      <xdr:spPr>
        <a:xfrm>
          <a:off x="5232400" y="69469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5384800</xdr:colOff>
      <xdr:row>40</xdr:row>
      <xdr:rowOff>25400</xdr:rowOff>
    </xdr:from>
    <xdr:to>
      <xdr:col>0</xdr:col>
      <xdr:colOff>6057900</xdr:colOff>
      <xdr:row>44</xdr:row>
      <xdr:rowOff>27940</xdr:rowOff>
    </xdr:to>
    <xdr:sp macro="" textlink="">
      <xdr:nvSpPr>
        <xdr:cNvPr id="649" name="outline 648"/>
        <xdr:cNvSpPr/>
      </xdr:nvSpPr>
      <xdr:spPr>
        <a:xfrm>
          <a:off x="5384800" y="67310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5600700</xdr:colOff>
      <xdr:row>40</xdr:row>
      <xdr:rowOff>38100</xdr:rowOff>
    </xdr:from>
    <xdr:to>
      <xdr:col>0</xdr:col>
      <xdr:colOff>6045200</xdr:colOff>
      <xdr:row>41</xdr:row>
      <xdr:rowOff>10160</xdr:rowOff>
    </xdr:to>
    <xdr:sp macro="" textlink="">
      <xdr:nvSpPr>
        <xdr:cNvPr id="650" name="name 649"/>
        <xdr:cNvSpPr/>
      </xdr:nvSpPr>
      <xdr:spPr>
        <a:xfrm>
          <a:off x="5600700" y="6743700"/>
          <a:ext cx="444500" cy="139700"/>
        </a:xfrm>
        <a:prstGeom prst="rect">
          <a:avLst/>
        </a:prstGeom>
        <a:solidFill>
          <a:srgbClr val="FF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Maucune</a:t>
          </a:r>
        </a:p>
      </xdr:txBody>
    </xdr:sp>
    <xdr:clientData/>
  </xdr:twoCellAnchor>
  <xdr:twoCellAnchor editAs="absolute">
    <xdr:from>
      <xdr:col>0</xdr:col>
      <xdr:colOff>5473700</xdr:colOff>
      <xdr:row>41</xdr:row>
      <xdr:rowOff>48260</xdr:rowOff>
    </xdr:from>
    <xdr:to>
      <xdr:col>0</xdr:col>
      <xdr:colOff>5969000</xdr:colOff>
      <xdr:row>43</xdr:row>
      <xdr:rowOff>5080</xdr:rowOff>
    </xdr:to>
    <xdr:pic>
      <xdr:nvPicPr>
        <xdr:cNvPr id="651" name="symbol 650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3700" y="69215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5448300</xdr:colOff>
      <xdr:row>42</xdr:row>
      <xdr:rowOff>160020</xdr:rowOff>
    </xdr:from>
    <xdr:to>
      <xdr:col>0</xdr:col>
      <xdr:colOff>5638800</xdr:colOff>
      <xdr:row>43</xdr:row>
      <xdr:rowOff>157480</xdr:rowOff>
    </xdr:to>
    <xdr:sp macro="" textlink="">
      <xdr:nvSpPr>
        <xdr:cNvPr id="652" name="fleft 651"/>
        <xdr:cNvSpPr/>
      </xdr:nvSpPr>
      <xdr:spPr>
        <a:xfrm>
          <a:off x="5448300" y="72009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5676900</xdr:colOff>
      <xdr:row>42</xdr:row>
      <xdr:rowOff>160020</xdr:rowOff>
    </xdr:from>
    <xdr:to>
      <xdr:col>0</xdr:col>
      <xdr:colOff>5816600</xdr:colOff>
      <xdr:row>44</xdr:row>
      <xdr:rowOff>15240</xdr:rowOff>
    </xdr:to>
    <xdr:sp macro="" textlink="">
      <xdr:nvSpPr>
        <xdr:cNvPr id="653" name="fmiddle 652"/>
        <xdr:cNvSpPr/>
      </xdr:nvSpPr>
      <xdr:spPr>
        <a:xfrm>
          <a:off x="5676900" y="7200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5854700</xdr:colOff>
      <xdr:row>42</xdr:row>
      <xdr:rowOff>160020</xdr:rowOff>
    </xdr:from>
    <xdr:to>
      <xdr:col>0</xdr:col>
      <xdr:colOff>6019800</xdr:colOff>
      <xdr:row>44</xdr:row>
      <xdr:rowOff>15240</xdr:rowOff>
    </xdr:to>
    <xdr:sp macro="" textlink="">
      <xdr:nvSpPr>
        <xdr:cNvPr id="654" name="fright 653"/>
        <xdr:cNvSpPr/>
      </xdr:nvSpPr>
      <xdr:spPr>
        <a:xfrm>
          <a:off x="5854700" y="7200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5397500</xdr:colOff>
      <xdr:row>40</xdr:row>
      <xdr:rowOff>38100</xdr:rowOff>
    </xdr:from>
    <xdr:to>
      <xdr:col>0</xdr:col>
      <xdr:colOff>5588000</xdr:colOff>
      <xdr:row>40</xdr:row>
      <xdr:rowOff>152400</xdr:rowOff>
    </xdr:to>
    <xdr:sp macro="" textlink="">
      <xdr:nvSpPr>
        <xdr:cNvPr id="655" name="eng 654"/>
        <xdr:cNvSpPr/>
      </xdr:nvSpPr>
      <xdr:spPr>
        <a:xfrm>
          <a:off x="5397500" y="67437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2-3</a:t>
          </a:r>
        </a:p>
      </xdr:txBody>
    </xdr:sp>
    <xdr:clientData/>
  </xdr:twoCellAnchor>
  <xdr:twoCellAnchor editAs="absolute">
    <xdr:from>
      <xdr:col>0</xdr:col>
      <xdr:colOff>6057900</xdr:colOff>
      <xdr:row>40</xdr:row>
      <xdr:rowOff>25400</xdr:rowOff>
    </xdr:from>
    <xdr:to>
      <xdr:col>0</xdr:col>
      <xdr:colOff>6731000</xdr:colOff>
      <xdr:row>44</xdr:row>
      <xdr:rowOff>27940</xdr:rowOff>
    </xdr:to>
    <xdr:sp macro="" textlink="">
      <xdr:nvSpPr>
        <xdr:cNvPr id="656" name="outline 655"/>
        <xdr:cNvSpPr/>
      </xdr:nvSpPr>
      <xdr:spPr>
        <a:xfrm>
          <a:off x="6057900" y="67310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6223000</xdr:colOff>
      <xdr:row>40</xdr:row>
      <xdr:rowOff>63500</xdr:rowOff>
    </xdr:from>
    <xdr:to>
      <xdr:col>0</xdr:col>
      <xdr:colOff>6718300</xdr:colOff>
      <xdr:row>42</xdr:row>
      <xdr:rowOff>147320</xdr:rowOff>
    </xdr:to>
    <xdr:sp macro="" textlink="">
      <xdr:nvSpPr>
        <xdr:cNvPr id="657" name="flag 656"/>
        <xdr:cNvSpPr/>
      </xdr:nvSpPr>
      <xdr:spPr>
        <a:xfrm>
          <a:off x="6223000" y="67691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6</a:t>
          </a:r>
        </a:p>
      </xdr:txBody>
    </xdr:sp>
    <xdr:clientData/>
  </xdr:twoCellAnchor>
  <xdr:twoCellAnchor editAs="absolute">
    <xdr:from>
      <xdr:col>0</xdr:col>
      <xdr:colOff>6070600</xdr:colOff>
      <xdr:row>40</xdr:row>
      <xdr:rowOff>38100</xdr:rowOff>
    </xdr:from>
    <xdr:to>
      <xdr:col>0</xdr:col>
      <xdr:colOff>6210300</xdr:colOff>
      <xdr:row>43</xdr:row>
      <xdr:rowOff>5080</xdr:rowOff>
    </xdr:to>
    <xdr:sp macro="" textlink="">
      <xdr:nvSpPr>
        <xdr:cNvPr id="658" name="name 657"/>
        <xdr:cNvSpPr/>
      </xdr:nvSpPr>
      <xdr:spPr>
        <a:xfrm>
          <a:off x="6070600" y="6743700"/>
          <a:ext cx="139700" cy="469900"/>
        </a:xfrm>
        <a:prstGeom prst="rect">
          <a:avLst/>
        </a:prstGeom>
        <a:solidFill>
          <a:srgbClr val="FFC0C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Taupin</a:t>
          </a:r>
        </a:p>
      </xdr:txBody>
    </xdr:sp>
    <xdr:clientData/>
  </xdr:twoCellAnchor>
  <xdr:twoCellAnchor editAs="absolute">
    <xdr:from>
      <xdr:col>0</xdr:col>
      <xdr:colOff>6146800</xdr:colOff>
      <xdr:row>42</xdr:row>
      <xdr:rowOff>160020</xdr:rowOff>
    </xdr:from>
    <xdr:to>
      <xdr:col>0</xdr:col>
      <xdr:colOff>6286500</xdr:colOff>
      <xdr:row>44</xdr:row>
      <xdr:rowOff>15240</xdr:rowOff>
    </xdr:to>
    <xdr:sp macro="" textlink="">
      <xdr:nvSpPr>
        <xdr:cNvPr id="659" name="left 658"/>
        <xdr:cNvSpPr/>
      </xdr:nvSpPr>
      <xdr:spPr>
        <a:xfrm>
          <a:off x="6146800" y="7200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6553200</xdr:colOff>
      <xdr:row>42</xdr:row>
      <xdr:rowOff>160020</xdr:rowOff>
    </xdr:from>
    <xdr:to>
      <xdr:col>0</xdr:col>
      <xdr:colOff>6692900</xdr:colOff>
      <xdr:row>44</xdr:row>
      <xdr:rowOff>15240</xdr:rowOff>
    </xdr:to>
    <xdr:sp macro="" textlink="">
      <xdr:nvSpPr>
        <xdr:cNvPr id="660" name="right 659"/>
        <xdr:cNvSpPr/>
      </xdr:nvSpPr>
      <xdr:spPr>
        <a:xfrm>
          <a:off x="6553200" y="7200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0</xdr:colOff>
      <xdr:row>44</xdr:row>
      <xdr:rowOff>27940</xdr:rowOff>
    </xdr:from>
    <xdr:to>
      <xdr:col>0</xdr:col>
      <xdr:colOff>673100</xdr:colOff>
      <xdr:row>48</xdr:row>
      <xdr:rowOff>30480</xdr:rowOff>
    </xdr:to>
    <xdr:sp macro="" textlink="">
      <xdr:nvSpPr>
        <xdr:cNvPr id="661" name="outline 660"/>
        <xdr:cNvSpPr/>
      </xdr:nvSpPr>
      <xdr:spPr>
        <a:xfrm>
          <a:off x="0" y="74041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165100</xdr:colOff>
      <xdr:row>44</xdr:row>
      <xdr:rowOff>66040</xdr:rowOff>
    </xdr:from>
    <xdr:to>
      <xdr:col>0</xdr:col>
      <xdr:colOff>660400</xdr:colOff>
      <xdr:row>46</xdr:row>
      <xdr:rowOff>149860</xdr:rowOff>
    </xdr:to>
    <xdr:sp macro="" textlink="">
      <xdr:nvSpPr>
        <xdr:cNvPr id="662" name="flag 661"/>
        <xdr:cNvSpPr/>
      </xdr:nvSpPr>
      <xdr:spPr>
        <a:xfrm>
          <a:off x="165100" y="74422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6</a:t>
          </a:r>
        </a:p>
      </xdr:txBody>
    </xdr:sp>
    <xdr:clientData/>
  </xdr:twoCellAnchor>
  <xdr:twoCellAnchor editAs="absolute">
    <xdr:from>
      <xdr:col>0</xdr:col>
      <xdr:colOff>12700</xdr:colOff>
      <xdr:row>44</xdr:row>
      <xdr:rowOff>40640</xdr:rowOff>
    </xdr:from>
    <xdr:to>
      <xdr:col>0</xdr:col>
      <xdr:colOff>152400</xdr:colOff>
      <xdr:row>47</xdr:row>
      <xdr:rowOff>7620</xdr:rowOff>
    </xdr:to>
    <xdr:sp macro="" textlink="">
      <xdr:nvSpPr>
        <xdr:cNvPr id="663" name="name 662"/>
        <xdr:cNvSpPr/>
      </xdr:nvSpPr>
      <xdr:spPr>
        <a:xfrm>
          <a:off x="12700" y="7416800"/>
          <a:ext cx="139700" cy="469900"/>
        </a:xfrm>
        <a:prstGeom prst="rect">
          <a:avLst/>
        </a:prstGeom>
        <a:solidFill>
          <a:srgbClr val="FFC0C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Taupin</a:t>
          </a:r>
        </a:p>
      </xdr:txBody>
    </xdr:sp>
    <xdr:clientData/>
  </xdr:twoCellAnchor>
  <xdr:twoCellAnchor editAs="absolute">
    <xdr:from>
      <xdr:col>0</xdr:col>
      <xdr:colOff>88900</xdr:colOff>
      <xdr:row>46</xdr:row>
      <xdr:rowOff>162560</xdr:rowOff>
    </xdr:from>
    <xdr:to>
      <xdr:col>0</xdr:col>
      <xdr:colOff>228600</xdr:colOff>
      <xdr:row>48</xdr:row>
      <xdr:rowOff>17780</xdr:rowOff>
    </xdr:to>
    <xdr:sp macro="" textlink="">
      <xdr:nvSpPr>
        <xdr:cNvPr id="664" name="left 663"/>
        <xdr:cNvSpPr/>
      </xdr:nvSpPr>
      <xdr:spPr>
        <a:xfrm>
          <a:off x="88900" y="78740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495300</xdr:colOff>
      <xdr:row>46</xdr:row>
      <xdr:rowOff>162560</xdr:rowOff>
    </xdr:from>
    <xdr:to>
      <xdr:col>0</xdr:col>
      <xdr:colOff>635000</xdr:colOff>
      <xdr:row>48</xdr:row>
      <xdr:rowOff>17780</xdr:rowOff>
    </xdr:to>
    <xdr:sp macro="" textlink="">
      <xdr:nvSpPr>
        <xdr:cNvPr id="665" name="right 664"/>
        <xdr:cNvSpPr/>
      </xdr:nvSpPr>
      <xdr:spPr>
        <a:xfrm>
          <a:off x="495300" y="78740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673100</xdr:colOff>
      <xdr:row>44</xdr:row>
      <xdr:rowOff>27940</xdr:rowOff>
    </xdr:from>
    <xdr:to>
      <xdr:col>0</xdr:col>
      <xdr:colOff>1346200</xdr:colOff>
      <xdr:row>48</xdr:row>
      <xdr:rowOff>30480</xdr:rowOff>
    </xdr:to>
    <xdr:sp macro="" textlink="">
      <xdr:nvSpPr>
        <xdr:cNvPr id="666" name="outline 665"/>
        <xdr:cNvSpPr/>
      </xdr:nvSpPr>
      <xdr:spPr>
        <a:xfrm>
          <a:off x="673100" y="74041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685800</xdr:colOff>
      <xdr:row>44</xdr:row>
      <xdr:rowOff>40640</xdr:rowOff>
    </xdr:from>
    <xdr:to>
      <xdr:col>0</xdr:col>
      <xdr:colOff>1333500</xdr:colOff>
      <xdr:row>45</xdr:row>
      <xdr:rowOff>12700</xdr:rowOff>
    </xdr:to>
    <xdr:sp macro="" textlink="">
      <xdr:nvSpPr>
        <xdr:cNvPr id="667" name="name 666"/>
        <xdr:cNvSpPr/>
      </xdr:nvSpPr>
      <xdr:spPr>
        <a:xfrm>
          <a:off x="685800" y="7416800"/>
          <a:ext cx="647700" cy="139700"/>
        </a:xfrm>
        <a:prstGeom prst="rect">
          <a:avLst/>
        </a:prstGeom>
        <a:solidFill>
          <a:srgbClr val="FFC0C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17°Lg/Taupin</a:t>
          </a:r>
        </a:p>
      </xdr:txBody>
    </xdr:sp>
    <xdr:clientData/>
  </xdr:twoCellAnchor>
  <xdr:twoCellAnchor editAs="absolute">
    <xdr:from>
      <xdr:col>0</xdr:col>
      <xdr:colOff>889000</xdr:colOff>
      <xdr:row>45</xdr:row>
      <xdr:rowOff>25400</xdr:rowOff>
    </xdr:from>
    <xdr:to>
      <xdr:col>0</xdr:col>
      <xdr:colOff>1257300</xdr:colOff>
      <xdr:row>47</xdr:row>
      <xdr:rowOff>109220</xdr:rowOff>
    </xdr:to>
    <xdr:pic>
      <xdr:nvPicPr>
        <xdr:cNvPr id="668" name="symbol 66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000" y="7569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736600</xdr:colOff>
      <xdr:row>46</xdr:row>
      <xdr:rowOff>162560</xdr:rowOff>
    </xdr:from>
    <xdr:to>
      <xdr:col>0</xdr:col>
      <xdr:colOff>901700</xdr:colOff>
      <xdr:row>48</xdr:row>
      <xdr:rowOff>17780</xdr:rowOff>
    </xdr:to>
    <xdr:sp macro="" textlink="">
      <xdr:nvSpPr>
        <xdr:cNvPr id="669" name="fleft 668"/>
        <xdr:cNvSpPr/>
      </xdr:nvSpPr>
      <xdr:spPr>
        <a:xfrm>
          <a:off x="736600" y="7874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1041400</xdr:colOff>
      <xdr:row>46</xdr:row>
      <xdr:rowOff>162560</xdr:rowOff>
    </xdr:from>
    <xdr:to>
      <xdr:col>0</xdr:col>
      <xdr:colOff>1181100</xdr:colOff>
      <xdr:row>48</xdr:row>
      <xdr:rowOff>17780</xdr:rowOff>
    </xdr:to>
    <xdr:sp macro="" textlink="">
      <xdr:nvSpPr>
        <xdr:cNvPr id="670" name="fmiddle 669"/>
        <xdr:cNvSpPr/>
      </xdr:nvSpPr>
      <xdr:spPr>
        <a:xfrm>
          <a:off x="1041400" y="7874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1168400</xdr:colOff>
      <xdr:row>46</xdr:row>
      <xdr:rowOff>162560</xdr:rowOff>
    </xdr:from>
    <xdr:to>
      <xdr:col>0</xdr:col>
      <xdr:colOff>1333500</xdr:colOff>
      <xdr:row>48</xdr:row>
      <xdr:rowOff>17780</xdr:rowOff>
    </xdr:to>
    <xdr:sp macro="" textlink="">
      <xdr:nvSpPr>
        <xdr:cNvPr id="671" name="fright 670"/>
        <xdr:cNvSpPr/>
      </xdr:nvSpPr>
      <xdr:spPr>
        <a:xfrm>
          <a:off x="1168400" y="7874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1193800</xdr:colOff>
      <xdr:row>45</xdr:row>
      <xdr:rowOff>76200</xdr:rowOff>
    </xdr:from>
    <xdr:to>
      <xdr:col>0</xdr:col>
      <xdr:colOff>1333500</xdr:colOff>
      <xdr:row>46</xdr:row>
      <xdr:rowOff>73660</xdr:rowOff>
    </xdr:to>
    <xdr:sp macro="" textlink="">
      <xdr:nvSpPr>
        <xdr:cNvPr id="672" name="eng 671"/>
        <xdr:cNvSpPr/>
      </xdr:nvSpPr>
      <xdr:spPr>
        <a:xfrm>
          <a:off x="1193800" y="7620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1346200</xdr:colOff>
      <xdr:row>44</xdr:row>
      <xdr:rowOff>27940</xdr:rowOff>
    </xdr:from>
    <xdr:to>
      <xdr:col>0</xdr:col>
      <xdr:colOff>2019300</xdr:colOff>
      <xdr:row>48</xdr:row>
      <xdr:rowOff>30480</xdr:rowOff>
    </xdr:to>
    <xdr:sp macro="" textlink="">
      <xdr:nvSpPr>
        <xdr:cNvPr id="673" name="outline 672"/>
        <xdr:cNvSpPr/>
      </xdr:nvSpPr>
      <xdr:spPr>
        <a:xfrm>
          <a:off x="1346200" y="74041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1358900</xdr:colOff>
      <xdr:row>44</xdr:row>
      <xdr:rowOff>40640</xdr:rowOff>
    </xdr:from>
    <xdr:to>
      <xdr:col>0</xdr:col>
      <xdr:colOff>2006600</xdr:colOff>
      <xdr:row>45</xdr:row>
      <xdr:rowOff>12700</xdr:rowOff>
    </xdr:to>
    <xdr:sp macro="" textlink="">
      <xdr:nvSpPr>
        <xdr:cNvPr id="674" name="name 673"/>
        <xdr:cNvSpPr/>
      </xdr:nvSpPr>
      <xdr:spPr>
        <a:xfrm>
          <a:off x="1358900" y="7416800"/>
          <a:ext cx="647700" cy="139700"/>
        </a:xfrm>
        <a:prstGeom prst="rect">
          <a:avLst/>
        </a:prstGeom>
        <a:solidFill>
          <a:srgbClr val="FFC0C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65°Li/Taupin</a:t>
          </a:r>
        </a:p>
      </xdr:txBody>
    </xdr:sp>
    <xdr:clientData/>
  </xdr:twoCellAnchor>
  <xdr:twoCellAnchor editAs="absolute">
    <xdr:from>
      <xdr:col>0</xdr:col>
      <xdr:colOff>1562100</xdr:colOff>
      <xdr:row>45</xdr:row>
      <xdr:rowOff>25400</xdr:rowOff>
    </xdr:from>
    <xdr:to>
      <xdr:col>0</xdr:col>
      <xdr:colOff>1930400</xdr:colOff>
      <xdr:row>47</xdr:row>
      <xdr:rowOff>109220</xdr:rowOff>
    </xdr:to>
    <xdr:pic>
      <xdr:nvPicPr>
        <xdr:cNvPr id="675" name="symbol 67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0" y="7569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1409700</xdr:colOff>
      <xdr:row>46</xdr:row>
      <xdr:rowOff>162560</xdr:rowOff>
    </xdr:from>
    <xdr:to>
      <xdr:col>0</xdr:col>
      <xdr:colOff>1574800</xdr:colOff>
      <xdr:row>48</xdr:row>
      <xdr:rowOff>17780</xdr:rowOff>
    </xdr:to>
    <xdr:sp macro="" textlink="">
      <xdr:nvSpPr>
        <xdr:cNvPr id="676" name="fleft 675"/>
        <xdr:cNvSpPr/>
      </xdr:nvSpPr>
      <xdr:spPr>
        <a:xfrm>
          <a:off x="1409700" y="7874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1714500</xdr:colOff>
      <xdr:row>46</xdr:row>
      <xdr:rowOff>162560</xdr:rowOff>
    </xdr:from>
    <xdr:to>
      <xdr:col>0</xdr:col>
      <xdr:colOff>1854200</xdr:colOff>
      <xdr:row>48</xdr:row>
      <xdr:rowOff>17780</xdr:rowOff>
    </xdr:to>
    <xdr:sp macro="" textlink="">
      <xdr:nvSpPr>
        <xdr:cNvPr id="677" name="fmiddle 676"/>
        <xdr:cNvSpPr/>
      </xdr:nvSpPr>
      <xdr:spPr>
        <a:xfrm>
          <a:off x="1714500" y="7874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1841500</xdr:colOff>
      <xdr:row>46</xdr:row>
      <xdr:rowOff>162560</xdr:rowOff>
    </xdr:from>
    <xdr:to>
      <xdr:col>0</xdr:col>
      <xdr:colOff>2006600</xdr:colOff>
      <xdr:row>48</xdr:row>
      <xdr:rowOff>17780</xdr:rowOff>
    </xdr:to>
    <xdr:sp macro="" textlink="">
      <xdr:nvSpPr>
        <xdr:cNvPr id="678" name="fright 677"/>
        <xdr:cNvSpPr/>
      </xdr:nvSpPr>
      <xdr:spPr>
        <a:xfrm>
          <a:off x="1841500" y="7874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1866900</xdr:colOff>
      <xdr:row>45</xdr:row>
      <xdr:rowOff>76200</xdr:rowOff>
    </xdr:from>
    <xdr:to>
      <xdr:col>0</xdr:col>
      <xdr:colOff>2006600</xdr:colOff>
      <xdr:row>46</xdr:row>
      <xdr:rowOff>73660</xdr:rowOff>
    </xdr:to>
    <xdr:sp macro="" textlink="">
      <xdr:nvSpPr>
        <xdr:cNvPr id="679" name="eng 678"/>
        <xdr:cNvSpPr/>
      </xdr:nvSpPr>
      <xdr:spPr>
        <a:xfrm>
          <a:off x="1866900" y="7620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2019300</xdr:colOff>
      <xdr:row>44</xdr:row>
      <xdr:rowOff>27940</xdr:rowOff>
    </xdr:from>
    <xdr:to>
      <xdr:col>0</xdr:col>
      <xdr:colOff>2692400</xdr:colOff>
      <xdr:row>48</xdr:row>
      <xdr:rowOff>30480</xdr:rowOff>
    </xdr:to>
    <xdr:sp macro="" textlink="">
      <xdr:nvSpPr>
        <xdr:cNvPr id="680" name="outline 679"/>
        <xdr:cNvSpPr/>
      </xdr:nvSpPr>
      <xdr:spPr>
        <a:xfrm>
          <a:off x="2019300" y="74041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2032000</xdr:colOff>
      <xdr:row>44</xdr:row>
      <xdr:rowOff>40640</xdr:rowOff>
    </xdr:from>
    <xdr:to>
      <xdr:col>0</xdr:col>
      <xdr:colOff>2679700</xdr:colOff>
      <xdr:row>45</xdr:row>
      <xdr:rowOff>12700</xdr:rowOff>
    </xdr:to>
    <xdr:sp macro="" textlink="">
      <xdr:nvSpPr>
        <xdr:cNvPr id="681" name="name 680"/>
        <xdr:cNvSpPr/>
      </xdr:nvSpPr>
      <xdr:spPr>
        <a:xfrm>
          <a:off x="2032000" y="7416800"/>
          <a:ext cx="647700" cy="139700"/>
        </a:xfrm>
        <a:prstGeom prst="rect">
          <a:avLst/>
        </a:prstGeom>
        <a:solidFill>
          <a:srgbClr val="FFC0C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22°Li/2nd Bgde</a:t>
          </a:r>
        </a:p>
      </xdr:txBody>
    </xdr:sp>
    <xdr:clientData/>
  </xdr:twoCellAnchor>
  <xdr:twoCellAnchor editAs="absolute">
    <xdr:from>
      <xdr:col>0</xdr:col>
      <xdr:colOff>2235200</xdr:colOff>
      <xdr:row>45</xdr:row>
      <xdr:rowOff>25400</xdr:rowOff>
    </xdr:from>
    <xdr:to>
      <xdr:col>0</xdr:col>
      <xdr:colOff>2603500</xdr:colOff>
      <xdr:row>47</xdr:row>
      <xdr:rowOff>109220</xdr:rowOff>
    </xdr:to>
    <xdr:pic>
      <xdr:nvPicPr>
        <xdr:cNvPr id="682" name="symbol 68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7569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2082800</xdr:colOff>
      <xdr:row>46</xdr:row>
      <xdr:rowOff>162560</xdr:rowOff>
    </xdr:from>
    <xdr:to>
      <xdr:col>0</xdr:col>
      <xdr:colOff>2247900</xdr:colOff>
      <xdr:row>48</xdr:row>
      <xdr:rowOff>17780</xdr:rowOff>
    </xdr:to>
    <xdr:sp macro="" textlink="">
      <xdr:nvSpPr>
        <xdr:cNvPr id="683" name="fleft 682"/>
        <xdr:cNvSpPr/>
      </xdr:nvSpPr>
      <xdr:spPr>
        <a:xfrm>
          <a:off x="2082800" y="7874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2387600</xdr:colOff>
      <xdr:row>46</xdr:row>
      <xdr:rowOff>162560</xdr:rowOff>
    </xdr:from>
    <xdr:to>
      <xdr:col>0</xdr:col>
      <xdr:colOff>2527300</xdr:colOff>
      <xdr:row>48</xdr:row>
      <xdr:rowOff>17780</xdr:rowOff>
    </xdr:to>
    <xdr:sp macro="" textlink="">
      <xdr:nvSpPr>
        <xdr:cNvPr id="684" name="fmiddle 683"/>
        <xdr:cNvSpPr/>
      </xdr:nvSpPr>
      <xdr:spPr>
        <a:xfrm>
          <a:off x="2387600" y="7874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2514600</xdr:colOff>
      <xdr:row>46</xdr:row>
      <xdr:rowOff>162560</xdr:rowOff>
    </xdr:from>
    <xdr:to>
      <xdr:col>0</xdr:col>
      <xdr:colOff>2679700</xdr:colOff>
      <xdr:row>48</xdr:row>
      <xdr:rowOff>17780</xdr:rowOff>
    </xdr:to>
    <xdr:sp macro="" textlink="">
      <xdr:nvSpPr>
        <xdr:cNvPr id="685" name="fright 684"/>
        <xdr:cNvSpPr/>
      </xdr:nvSpPr>
      <xdr:spPr>
        <a:xfrm>
          <a:off x="2514600" y="7874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2540000</xdr:colOff>
      <xdr:row>45</xdr:row>
      <xdr:rowOff>76200</xdr:rowOff>
    </xdr:from>
    <xdr:to>
      <xdr:col>0</xdr:col>
      <xdr:colOff>2679700</xdr:colOff>
      <xdr:row>46</xdr:row>
      <xdr:rowOff>73660</xdr:rowOff>
    </xdr:to>
    <xdr:sp macro="" textlink="">
      <xdr:nvSpPr>
        <xdr:cNvPr id="686" name="eng 685"/>
        <xdr:cNvSpPr/>
      </xdr:nvSpPr>
      <xdr:spPr>
        <a:xfrm>
          <a:off x="2540000" y="7620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2692400</xdr:colOff>
      <xdr:row>44</xdr:row>
      <xdr:rowOff>27940</xdr:rowOff>
    </xdr:from>
    <xdr:to>
      <xdr:col>0</xdr:col>
      <xdr:colOff>3365500</xdr:colOff>
      <xdr:row>48</xdr:row>
      <xdr:rowOff>30480</xdr:rowOff>
    </xdr:to>
    <xdr:sp macro="" textlink="">
      <xdr:nvSpPr>
        <xdr:cNvPr id="687" name="outline 686"/>
        <xdr:cNvSpPr/>
      </xdr:nvSpPr>
      <xdr:spPr>
        <a:xfrm>
          <a:off x="2692400" y="74041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2908300</xdr:colOff>
      <xdr:row>44</xdr:row>
      <xdr:rowOff>40640</xdr:rowOff>
    </xdr:from>
    <xdr:to>
      <xdr:col>0</xdr:col>
      <xdr:colOff>3352800</xdr:colOff>
      <xdr:row>45</xdr:row>
      <xdr:rowOff>12700</xdr:rowOff>
    </xdr:to>
    <xdr:sp macro="" textlink="">
      <xdr:nvSpPr>
        <xdr:cNvPr id="688" name="name 687"/>
        <xdr:cNvSpPr/>
      </xdr:nvSpPr>
      <xdr:spPr>
        <a:xfrm>
          <a:off x="2908300" y="7416800"/>
          <a:ext cx="444500" cy="139700"/>
        </a:xfrm>
        <a:prstGeom prst="rect">
          <a:avLst/>
        </a:prstGeom>
        <a:solidFill>
          <a:srgbClr val="FFC0C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000000"/>
              </a:solidFill>
              <a:latin typeface="arial narrow"/>
            </a:rPr>
            <a:t>Brennier</a:t>
          </a:r>
        </a:p>
      </xdr:txBody>
    </xdr:sp>
    <xdr:clientData/>
  </xdr:twoCellAnchor>
  <xdr:twoCellAnchor editAs="absolute">
    <xdr:from>
      <xdr:col>0</xdr:col>
      <xdr:colOff>2781300</xdr:colOff>
      <xdr:row>45</xdr:row>
      <xdr:rowOff>50800</xdr:rowOff>
    </xdr:from>
    <xdr:to>
      <xdr:col>0</xdr:col>
      <xdr:colOff>3276600</xdr:colOff>
      <xdr:row>47</xdr:row>
      <xdr:rowOff>7620</xdr:rowOff>
    </xdr:to>
    <xdr:pic>
      <xdr:nvPicPr>
        <xdr:cNvPr id="689" name="symbol 688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300" y="75946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2755900</xdr:colOff>
      <xdr:row>46</xdr:row>
      <xdr:rowOff>162560</xdr:rowOff>
    </xdr:from>
    <xdr:to>
      <xdr:col>0</xdr:col>
      <xdr:colOff>2946400</xdr:colOff>
      <xdr:row>47</xdr:row>
      <xdr:rowOff>160020</xdr:rowOff>
    </xdr:to>
    <xdr:sp macro="" textlink="">
      <xdr:nvSpPr>
        <xdr:cNvPr id="690" name="fleft 689"/>
        <xdr:cNvSpPr/>
      </xdr:nvSpPr>
      <xdr:spPr>
        <a:xfrm>
          <a:off x="2755900" y="78740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2984500</xdr:colOff>
      <xdr:row>46</xdr:row>
      <xdr:rowOff>162560</xdr:rowOff>
    </xdr:from>
    <xdr:to>
      <xdr:col>0</xdr:col>
      <xdr:colOff>3124200</xdr:colOff>
      <xdr:row>48</xdr:row>
      <xdr:rowOff>17780</xdr:rowOff>
    </xdr:to>
    <xdr:sp macro="" textlink="">
      <xdr:nvSpPr>
        <xdr:cNvPr id="691" name="fmiddle 690"/>
        <xdr:cNvSpPr/>
      </xdr:nvSpPr>
      <xdr:spPr>
        <a:xfrm>
          <a:off x="2984500" y="7874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3162300</xdr:colOff>
      <xdr:row>46</xdr:row>
      <xdr:rowOff>162560</xdr:rowOff>
    </xdr:from>
    <xdr:to>
      <xdr:col>0</xdr:col>
      <xdr:colOff>3327400</xdr:colOff>
      <xdr:row>48</xdr:row>
      <xdr:rowOff>17780</xdr:rowOff>
    </xdr:to>
    <xdr:sp macro="" textlink="">
      <xdr:nvSpPr>
        <xdr:cNvPr id="692" name="fright 691"/>
        <xdr:cNvSpPr/>
      </xdr:nvSpPr>
      <xdr:spPr>
        <a:xfrm>
          <a:off x="3162300" y="7874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2705100</xdr:colOff>
      <xdr:row>44</xdr:row>
      <xdr:rowOff>40640</xdr:rowOff>
    </xdr:from>
    <xdr:to>
      <xdr:col>0</xdr:col>
      <xdr:colOff>2895600</xdr:colOff>
      <xdr:row>44</xdr:row>
      <xdr:rowOff>154940</xdr:rowOff>
    </xdr:to>
    <xdr:sp macro="" textlink="">
      <xdr:nvSpPr>
        <xdr:cNvPr id="693" name="eng 692"/>
        <xdr:cNvSpPr/>
      </xdr:nvSpPr>
      <xdr:spPr>
        <a:xfrm>
          <a:off x="2705100" y="74168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2-3</a:t>
          </a:r>
        </a:p>
      </xdr:txBody>
    </xdr:sp>
    <xdr:clientData/>
  </xdr:twoCellAnchor>
  <xdr:twoCellAnchor editAs="absolute">
    <xdr:from>
      <xdr:col>0</xdr:col>
      <xdr:colOff>3365500</xdr:colOff>
      <xdr:row>44</xdr:row>
      <xdr:rowOff>27940</xdr:rowOff>
    </xdr:from>
    <xdr:to>
      <xdr:col>0</xdr:col>
      <xdr:colOff>4038600</xdr:colOff>
      <xdr:row>48</xdr:row>
      <xdr:rowOff>30480</xdr:rowOff>
    </xdr:to>
    <xdr:sp macro="" textlink="">
      <xdr:nvSpPr>
        <xdr:cNvPr id="694" name="outline 693"/>
        <xdr:cNvSpPr/>
      </xdr:nvSpPr>
      <xdr:spPr>
        <a:xfrm>
          <a:off x="3365500" y="74041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3530600</xdr:colOff>
      <xdr:row>44</xdr:row>
      <xdr:rowOff>66040</xdr:rowOff>
    </xdr:from>
    <xdr:to>
      <xdr:col>0</xdr:col>
      <xdr:colOff>4025900</xdr:colOff>
      <xdr:row>46</xdr:row>
      <xdr:rowOff>149860</xdr:rowOff>
    </xdr:to>
    <xdr:sp macro="" textlink="">
      <xdr:nvSpPr>
        <xdr:cNvPr id="695" name="flag 694"/>
        <xdr:cNvSpPr/>
      </xdr:nvSpPr>
      <xdr:spPr>
        <a:xfrm>
          <a:off x="3530600" y="74422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7</a:t>
          </a:r>
        </a:p>
      </xdr:txBody>
    </xdr:sp>
    <xdr:clientData/>
  </xdr:twoCellAnchor>
  <xdr:twoCellAnchor editAs="absolute">
    <xdr:from>
      <xdr:col>0</xdr:col>
      <xdr:colOff>3378200</xdr:colOff>
      <xdr:row>44</xdr:row>
      <xdr:rowOff>40640</xdr:rowOff>
    </xdr:from>
    <xdr:to>
      <xdr:col>0</xdr:col>
      <xdr:colOff>3517900</xdr:colOff>
      <xdr:row>47</xdr:row>
      <xdr:rowOff>7620</xdr:rowOff>
    </xdr:to>
    <xdr:sp macro="" textlink="">
      <xdr:nvSpPr>
        <xdr:cNvPr id="696" name="name 695"/>
        <xdr:cNvSpPr/>
      </xdr:nvSpPr>
      <xdr:spPr>
        <a:xfrm>
          <a:off x="3378200" y="7416800"/>
          <a:ext cx="139700" cy="469900"/>
        </a:xfrm>
        <a:prstGeom prst="rect">
          <a:avLst/>
        </a:prstGeom>
        <a:solidFill>
          <a:srgbClr val="0064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Thomières</a:t>
          </a:r>
        </a:p>
      </xdr:txBody>
    </xdr:sp>
    <xdr:clientData/>
  </xdr:twoCellAnchor>
  <xdr:twoCellAnchor editAs="absolute">
    <xdr:from>
      <xdr:col>0</xdr:col>
      <xdr:colOff>3454400</xdr:colOff>
      <xdr:row>46</xdr:row>
      <xdr:rowOff>162560</xdr:rowOff>
    </xdr:from>
    <xdr:to>
      <xdr:col>0</xdr:col>
      <xdr:colOff>3594100</xdr:colOff>
      <xdr:row>48</xdr:row>
      <xdr:rowOff>17780</xdr:rowOff>
    </xdr:to>
    <xdr:sp macro="" textlink="">
      <xdr:nvSpPr>
        <xdr:cNvPr id="697" name="left 696"/>
        <xdr:cNvSpPr/>
      </xdr:nvSpPr>
      <xdr:spPr>
        <a:xfrm>
          <a:off x="3454400" y="78740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3860800</xdr:colOff>
      <xdr:row>46</xdr:row>
      <xdr:rowOff>162560</xdr:rowOff>
    </xdr:from>
    <xdr:to>
      <xdr:col>0</xdr:col>
      <xdr:colOff>4000500</xdr:colOff>
      <xdr:row>48</xdr:row>
      <xdr:rowOff>17780</xdr:rowOff>
    </xdr:to>
    <xdr:sp macro="" textlink="">
      <xdr:nvSpPr>
        <xdr:cNvPr id="698" name="right 697"/>
        <xdr:cNvSpPr/>
      </xdr:nvSpPr>
      <xdr:spPr>
        <a:xfrm>
          <a:off x="3860800" y="78740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4038600</xdr:colOff>
      <xdr:row>44</xdr:row>
      <xdr:rowOff>27940</xdr:rowOff>
    </xdr:from>
    <xdr:to>
      <xdr:col>0</xdr:col>
      <xdr:colOff>4711700</xdr:colOff>
      <xdr:row>48</xdr:row>
      <xdr:rowOff>30480</xdr:rowOff>
    </xdr:to>
    <xdr:sp macro="" textlink="">
      <xdr:nvSpPr>
        <xdr:cNvPr id="699" name="outline 698"/>
        <xdr:cNvSpPr/>
      </xdr:nvSpPr>
      <xdr:spPr>
        <a:xfrm>
          <a:off x="4038600" y="74041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4203700</xdr:colOff>
      <xdr:row>44</xdr:row>
      <xdr:rowOff>66040</xdr:rowOff>
    </xdr:from>
    <xdr:to>
      <xdr:col>0</xdr:col>
      <xdr:colOff>4699000</xdr:colOff>
      <xdr:row>46</xdr:row>
      <xdr:rowOff>149860</xdr:rowOff>
    </xdr:to>
    <xdr:sp macro="" textlink="">
      <xdr:nvSpPr>
        <xdr:cNvPr id="700" name="flag 699"/>
        <xdr:cNvSpPr/>
      </xdr:nvSpPr>
      <xdr:spPr>
        <a:xfrm>
          <a:off x="4203700" y="74422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7</a:t>
          </a:r>
        </a:p>
      </xdr:txBody>
    </xdr:sp>
    <xdr:clientData/>
  </xdr:twoCellAnchor>
  <xdr:twoCellAnchor editAs="absolute">
    <xdr:from>
      <xdr:col>0</xdr:col>
      <xdr:colOff>4051300</xdr:colOff>
      <xdr:row>44</xdr:row>
      <xdr:rowOff>40640</xdr:rowOff>
    </xdr:from>
    <xdr:to>
      <xdr:col>0</xdr:col>
      <xdr:colOff>4191000</xdr:colOff>
      <xdr:row>47</xdr:row>
      <xdr:rowOff>7620</xdr:rowOff>
    </xdr:to>
    <xdr:sp macro="" textlink="">
      <xdr:nvSpPr>
        <xdr:cNvPr id="701" name="name 700"/>
        <xdr:cNvSpPr/>
      </xdr:nvSpPr>
      <xdr:spPr>
        <a:xfrm>
          <a:off x="4051300" y="7416800"/>
          <a:ext cx="139700" cy="469900"/>
        </a:xfrm>
        <a:prstGeom prst="rect">
          <a:avLst/>
        </a:prstGeom>
        <a:solidFill>
          <a:srgbClr val="0064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Thomières</a:t>
          </a:r>
        </a:p>
      </xdr:txBody>
    </xdr:sp>
    <xdr:clientData/>
  </xdr:twoCellAnchor>
  <xdr:twoCellAnchor editAs="absolute">
    <xdr:from>
      <xdr:col>0</xdr:col>
      <xdr:colOff>4127500</xdr:colOff>
      <xdr:row>46</xdr:row>
      <xdr:rowOff>162560</xdr:rowOff>
    </xdr:from>
    <xdr:to>
      <xdr:col>0</xdr:col>
      <xdr:colOff>4267200</xdr:colOff>
      <xdr:row>48</xdr:row>
      <xdr:rowOff>17780</xdr:rowOff>
    </xdr:to>
    <xdr:sp macro="" textlink="">
      <xdr:nvSpPr>
        <xdr:cNvPr id="702" name="left 701"/>
        <xdr:cNvSpPr/>
      </xdr:nvSpPr>
      <xdr:spPr>
        <a:xfrm>
          <a:off x="4127500" y="78740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4533900</xdr:colOff>
      <xdr:row>46</xdr:row>
      <xdr:rowOff>162560</xdr:rowOff>
    </xdr:from>
    <xdr:to>
      <xdr:col>0</xdr:col>
      <xdr:colOff>4673600</xdr:colOff>
      <xdr:row>48</xdr:row>
      <xdr:rowOff>17780</xdr:rowOff>
    </xdr:to>
    <xdr:sp macro="" textlink="">
      <xdr:nvSpPr>
        <xdr:cNvPr id="703" name="right 702"/>
        <xdr:cNvSpPr/>
      </xdr:nvSpPr>
      <xdr:spPr>
        <a:xfrm>
          <a:off x="4533900" y="78740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4711700</xdr:colOff>
      <xdr:row>44</xdr:row>
      <xdr:rowOff>27940</xdr:rowOff>
    </xdr:from>
    <xdr:to>
      <xdr:col>0</xdr:col>
      <xdr:colOff>5384800</xdr:colOff>
      <xdr:row>48</xdr:row>
      <xdr:rowOff>30480</xdr:rowOff>
    </xdr:to>
    <xdr:sp macro="" textlink="">
      <xdr:nvSpPr>
        <xdr:cNvPr id="704" name="outline 703"/>
        <xdr:cNvSpPr/>
      </xdr:nvSpPr>
      <xdr:spPr>
        <a:xfrm>
          <a:off x="4711700" y="74041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4724400</xdr:colOff>
      <xdr:row>44</xdr:row>
      <xdr:rowOff>40640</xdr:rowOff>
    </xdr:from>
    <xdr:to>
      <xdr:col>0</xdr:col>
      <xdr:colOff>5372100</xdr:colOff>
      <xdr:row>45</xdr:row>
      <xdr:rowOff>12700</xdr:rowOff>
    </xdr:to>
    <xdr:sp macro="" textlink="">
      <xdr:nvSpPr>
        <xdr:cNvPr id="705" name="name 704"/>
        <xdr:cNvSpPr/>
      </xdr:nvSpPr>
      <xdr:spPr>
        <a:xfrm>
          <a:off x="4724400" y="7416800"/>
          <a:ext cx="647700" cy="139700"/>
        </a:xfrm>
        <a:prstGeom prst="rect">
          <a:avLst/>
        </a:prstGeom>
        <a:solidFill>
          <a:srgbClr val="0064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1°Li/Bonté</a:t>
          </a:r>
        </a:p>
      </xdr:txBody>
    </xdr:sp>
    <xdr:clientData/>
  </xdr:twoCellAnchor>
  <xdr:twoCellAnchor editAs="absolute">
    <xdr:from>
      <xdr:col>0</xdr:col>
      <xdr:colOff>4927600</xdr:colOff>
      <xdr:row>45</xdr:row>
      <xdr:rowOff>25400</xdr:rowOff>
    </xdr:from>
    <xdr:to>
      <xdr:col>0</xdr:col>
      <xdr:colOff>5295900</xdr:colOff>
      <xdr:row>47</xdr:row>
      <xdr:rowOff>109220</xdr:rowOff>
    </xdr:to>
    <xdr:pic>
      <xdr:nvPicPr>
        <xdr:cNvPr id="706" name="symbol 70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7600" y="7569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4775200</xdr:colOff>
      <xdr:row>46</xdr:row>
      <xdr:rowOff>162560</xdr:rowOff>
    </xdr:from>
    <xdr:to>
      <xdr:col>0</xdr:col>
      <xdr:colOff>4940300</xdr:colOff>
      <xdr:row>48</xdr:row>
      <xdr:rowOff>17780</xdr:rowOff>
    </xdr:to>
    <xdr:sp macro="" textlink="">
      <xdr:nvSpPr>
        <xdr:cNvPr id="707" name="fleft 706"/>
        <xdr:cNvSpPr/>
      </xdr:nvSpPr>
      <xdr:spPr>
        <a:xfrm>
          <a:off x="4775200" y="7874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5080000</xdr:colOff>
      <xdr:row>46</xdr:row>
      <xdr:rowOff>162560</xdr:rowOff>
    </xdr:from>
    <xdr:to>
      <xdr:col>0</xdr:col>
      <xdr:colOff>5219700</xdr:colOff>
      <xdr:row>48</xdr:row>
      <xdr:rowOff>17780</xdr:rowOff>
    </xdr:to>
    <xdr:sp macro="" textlink="">
      <xdr:nvSpPr>
        <xdr:cNvPr id="708" name="fmiddle 707"/>
        <xdr:cNvSpPr/>
      </xdr:nvSpPr>
      <xdr:spPr>
        <a:xfrm>
          <a:off x="5080000" y="7874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5207000</xdr:colOff>
      <xdr:row>46</xdr:row>
      <xdr:rowOff>162560</xdr:rowOff>
    </xdr:from>
    <xdr:to>
      <xdr:col>0</xdr:col>
      <xdr:colOff>5372100</xdr:colOff>
      <xdr:row>48</xdr:row>
      <xdr:rowOff>17780</xdr:rowOff>
    </xdr:to>
    <xdr:sp macro="" textlink="">
      <xdr:nvSpPr>
        <xdr:cNvPr id="709" name="fright 708"/>
        <xdr:cNvSpPr/>
      </xdr:nvSpPr>
      <xdr:spPr>
        <a:xfrm>
          <a:off x="5207000" y="7874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5232400</xdr:colOff>
      <xdr:row>45</xdr:row>
      <xdr:rowOff>76200</xdr:rowOff>
    </xdr:from>
    <xdr:to>
      <xdr:col>0</xdr:col>
      <xdr:colOff>5372100</xdr:colOff>
      <xdr:row>46</xdr:row>
      <xdr:rowOff>73660</xdr:rowOff>
    </xdr:to>
    <xdr:sp macro="" textlink="">
      <xdr:nvSpPr>
        <xdr:cNvPr id="710" name="eng 709"/>
        <xdr:cNvSpPr/>
      </xdr:nvSpPr>
      <xdr:spPr>
        <a:xfrm>
          <a:off x="5232400" y="7620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5384800</xdr:colOff>
      <xdr:row>44</xdr:row>
      <xdr:rowOff>27940</xdr:rowOff>
    </xdr:from>
    <xdr:to>
      <xdr:col>0</xdr:col>
      <xdr:colOff>6057900</xdr:colOff>
      <xdr:row>48</xdr:row>
      <xdr:rowOff>30480</xdr:rowOff>
    </xdr:to>
    <xdr:sp macro="" textlink="">
      <xdr:nvSpPr>
        <xdr:cNvPr id="711" name="outline 710"/>
        <xdr:cNvSpPr/>
      </xdr:nvSpPr>
      <xdr:spPr>
        <a:xfrm>
          <a:off x="5384800" y="74041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5397500</xdr:colOff>
      <xdr:row>44</xdr:row>
      <xdr:rowOff>40640</xdr:rowOff>
    </xdr:from>
    <xdr:to>
      <xdr:col>0</xdr:col>
      <xdr:colOff>6045200</xdr:colOff>
      <xdr:row>45</xdr:row>
      <xdr:rowOff>12700</xdr:rowOff>
    </xdr:to>
    <xdr:sp macro="" textlink="">
      <xdr:nvSpPr>
        <xdr:cNvPr id="712" name="name 711"/>
        <xdr:cNvSpPr/>
      </xdr:nvSpPr>
      <xdr:spPr>
        <a:xfrm>
          <a:off x="5397500" y="7416800"/>
          <a:ext cx="647700" cy="139700"/>
        </a:xfrm>
        <a:prstGeom prst="rect">
          <a:avLst/>
        </a:prstGeom>
        <a:solidFill>
          <a:srgbClr val="0064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62°Li/Bonté</a:t>
          </a:r>
        </a:p>
      </xdr:txBody>
    </xdr:sp>
    <xdr:clientData/>
  </xdr:twoCellAnchor>
  <xdr:twoCellAnchor editAs="absolute">
    <xdr:from>
      <xdr:col>0</xdr:col>
      <xdr:colOff>5600700</xdr:colOff>
      <xdr:row>45</xdr:row>
      <xdr:rowOff>25400</xdr:rowOff>
    </xdr:from>
    <xdr:to>
      <xdr:col>0</xdr:col>
      <xdr:colOff>5969000</xdr:colOff>
      <xdr:row>47</xdr:row>
      <xdr:rowOff>109220</xdr:rowOff>
    </xdr:to>
    <xdr:pic>
      <xdr:nvPicPr>
        <xdr:cNvPr id="713" name="symbol 71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7569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5448300</xdr:colOff>
      <xdr:row>46</xdr:row>
      <xdr:rowOff>162560</xdr:rowOff>
    </xdr:from>
    <xdr:to>
      <xdr:col>0</xdr:col>
      <xdr:colOff>5613400</xdr:colOff>
      <xdr:row>48</xdr:row>
      <xdr:rowOff>17780</xdr:rowOff>
    </xdr:to>
    <xdr:sp macro="" textlink="">
      <xdr:nvSpPr>
        <xdr:cNvPr id="714" name="fleft 713"/>
        <xdr:cNvSpPr/>
      </xdr:nvSpPr>
      <xdr:spPr>
        <a:xfrm>
          <a:off x="5448300" y="7874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5753100</xdr:colOff>
      <xdr:row>46</xdr:row>
      <xdr:rowOff>162560</xdr:rowOff>
    </xdr:from>
    <xdr:to>
      <xdr:col>0</xdr:col>
      <xdr:colOff>5892800</xdr:colOff>
      <xdr:row>48</xdr:row>
      <xdr:rowOff>17780</xdr:rowOff>
    </xdr:to>
    <xdr:sp macro="" textlink="">
      <xdr:nvSpPr>
        <xdr:cNvPr id="715" name="fmiddle 714"/>
        <xdr:cNvSpPr/>
      </xdr:nvSpPr>
      <xdr:spPr>
        <a:xfrm>
          <a:off x="5753100" y="7874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5880100</xdr:colOff>
      <xdr:row>46</xdr:row>
      <xdr:rowOff>162560</xdr:rowOff>
    </xdr:from>
    <xdr:to>
      <xdr:col>0</xdr:col>
      <xdr:colOff>6045200</xdr:colOff>
      <xdr:row>48</xdr:row>
      <xdr:rowOff>17780</xdr:rowOff>
    </xdr:to>
    <xdr:sp macro="" textlink="">
      <xdr:nvSpPr>
        <xdr:cNvPr id="716" name="fright 715"/>
        <xdr:cNvSpPr/>
      </xdr:nvSpPr>
      <xdr:spPr>
        <a:xfrm>
          <a:off x="5880100" y="7874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5905500</xdr:colOff>
      <xdr:row>45</xdr:row>
      <xdr:rowOff>76200</xdr:rowOff>
    </xdr:from>
    <xdr:to>
      <xdr:col>0</xdr:col>
      <xdr:colOff>6045200</xdr:colOff>
      <xdr:row>46</xdr:row>
      <xdr:rowOff>73660</xdr:rowOff>
    </xdr:to>
    <xdr:sp macro="" textlink="">
      <xdr:nvSpPr>
        <xdr:cNvPr id="717" name="eng 716"/>
        <xdr:cNvSpPr/>
      </xdr:nvSpPr>
      <xdr:spPr>
        <a:xfrm>
          <a:off x="5905500" y="7620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6057900</xdr:colOff>
      <xdr:row>44</xdr:row>
      <xdr:rowOff>27940</xdr:rowOff>
    </xdr:from>
    <xdr:to>
      <xdr:col>0</xdr:col>
      <xdr:colOff>6731000</xdr:colOff>
      <xdr:row>48</xdr:row>
      <xdr:rowOff>30480</xdr:rowOff>
    </xdr:to>
    <xdr:sp macro="" textlink="">
      <xdr:nvSpPr>
        <xdr:cNvPr id="718" name="outline 717"/>
        <xdr:cNvSpPr/>
      </xdr:nvSpPr>
      <xdr:spPr>
        <a:xfrm>
          <a:off x="6057900" y="74041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6070600</xdr:colOff>
      <xdr:row>44</xdr:row>
      <xdr:rowOff>40640</xdr:rowOff>
    </xdr:from>
    <xdr:to>
      <xdr:col>0</xdr:col>
      <xdr:colOff>6718300</xdr:colOff>
      <xdr:row>45</xdr:row>
      <xdr:rowOff>12700</xdr:rowOff>
    </xdr:to>
    <xdr:sp macro="" textlink="">
      <xdr:nvSpPr>
        <xdr:cNvPr id="719" name="name 718"/>
        <xdr:cNvSpPr/>
      </xdr:nvSpPr>
      <xdr:spPr>
        <a:xfrm>
          <a:off x="6070600" y="7416800"/>
          <a:ext cx="647700" cy="139700"/>
        </a:xfrm>
        <a:prstGeom prst="rect">
          <a:avLst/>
        </a:prstGeom>
        <a:solidFill>
          <a:srgbClr val="0064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101°Li/Thomières</a:t>
          </a:r>
        </a:p>
      </xdr:txBody>
    </xdr:sp>
    <xdr:clientData/>
  </xdr:twoCellAnchor>
  <xdr:twoCellAnchor editAs="absolute">
    <xdr:from>
      <xdr:col>0</xdr:col>
      <xdr:colOff>6273800</xdr:colOff>
      <xdr:row>45</xdr:row>
      <xdr:rowOff>25400</xdr:rowOff>
    </xdr:from>
    <xdr:to>
      <xdr:col>0</xdr:col>
      <xdr:colOff>6642100</xdr:colOff>
      <xdr:row>47</xdr:row>
      <xdr:rowOff>109220</xdr:rowOff>
    </xdr:to>
    <xdr:pic>
      <xdr:nvPicPr>
        <xdr:cNvPr id="720" name="symbol 71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3800" y="7569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6121400</xdr:colOff>
      <xdr:row>46</xdr:row>
      <xdr:rowOff>162560</xdr:rowOff>
    </xdr:from>
    <xdr:to>
      <xdr:col>0</xdr:col>
      <xdr:colOff>6286500</xdr:colOff>
      <xdr:row>48</xdr:row>
      <xdr:rowOff>17780</xdr:rowOff>
    </xdr:to>
    <xdr:sp macro="" textlink="">
      <xdr:nvSpPr>
        <xdr:cNvPr id="721" name="fleft 720"/>
        <xdr:cNvSpPr/>
      </xdr:nvSpPr>
      <xdr:spPr>
        <a:xfrm>
          <a:off x="6121400" y="7874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6426200</xdr:colOff>
      <xdr:row>46</xdr:row>
      <xdr:rowOff>162560</xdr:rowOff>
    </xdr:from>
    <xdr:to>
      <xdr:col>0</xdr:col>
      <xdr:colOff>6565900</xdr:colOff>
      <xdr:row>48</xdr:row>
      <xdr:rowOff>17780</xdr:rowOff>
    </xdr:to>
    <xdr:sp macro="" textlink="">
      <xdr:nvSpPr>
        <xdr:cNvPr id="722" name="fmiddle 721"/>
        <xdr:cNvSpPr/>
      </xdr:nvSpPr>
      <xdr:spPr>
        <a:xfrm>
          <a:off x="6426200" y="7874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6553200</xdr:colOff>
      <xdr:row>46</xdr:row>
      <xdr:rowOff>162560</xdr:rowOff>
    </xdr:from>
    <xdr:to>
      <xdr:col>0</xdr:col>
      <xdr:colOff>6718300</xdr:colOff>
      <xdr:row>48</xdr:row>
      <xdr:rowOff>17780</xdr:rowOff>
    </xdr:to>
    <xdr:sp macro="" textlink="">
      <xdr:nvSpPr>
        <xdr:cNvPr id="723" name="fright 722"/>
        <xdr:cNvSpPr/>
      </xdr:nvSpPr>
      <xdr:spPr>
        <a:xfrm>
          <a:off x="6553200" y="7874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6578600</xdr:colOff>
      <xdr:row>45</xdr:row>
      <xdr:rowOff>76200</xdr:rowOff>
    </xdr:from>
    <xdr:to>
      <xdr:col>0</xdr:col>
      <xdr:colOff>6718300</xdr:colOff>
      <xdr:row>46</xdr:row>
      <xdr:rowOff>73660</xdr:rowOff>
    </xdr:to>
    <xdr:sp macro="" textlink="">
      <xdr:nvSpPr>
        <xdr:cNvPr id="724" name="eng 723"/>
        <xdr:cNvSpPr/>
      </xdr:nvSpPr>
      <xdr:spPr>
        <a:xfrm>
          <a:off x="6578600" y="7620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0</xdr:colOff>
      <xdr:row>48</xdr:row>
      <xdr:rowOff>30480</xdr:rowOff>
    </xdr:from>
    <xdr:to>
      <xdr:col>0</xdr:col>
      <xdr:colOff>673100</xdr:colOff>
      <xdr:row>52</xdr:row>
      <xdr:rowOff>33020</xdr:rowOff>
    </xdr:to>
    <xdr:sp macro="" textlink="">
      <xdr:nvSpPr>
        <xdr:cNvPr id="725" name="outline 724"/>
        <xdr:cNvSpPr/>
      </xdr:nvSpPr>
      <xdr:spPr>
        <a:xfrm>
          <a:off x="0" y="8077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215900</xdr:colOff>
      <xdr:row>48</xdr:row>
      <xdr:rowOff>43180</xdr:rowOff>
    </xdr:from>
    <xdr:to>
      <xdr:col>0</xdr:col>
      <xdr:colOff>660400</xdr:colOff>
      <xdr:row>49</xdr:row>
      <xdr:rowOff>15240</xdr:rowOff>
    </xdr:to>
    <xdr:sp macro="" textlink="">
      <xdr:nvSpPr>
        <xdr:cNvPr id="726" name="name 725"/>
        <xdr:cNvSpPr/>
      </xdr:nvSpPr>
      <xdr:spPr>
        <a:xfrm>
          <a:off x="215900" y="8089900"/>
          <a:ext cx="444500" cy="139700"/>
        </a:xfrm>
        <a:prstGeom prst="rect">
          <a:avLst/>
        </a:prstGeom>
        <a:solidFill>
          <a:srgbClr val="0064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Thomières</a:t>
          </a:r>
        </a:p>
      </xdr:txBody>
    </xdr:sp>
    <xdr:clientData/>
  </xdr:twoCellAnchor>
  <xdr:twoCellAnchor editAs="absolute">
    <xdr:from>
      <xdr:col>0</xdr:col>
      <xdr:colOff>88900</xdr:colOff>
      <xdr:row>49</xdr:row>
      <xdr:rowOff>53340</xdr:rowOff>
    </xdr:from>
    <xdr:to>
      <xdr:col>0</xdr:col>
      <xdr:colOff>584200</xdr:colOff>
      <xdr:row>51</xdr:row>
      <xdr:rowOff>10160</xdr:rowOff>
    </xdr:to>
    <xdr:pic>
      <xdr:nvPicPr>
        <xdr:cNvPr id="727" name="symbol 726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00" y="82677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63500</xdr:colOff>
      <xdr:row>50</xdr:row>
      <xdr:rowOff>165100</xdr:rowOff>
    </xdr:from>
    <xdr:to>
      <xdr:col>0</xdr:col>
      <xdr:colOff>254000</xdr:colOff>
      <xdr:row>51</xdr:row>
      <xdr:rowOff>162560</xdr:rowOff>
    </xdr:to>
    <xdr:sp macro="" textlink="">
      <xdr:nvSpPr>
        <xdr:cNvPr id="728" name="fleft 727"/>
        <xdr:cNvSpPr/>
      </xdr:nvSpPr>
      <xdr:spPr>
        <a:xfrm>
          <a:off x="63500" y="85471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292100</xdr:colOff>
      <xdr:row>50</xdr:row>
      <xdr:rowOff>165100</xdr:rowOff>
    </xdr:from>
    <xdr:to>
      <xdr:col>0</xdr:col>
      <xdr:colOff>431800</xdr:colOff>
      <xdr:row>52</xdr:row>
      <xdr:rowOff>20320</xdr:rowOff>
    </xdr:to>
    <xdr:sp macro="" textlink="">
      <xdr:nvSpPr>
        <xdr:cNvPr id="729" name="fmiddle 728"/>
        <xdr:cNvSpPr/>
      </xdr:nvSpPr>
      <xdr:spPr>
        <a:xfrm>
          <a:off x="292100" y="8547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469900</xdr:colOff>
      <xdr:row>50</xdr:row>
      <xdr:rowOff>165100</xdr:rowOff>
    </xdr:from>
    <xdr:to>
      <xdr:col>0</xdr:col>
      <xdr:colOff>635000</xdr:colOff>
      <xdr:row>52</xdr:row>
      <xdr:rowOff>20320</xdr:rowOff>
    </xdr:to>
    <xdr:sp macro="" textlink="">
      <xdr:nvSpPr>
        <xdr:cNvPr id="730" name="fright 729"/>
        <xdr:cNvSpPr/>
      </xdr:nvSpPr>
      <xdr:spPr>
        <a:xfrm>
          <a:off x="469900" y="8547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12700</xdr:colOff>
      <xdr:row>48</xdr:row>
      <xdr:rowOff>43180</xdr:rowOff>
    </xdr:from>
    <xdr:to>
      <xdr:col>0</xdr:col>
      <xdr:colOff>203200</xdr:colOff>
      <xdr:row>48</xdr:row>
      <xdr:rowOff>157480</xdr:rowOff>
    </xdr:to>
    <xdr:sp macro="" textlink="">
      <xdr:nvSpPr>
        <xdr:cNvPr id="731" name="eng 730"/>
        <xdr:cNvSpPr/>
      </xdr:nvSpPr>
      <xdr:spPr>
        <a:xfrm>
          <a:off x="12700" y="80899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2-3</a:t>
          </a:r>
        </a:p>
      </xdr:txBody>
    </xdr:sp>
    <xdr:clientData/>
  </xdr:twoCellAnchor>
  <xdr:twoCellAnchor editAs="absolute">
    <xdr:from>
      <xdr:col>0</xdr:col>
      <xdr:colOff>673100</xdr:colOff>
      <xdr:row>48</xdr:row>
      <xdr:rowOff>30480</xdr:rowOff>
    </xdr:from>
    <xdr:to>
      <xdr:col>0</xdr:col>
      <xdr:colOff>1346200</xdr:colOff>
      <xdr:row>52</xdr:row>
      <xdr:rowOff>33020</xdr:rowOff>
    </xdr:to>
    <xdr:sp macro="" textlink="">
      <xdr:nvSpPr>
        <xdr:cNvPr id="732" name="outline 731"/>
        <xdr:cNvSpPr/>
      </xdr:nvSpPr>
      <xdr:spPr>
        <a:xfrm>
          <a:off x="673100" y="80772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838200</xdr:colOff>
      <xdr:row>48</xdr:row>
      <xdr:rowOff>68580</xdr:rowOff>
    </xdr:from>
    <xdr:to>
      <xdr:col>0</xdr:col>
      <xdr:colOff>1333500</xdr:colOff>
      <xdr:row>50</xdr:row>
      <xdr:rowOff>152400</xdr:rowOff>
    </xdr:to>
    <xdr:sp macro="" textlink="">
      <xdr:nvSpPr>
        <xdr:cNvPr id="733" name="flag 732"/>
        <xdr:cNvSpPr/>
      </xdr:nvSpPr>
      <xdr:spPr>
        <a:xfrm>
          <a:off x="838200" y="81153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8</a:t>
          </a:r>
        </a:p>
      </xdr:txBody>
    </xdr:sp>
    <xdr:clientData/>
  </xdr:twoCellAnchor>
  <xdr:twoCellAnchor editAs="absolute">
    <xdr:from>
      <xdr:col>0</xdr:col>
      <xdr:colOff>685800</xdr:colOff>
      <xdr:row>48</xdr:row>
      <xdr:rowOff>43180</xdr:rowOff>
    </xdr:from>
    <xdr:to>
      <xdr:col>0</xdr:col>
      <xdr:colOff>825500</xdr:colOff>
      <xdr:row>51</xdr:row>
      <xdr:rowOff>10160</xdr:rowOff>
    </xdr:to>
    <xdr:sp macro="" textlink="">
      <xdr:nvSpPr>
        <xdr:cNvPr id="734" name="name 733"/>
        <xdr:cNvSpPr/>
      </xdr:nvSpPr>
      <xdr:spPr>
        <a:xfrm>
          <a:off x="685800" y="8089900"/>
          <a:ext cx="139700" cy="469900"/>
        </a:xfrm>
        <a:prstGeom prst="rect">
          <a:avLst/>
        </a:prstGeom>
        <a:solidFill>
          <a:srgbClr val="4B008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Bonnet</a:t>
          </a:r>
        </a:p>
      </xdr:txBody>
    </xdr:sp>
    <xdr:clientData/>
  </xdr:twoCellAnchor>
  <xdr:twoCellAnchor editAs="absolute">
    <xdr:from>
      <xdr:col>0</xdr:col>
      <xdr:colOff>762000</xdr:colOff>
      <xdr:row>50</xdr:row>
      <xdr:rowOff>165100</xdr:rowOff>
    </xdr:from>
    <xdr:to>
      <xdr:col>0</xdr:col>
      <xdr:colOff>901700</xdr:colOff>
      <xdr:row>52</xdr:row>
      <xdr:rowOff>20320</xdr:rowOff>
    </xdr:to>
    <xdr:sp macro="" textlink="">
      <xdr:nvSpPr>
        <xdr:cNvPr id="735" name="left 734"/>
        <xdr:cNvSpPr/>
      </xdr:nvSpPr>
      <xdr:spPr>
        <a:xfrm>
          <a:off x="762000" y="85471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1168400</xdr:colOff>
      <xdr:row>50</xdr:row>
      <xdr:rowOff>165100</xdr:rowOff>
    </xdr:from>
    <xdr:to>
      <xdr:col>0</xdr:col>
      <xdr:colOff>1308100</xdr:colOff>
      <xdr:row>52</xdr:row>
      <xdr:rowOff>20320</xdr:rowOff>
    </xdr:to>
    <xdr:sp macro="" textlink="">
      <xdr:nvSpPr>
        <xdr:cNvPr id="736" name="right 735"/>
        <xdr:cNvSpPr/>
      </xdr:nvSpPr>
      <xdr:spPr>
        <a:xfrm>
          <a:off x="1168400" y="85471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1346200</xdr:colOff>
      <xdr:row>48</xdr:row>
      <xdr:rowOff>30480</xdr:rowOff>
    </xdr:from>
    <xdr:to>
      <xdr:col>0</xdr:col>
      <xdr:colOff>2019300</xdr:colOff>
      <xdr:row>52</xdr:row>
      <xdr:rowOff>33020</xdr:rowOff>
    </xdr:to>
    <xdr:sp macro="" textlink="">
      <xdr:nvSpPr>
        <xdr:cNvPr id="737" name="outline 736"/>
        <xdr:cNvSpPr/>
      </xdr:nvSpPr>
      <xdr:spPr>
        <a:xfrm>
          <a:off x="1346200" y="80772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1511300</xdr:colOff>
      <xdr:row>48</xdr:row>
      <xdr:rowOff>68580</xdr:rowOff>
    </xdr:from>
    <xdr:to>
      <xdr:col>0</xdr:col>
      <xdr:colOff>2006600</xdr:colOff>
      <xdr:row>50</xdr:row>
      <xdr:rowOff>152400</xdr:rowOff>
    </xdr:to>
    <xdr:sp macro="" textlink="">
      <xdr:nvSpPr>
        <xdr:cNvPr id="738" name="flag 737"/>
        <xdr:cNvSpPr/>
      </xdr:nvSpPr>
      <xdr:spPr>
        <a:xfrm>
          <a:off x="1511300" y="81153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8</a:t>
          </a:r>
        </a:p>
      </xdr:txBody>
    </xdr:sp>
    <xdr:clientData/>
  </xdr:twoCellAnchor>
  <xdr:twoCellAnchor editAs="absolute">
    <xdr:from>
      <xdr:col>0</xdr:col>
      <xdr:colOff>1358900</xdr:colOff>
      <xdr:row>48</xdr:row>
      <xdr:rowOff>43180</xdr:rowOff>
    </xdr:from>
    <xdr:to>
      <xdr:col>0</xdr:col>
      <xdr:colOff>1498600</xdr:colOff>
      <xdr:row>51</xdr:row>
      <xdr:rowOff>10160</xdr:rowOff>
    </xdr:to>
    <xdr:sp macro="" textlink="">
      <xdr:nvSpPr>
        <xdr:cNvPr id="739" name="name 738"/>
        <xdr:cNvSpPr/>
      </xdr:nvSpPr>
      <xdr:spPr>
        <a:xfrm>
          <a:off x="1358900" y="8089900"/>
          <a:ext cx="139700" cy="469900"/>
        </a:xfrm>
        <a:prstGeom prst="rect">
          <a:avLst/>
        </a:prstGeom>
        <a:solidFill>
          <a:srgbClr val="4B008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Bonnet</a:t>
          </a:r>
        </a:p>
      </xdr:txBody>
    </xdr:sp>
    <xdr:clientData/>
  </xdr:twoCellAnchor>
  <xdr:twoCellAnchor editAs="absolute">
    <xdr:from>
      <xdr:col>0</xdr:col>
      <xdr:colOff>1435100</xdr:colOff>
      <xdr:row>50</xdr:row>
      <xdr:rowOff>165100</xdr:rowOff>
    </xdr:from>
    <xdr:to>
      <xdr:col>0</xdr:col>
      <xdr:colOff>1574800</xdr:colOff>
      <xdr:row>52</xdr:row>
      <xdr:rowOff>20320</xdr:rowOff>
    </xdr:to>
    <xdr:sp macro="" textlink="">
      <xdr:nvSpPr>
        <xdr:cNvPr id="740" name="left 739"/>
        <xdr:cNvSpPr/>
      </xdr:nvSpPr>
      <xdr:spPr>
        <a:xfrm>
          <a:off x="1435100" y="85471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1841500</xdr:colOff>
      <xdr:row>50</xdr:row>
      <xdr:rowOff>165100</xdr:rowOff>
    </xdr:from>
    <xdr:to>
      <xdr:col>0</xdr:col>
      <xdr:colOff>1981200</xdr:colOff>
      <xdr:row>52</xdr:row>
      <xdr:rowOff>20320</xdr:rowOff>
    </xdr:to>
    <xdr:sp macro="" textlink="">
      <xdr:nvSpPr>
        <xdr:cNvPr id="741" name="right 740"/>
        <xdr:cNvSpPr/>
      </xdr:nvSpPr>
      <xdr:spPr>
        <a:xfrm>
          <a:off x="1841500" y="85471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2019300</xdr:colOff>
      <xdr:row>48</xdr:row>
      <xdr:rowOff>30480</xdr:rowOff>
    </xdr:from>
    <xdr:to>
      <xdr:col>0</xdr:col>
      <xdr:colOff>2692400</xdr:colOff>
      <xdr:row>52</xdr:row>
      <xdr:rowOff>33020</xdr:rowOff>
    </xdr:to>
    <xdr:sp macro="" textlink="">
      <xdr:nvSpPr>
        <xdr:cNvPr id="742" name="outline 741"/>
        <xdr:cNvSpPr/>
      </xdr:nvSpPr>
      <xdr:spPr>
        <a:xfrm>
          <a:off x="2019300" y="8077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2032000</xdr:colOff>
      <xdr:row>48</xdr:row>
      <xdr:rowOff>43180</xdr:rowOff>
    </xdr:from>
    <xdr:to>
      <xdr:col>0</xdr:col>
      <xdr:colOff>2679700</xdr:colOff>
      <xdr:row>49</xdr:row>
      <xdr:rowOff>15240</xdr:rowOff>
    </xdr:to>
    <xdr:sp macro="" textlink="">
      <xdr:nvSpPr>
        <xdr:cNvPr id="743" name="name 742"/>
        <xdr:cNvSpPr/>
      </xdr:nvSpPr>
      <xdr:spPr>
        <a:xfrm>
          <a:off x="2032000" y="8089900"/>
          <a:ext cx="647700" cy="139700"/>
        </a:xfrm>
        <a:prstGeom prst="rect">
          <a:avLst/>
        </a:prstGeom>
        <a:solidFill>
          <a:srgbClr val="4B008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118°Li/Gautier</a:t>
          </a:r>
        </a:p>
      </xdr:txBody>
    </xdr:sp>
    <xdr:clientData/>
  </xdr:twoCellAnchor>
  <xdr:twoCellAnchor editAs="absolute">
    <xdr:from>
      <xdr:col>0</xdr:col>
      <xdr:colOff>2235200</xdr:colOff>
      <xdr:row>49</xdr:row>
      <xdr:rowOff>27940</xdr:rowOff>
    </xdr:from>
    <xdr:to>
      <xdr:col>0</xdr:col>
      <xdr:colOff>2603500</xdr:colOff>
      <xdr:row>51</xdr:row>
      <xdr:rowOff>111760</xdr:rowOff>
    </xdr:to>
    <xdr:pic>
      <xdr:nvPicPr>
        <xdr:cNvPr id="744" name="symbol 74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8242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2082800</xdr:colOff>
      <xdr:row>50</xdr:row>
      <xdr:rowOff>165100</xdr:rowOff>
    </xdr:from>
    <xdr:to>
      <xdr:col>0</xdr:col>
      <xdr:colOff>2247900</xdr:colOff>
      <xdr:row>52</xdr:row>
      <xdr:rowOff>20320</xdr:rowOff>
    </xdr:to>
    <xdr:sp macro="" textlink="">
      <xdr:nvSpPr>
        <xdr:cNvPr id="745" name="fleft 744"/>
        <xdr:cNvSpPr/>
      </xdr:nvSpPr>
      <xdr:spPr>
        <a:xfrm>
          <a:off x="2082800" y="8547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2387600</xdr:colOff>
      <xdr:row>50</xdr:row>
      <xdr:rowOff>165100</xdr:rowOff>
    </xdr:from>
    <xdr:to>
      <xdr:col>0</xdr:col>
      <xdr:colOff>2527300</xdr:colOff>
      <xdr:row>52</xdr:row>
      <xdr:rowOff>20320</xdr:rowOff>
    </xdr:to>
    <xdr:sp macro="" textlink="">
      <xdr:nvSpPr>
        <xdr:cNvPr id="746" name="fmiddle 745"/>
        <xdr:cNvSpPr/>
      </xdr:nvSpPr>
      <xdr:spPr>
        <a:xfrm>
          <a:off x="2387600" y="8547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2514600</xdr:colOff>
      <xdr:row>50</xdr:row>
      <xdr:rowOff>165100</xdr:rowOff>
    </xdr:from>
    <xdr:to>
      <xdr:col>0</xdr:col>
      <xdr:colOff>2679700</xdr:colOff>
      <xdr:row>52</xdr:row>
      <xdr:rowOff>20320</xdr:rowOff>
    </xdr:to>
    <xdr:sp macro="" textlink="">
      <xdr:nvSpPr>
        <xdr:cNvPr id="747" name="fright 746"/>
        <xdr:cNvSpPr/>
      </xdr:nvSpPr>
      <xdr:spPr>
        <a:xfrm>
          <a:off x="2514600" y="8547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2540000</xdr:colOff>
      <xdr:row>49</xdr:row>
      <xdr:rowOff>78740</xdr:rowOff>
    </xdr:from>
    <xdr:to>
      <xdr:col>0</xdr:col>
      <xdr:colOff>2679700</xdr:colOff>
      <xdr:row>50</xdr:row>
      <xdr:rowOff>76200</xdr:rowOff>
    </xdr:to>
    <xdr:sp macro="" textlink="">
      <xdr:nvSpPr>
        <xdr:cNvPr id="748" name="eng 747"/>
        <xdr:cNvSpPr/>
      </xdr:nvSpPr>
      <xdr:spPr>
        <a:xfrm>
          <a:off x="2540000" y="82931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2692400</xdr:colOff>
      <xdr:row>48</xdr:row>
      <xdr:rowOff>30480</xdr:rowOff>
    </xdr:from>
    <xdr:to>
      <xdr:col>0</xdr:col>
      <xdr:colOff>3365500</xdr:colOff>
      <xdr:row>52</xdr:row>
      <xdr:rowOff>33020</xdr:rowOff>
    </xdr:to>
    <xdr:sp macro="" textlink="">
      <xdr:nvSpPr>
        <xdr:cNvPr id="749" name="outline 748"/>
        <xdr:cNvSpPr/>
      </xdr:nvSpPr>
      <xdr:spPr>
        <a:xfrm>
          <a:off x="2692400" y="8077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2705100</xdr:colOff>
      <xdr:row>48</xdr:row>
      <xdr:rowOff>43180</xdr:rowOff>
    </xdr:from>
    <xdr:to>
      <xdr:col>0</xdr:col>
      <xdr:colOff>3352800</xdr:colOff>
      <xdr:row>49</xdr:row>
      <xdr:rowOff>15240</xdr:rowOff>
    </xdr:to>
    <xdr:sp macro="" textlink="">
      <xdr:nvSpPr>
        <xdr:cNvPr id="750" name="name 749"/>
        <xdr:cNvSpPr/>
      </xdr:nvSpPr>
      <xdr:spPr>
        <a:xfrm>
          <a:off x="2705100" y="8089900"/>
          <a:ext cx="647700" cy="139700"/>
        </a:xfrm>
        <a:prstGeom prst="rect">
          <a:avLst/>
        </a:prstGeom>
        <a:solidFill>
          <a:srgbClr val="4B008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119°Li/Gautier</a:t>
          </a:r>
        </a:p>
      </xdr:txBody>
    </xdr:sp>
    <xdr:clientData/>
  </xdr:twoCellAnchor>
  <xdr:twoCellAnchor editAs="absolute">
    <xdr:from>
      <xdr:col>0</xdr:col>
      <xdr:colOff>2908300</xdr:colOff>
      <xdr:row>49</xdr:row>
      <xdr:rowOff>27940</xdr:rowOff>
    </xdr:from>
    <xdr:to>
      <xdr:col>0</xdr:col>
      <xdr:colOff>3276600</xdr:colOff>
      <xdr:row>51</xdr:row>
      <xdr:rowOff>111760</xdr:rowOff>
    </xdr:to>
    <xdr:pic>
      <xdr:nvPicPr>
        <xdr:cNvPr id="751" name="symbol 75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300" y="8242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2755900</xdr:colOff>
      <xdr:row>50</xdr:row>
      <xdr:rowOff>165100</xdr:rowOff>
    </xdr:from>
    <xdr:to>
      <xdr:col>0</xdr:col>
      <xdr:colOff>2921000</xdr:colOff>
      <xdr:row>52</xdr:row>
      <xdr:rowOff>20320</xdr:rowOff>
    </xdr:to>
    <xdr:sp macro="" textlink="">
      <xdr:nvSpPr>
        <xdr:cNvPr id="752" name="fleft 751"/>
        <xdr:cNvSpPr/>
      </xdr:nvSpPr>
      <xdr:spPr>
        <a:xfrm>
          <a:off x="2755900" y="8547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3060700</xdr:colOff>
      <xdr:row>50</xdr:row>
      <xdr:rowOff>165100</xdr:rowOff>
    </xdr:from>
    <xdr:to>
      <xdr:col>0</xdr:col>
      <xdr:colOff>3200400</xdr:colOff>
      <xdr:row>52</xdr:row>
      <xdr:rowOff>20320</xdr:rowOff>
    </xdr:to>
    <xdr:sp macro="" textlink="">
      <xdr:nvSpPr>
        <xdr:cNvPr id="753" name="fmiddle 752"/>
        <xdr:cNvSpPr/>
      </xdr:nvSpPr>
      <xdr:spPr>
        <a:xfrm>
          <a:off x="3060700" y="8547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3187700</xdr:colOff>
      <xdr:row>50</xdr:row>
      <xdr:rowOff>165100</xdr:rowOff>
    </xdr:from>
    <xdr:to>
      <xdr:col>0</xdr:col>
      <xdr:colOff>3352800</xdr:colOff>
      <xdr:row>52</xdr:row>
      <xdr:rowOff>20320</xdr:rowOff>
    </xdr:to>
    <xdr:sp macro="" textlink="">
      <xdr:nvSpPr>
        <xdr:cNvPr id="754" name="fright 753"/>
        <xdr:cNvSpPr/>
      </xdr:nvSpPr>
      <xdr:spPr>
        <a:xfrm>
          <a:off x="3187700" y="8547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3213100</xdr:colOff>
      <xdr:row>49</xdr:row>
      <xdr:rowOff>78740</xdr:rowOff>
    </xdr:from>
    <xdr:to>
      <xdr:col>0</xdr:col>
      <xdr:colOff>3352800</xdr:colOff>
      <xdr:row>50</xdr:row>
      <xdr:rowOff>76200</xdr:rowOff>
    </xdr:to>
    <xdr:sp macro="" textlink="">
      <xdr:nvSpPr>
        <xdr:cNvPr id="755" name="eng 754"/>
        <xdr:cNvSpPr/>
      </xdr:nvSpPr>
      <xdr:spPr>
        <a:xfrm>
          <a:off x="3213100" y="82931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3365500</xdr:colOff>
      <xdr:row>48</xdr:row>
      <xdr:rowOff>30480</xdr:rowOff>
    </xdr:from>
    <xdr:to>
      <xdr:col>0</xdr:col>
      <xdr:colOff>4038600</xdr:colOff>
      <xdr:row>52</xdr:row>
      <xdr:rowOff>33020</xdr:rowOff>
    </xdr:to>
    <xdr:sp macro="" textlink="">
      <xdr:nvSpPr>
        <xdr:cNvPr id="756" name="outline 755"/>
        <xdr:cNvSpPr/>
      </xdr:nvSpPr>
      <xdr:spPr>
        <a:xfrm>
          <a:off x="3365500" y="8077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3378200</xdr:colOff>
      <xdr:row>48</xdr:row>
      <xdr:rowOff>43180</xdr:rowOff>
    </xdr:from>
    <xdr:to>
      <xdr:col>0</xdr:col>
      <xdr:colOff>4025900</xdr:colOff>
      <xdr:row>49</xdr:row>
      <xdr:rowOff>15240</xdr:rowOff>
    </xdr:to>
    <xdr:sp macro="" textlink="">
      <xdr:nvSpPr>
        <xdr:cNvPr id="757" name="name 756"/>
        <xdr:cNvSpPr/>
      </xdr:nvSpPr>
      <xdr:spPr>
        <a:xfrm>
          <a:off x="3378200" y="8089900"/>
          <a:ext cx="647700" cy="139700"/>
        </a:xfrm>
        <a:prstGeom prst="rect">
          <a:avLst/>
        </a:prstGeom>
        <a:solidFill>
          <a:srgbClr val="4B008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120°Li/2nd Bgde</a:t>
          </a:r>
        </a:p>
      </xdr:txBody>
    </xdr:sp>
    <xdr:clientData/>
  </xdr:twoCellAnchor>
  <xdr:twoCellAnchor editAs="absolute">
    <xdr:from>
      <xdr:col>0</xdr:col>
      <xdr:colOff>3581400</xdr:colOff>
      <xdr:row>49</xdr:row>
      <xdr:rowOff>27940</xdr:rowOff>
    </xdr:from>
    <xdr:to>
      <xdr:col>0</xdr:col>
      <xdr:colOff>3949700</xdr:colOff>
      <xdr:row>51</xdr:row>
      <xdr:rowOff>111760</xdr:rowOff>
    </xdr:to>
    <xdr:pic>
      <xdr:nvPicPr>
        <xdr:cNvPr id="758" name="symbol 75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0" y="8242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3429000</xdr:colOff>
      <xdr:row>50</xdr:row>
      <xdr:rowOff>165100</xdr:rowOff>
    </xdr:from>
    <xdr:to>
      <xdr:col>0</xdr:col>
      <xdr:colOff>3594100</xdr:colOff>
      <xdr:row>52</xdr:row>
      <xdr:rowOff>20320</xdr:rowOff>
    </xdr:to>
    <xdr:sp macro="" textlink="">
      <xdr:nvSpPr>
        <xdr:cNvPr id="759" name="fleft 758"/>
        <xdr:cNvSpPr/>
      </xdr:nvSpPr>
      <xdr:spPr>
        <a:xfrm>
          <a:off x="3429000" y="8547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3733800</xdr:colOff>
      <xdr:row>50</xdr:row>
      <xdr:rowOff>165100</xdr:rowOff>
    </xdr:from>
    <xdr:to>
      <xdr:col>0</xdr:col>
      <xdr:colOff>3873500</xdr:colOff>
      <xdr:row>52</xdr:row>
      <xdr:rowOff>20320</xdr:rowOff>
    </xdr:to>
    <xdr:sp macro="" textlink="">
      <xdr:nvSpPr>
        <xdr:cNvPr id="760" name="fmiddle 759"/>
        <xdr:cNvSpPr/>
      </xdr:nvSpPr>
      <xdr:spPr>
        <a:xfrm>
          <a:off x="3733800" y="8547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3860800</xdr:colOff>
      <xdr:row>50</xdr:row>
      <xdr:rowOff>165100</xdr:rowOff>
    </xdr:from>
    <xdr:to>
      <xdr:col>0</xdr:col>
      <xdr:colOff>4025900</xdr:colOff>
      <xdr:row>52</xdr:row>
      <xdr:rowOff>20320</xdr:rowOff>
    </xdr:to>
    <xdr:sp macro="" textlink="">
      <xdr:nvSpPr>
        <xdr:cNvPr id="761" name="fright 760"/>
        <xdr:cNvSpPr/>
      </xdr:nvSpPr>
      <xdr:spPr>
        <a:xfrm>
          <a:off x="3860800" y="8547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3886200</xdr:colOff>
      <xdr:row>49</xdr:row>
      <xdr:rowOff>78740</xdr:rowOff>
    </xdr:from>
    <xdr:to>
      <xdr:col>0</xdr:col>
      <xdr:colOff>4025900</xdr:colOff>
      <xdr:row>50</xdr:row>
      <xdr:rowOff>76200</xdr:rowOff>
    </xdr:to>
    <xdr:sp macro="" textlink="">
      <xdr:nvSpPr>
        <xdr:cNvPr id="762" name="eng 761"/>
        <xdr:cNvSpPr/>
      </xdr:nvSpPr>
      <xdr:spPr>
        <a:xfrm>
          <a:off x="3886200" y="82931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4038600</xdr:colOff>
      <xdr:row>48</xdr:row>
      <xdr:rowOff>30480</xdr:rowOff>
    </xdr:from>
    <xdr:to>
      <xdr:col>0</xdr:col>
      <xdr:colOff>4711700</xdr:colOff>
      <xdr:row>52</xdr:row>
      <xdr:rowOff>33020</xdr:rowOff>
    </xdr:to>
    <xdr:sp macro="" textlink="">
      <xdr:nvSpPr>
        <xdr:cNvPr id="763" name="outline 762"/>
        <xdr:cNvSpPr/>
      </xdr:nvSpPr>
      <xdr:spPr>
        <a:xfrm>
          <a:off x="4038600" y="8077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4051300</xdr:colOff>
      <xdr:row>48</xdr:row>
      <xdr:rowOff>43180</xdr:rowOff>
    </xdr:from>
    <xdr:to>
      <xdr:col>0</xdr:col>
      <xdr:colOff>4699000</xdr:colOff>
      <xdr:row>49</xdr:row>
      <xdr:rowOff>15240</xdr:rowOff>
    </xdr:to>
    <xdr:sp macro="" textlink="">
      <xdr:nvSpPr>
        <xdr:cNvPr id="764" name="name 763"/>
        <xdr:cNvSpPr/>
      </xdr:nvSpPr>
      <xdr:spPr>
        <a:xfrm>
          <a:off x="4051300" y="8089900"/>
          <a:ext cx="647700" cy="139700"/>
        </a:xfrm>
        <a:prstGeom prst="rect">
          <a:avLst/>
        </a:prstGeom>
        <a:solidFill>
          <a:srgbClr val="4B008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122°Li/2nd Bgde</a:t>
          </a:r>
        </a:p>
      </xdr:txBody>
    </xdr:sp>
    <xdr:clientData/>
  </xdr:twoCellAnchor>
  <xdr:twoCellAnchor editAs="absolute">
    <xdr:from>
      <xdr:col>0</xdr:col>
      <xdr:colOff>4254500</xdr:colOff>
      <xdr:row>49</xdr:row>
      <xdr:rowOff>27940</xdr:rowOff>
    </xdr:from>
    <xdr:to>
      <xdr:col>0</xdr:col>
      <xdr:colOff>4622800</xdr:colOff>
      <xdr:row>51</xdr:row>
      <xdr:rowOff>111760</xdr:rowOff>
    </xdr:to>
    <xdr:pic>
      <xdr:nvPicPr>
        <xdr:cNvPr id="765" name="symbol 76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4500" y="8242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4102100</xdr:colOff>
      <xdr:row>50</xdr:row>
      <xdr:rowOff>165100</xdr:rowOff>
    </xdr:from>
    <xdr:to>
      <xdr:col>0</xdr:col>
      <xdr:colOff>4267200</xdr:colOff>
      <xdr:row>52</xdr:row>
      <xdr:rowOff>20320</xdr:rowOff>
    </xdr:to>
    <xdr:sp macro="" textlink="">
      <xdr:nvSpPr>
        <xdr:cNvPr id="766" name="fleft 765"/>
        <xdr:cNvSpPr/>
      </xdr:nvSpPr>
      <xdr:spPr>
        <a:xfrm>
          <a:off x="4102100" y="8547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4406900</xdr:colOff>
      <xdr:row>50</xdr:row>
      <xdr:rowOff>165100</xdr:rowOff>
    </xdr:from>
    <xdr:to>
      <xdr:col>0</xdr:col>
      <xdr:colOff>4546600</xdr:colOff>
      <xdr:row>52</xdr:row>
      <xdr:rowOff>20320</xdr:rowOff>
    </xdr:to>
    <xdr:sp macro="" textlink="">
      <xdr:nvSpPr>
        <xdr:cNvPr id="767" name="fmiddle 766"/>
        <xdr:cNvSpPr/>
      </xdr:nvSpPr>
      <xdr:spPr>
        <a:xfrm>
          <a:off x="4406900" y="8547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4533900</xdr:colOff>
      <xdr:row>50</xdr:row>
      <xdr:rowOff>165100</xdr:rowOff>
    </xdr:from>
    <xdr:to>
      <xdr:col>0</xdr:col>
      <xdr:colOff>4699000</xdr:colOff>
      <xdr:row>52</xdr:row>
      <xdr:rowOff>20320</xdr:rowOff>
    </xdr:to>
    <xdr:sp macro="" textlink="">
      <xdr:nvSpPr>
        <xdr:cNvPr id="768" name="fright 767"/>
        <xdr:cNvSpPr/>
      </xdr:nvSpPr>
      <xdr:spPr>
        <a:xfrm>
          <a:off x="4533900" y="8547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4559300</xdr:colOff>
      <xdr:row>49</xdr:row>
      <xdr:rowOff>78740</xdr:rowOff>
    </xdr:from>
    <xdr:to>
      <xdr:col>0</xdr:col>
      <xdr:colOff>4699000</xdr:colOff>
      <xdr:row>50</xdr:row>
      <xdr:rowOff>76200</xdr:rowOff>
    </xdr:to>
    <xdr:sp macro="" textlink="">
      <xdr:nvSpPr>
        <xdr:cNvPr id="769" name="eng 768"/>
        <xdr:cNvSpPr/>
      </xdr:nvSpPr>
      <xdr:spPr>
        <a:xfrm>
          <a:off x="4559300" y="82931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4711700</xdr:colOff>
      <xdr:row>48</xdr:row>
      <xdr:rowOff>30480</xdr:rowOff>
    </xdr:from>
    <xdr:to>
      <xdr:col>0</xdr:col>
      <xdr:colOff>5384800</xdr:colOff>
      <xdr:row>52</xdr:row>
      <xdr:rowOff>33020</xdr:rowOff>
    </xdr:to>
    <xdr:sp macro="" textlink="">
      <xdr:nvSpPr>
        <xdr:cNvPr id="770" name="outline 769"/>
        <xdr:cNvSpPr/>
      </xdr:nvSpPr>
      <xdr:spPr>
        <a:xfrm>
          <a:off x="4711700" y="8077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4927600</xdr:colOff>
      <xdr:row>48</xdr:row>
      <xdr:rowOff>43180</xdr:rowOff>
    </xdr:from>
    <xdr:to>
      <xdr:col>0</xdr:col>
      <xdr:colOff>5372100</xdr:colOff>
      <xdr:row>49</xdr:row>
      <xdr:rowOff>15240</xdr:rowOff>
    </xdr:to>
    <xdr:sp macro="" textlink="">
      <xdr:nvSpPr>
        <xdr:cNvPr id="771" name="name 770"/>
        <xdr:cNvSpPr/>
      </xdr:nvSpPr>
      <xdr:spPr>
        <a:xfrm>
          <a:off x="4927600" y="8089900"/>
          <a:ext cx="444500" cy="139700"/>
        </a:xfrm>
        <a:prstGeom prst="rect">
          <a:avLst/>
        </a:prstGeom>
        <a:solidFill>
          <a:srgbClr val="4B008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Bonnet</a:t>
          </a:r>
        </a:p>
      </xdr:txBody>
    </xdr:sp>
    <xdr:clientData/>
  </xdr:twoCellAnchor>
  <xdr:twoCellAnchor editAs="absolute">
    <xdr:from>
      <xdr:col>0</xdr:col>
      <xdr:colOff>4800600</xdr:colOff>
      <xdr:row>49</xdr:row>
      <xdr:rowOff>53340</xdr:rowOff>
    </xdr:from>
    <xdr:to>
      <xdr:col>0</xdr:col>
      <xdr:colOff>5295900</xdr:colOff>
      <xdr:row>51</xdr:row>
      <xdr:rowOff>10160</xdr:rowOff>
    </xdr:to>
    <xdr:pic>
      <xdr:nvPicPr>
        <xdr:cNvPr id="772" name="symbol 771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0600" y="82677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4775200</xdr:colOff>
      <xdr:row>50</xdr:row>
      <xdr:rowOff>165100</xdr:rowOff>
    </xdr:from>
    <xdr:to>
      <xdr:col>0</xdr:col>
      <xdr:colOff>4965700</xdr:colOff>
      <xdr:row>51</xdr:row>
      <xdr:rowOff>162560</xdr:rowOff>
    </xdr:to>
    <xdr:sp macro="" textlink="">
      <xdr:nvSpPr>
        <xdr:cNvPr id="773" name="fleft 772"/>
        <xdr:cNvSpPr/>
      </xdr:nvSpPr>
      <xdr:spPr>
        <a:xfrm>
          <a:off x="4775200" y="85471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(3)</a:t>
          </a:r>
        </a:p>
      </xdr:txBody>
    </xdr:sp>
    <xdr:clientData/>
  </xdr:twoCellAnchor>
  <xdr:twoCellAnchor editAs="absolute">
    <xdr:from>
      <xdr:col>0</xdr:col>
      <xdr:colOff>5003800</xdr:colOff>
      <xdr:row>50</xdr:row>
      <xdr:rowOff>165100</xdr:rowOff>
    </xdr:from>
    <xdr:to>
      <xdr:col>0</xdr:col>
      <xdr:colOff>5143500</xdr:colOff>
      <xdr:row>52</xdr:row>
      <xdr:rowOff>20320</xdr:rowOff>
    </xdr:to>
    <xdr:sp macro="" textlink="">
      <xdr:nvSpPr>
        <xdr:cNvPr id="774" name="fmiddle 773"/>
        <xdr:cNvSpPr/>
      </xdr:nvSpPr>
      <xdr:spPr>
        <a:xfrm>
          <a:off x="5003800" y="8547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5181600</xdr:colOff>
      <xdr:row>50</xdr:row>
      <xdr:rowOff>165100</xdr:rowOff>
    </xdr:from>
    <xdr:to>
      <xdr:col>0</xdr:col>
      <xdr:colOff>5346700</xdr:colOff>
      <xdr:row>52</xdr:row>
      <xdr:rowOff>20320</xdr:rowOff>
    </xdr:to>
    <xdr:sp macro="" textlink="">
      <xdr:nvSpPr>
        <xdr:cNvPr id="775" name="fright 774"/>
        <xdr:cNvSpPr/>
      </xdr:nvSpPr>
      <xdr:spPr>
        <a:xfrm>
          <a:off x="5181600" y="8547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4724400</xdr:colOff>
      <xdr:row>48</xdr:row>
      <xdr:rowOff>43180</xdr:rowOff>
    </xdr:from>
    <xdr:to>
      <xdr:col>0</xdr:col>
      <xdr:colOff>4914900</xdr:colOff>
      <xdr:row>48</xdr:row>
      <xdr:rowOff>157480</xdr:rowOff>
    </xdr:to>
    <xdr:sp macro="" textlink="">
      <xdr:nvSpPr>
        <xdr:cNvPr id="776" name="eng 775"/>
        <xdr:cNvSpPr/>
      </xdr:nvSpPr>
      <xdr:spPr>
        <a:xfrm>
          <a:off x="4724400" y="80899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2-4</a:t>
          </a:r>
        </a:p>
      </xdr:txBody>
    </xdr:sp>
    <xdr:clientData/>
  </xdr:twoCellAnchor>
  <xdr:twoCellAnchor editAs="absolute">
    <xdr:from>
      <xdr:col>0</xdr:col>
      <xdr:colOff>5384800</xdr:colOff>
      <xdr:row>48</xdr:row>
      <xdr:rowOff>30480</xdr:rowOff>
    </xdr:from>
    <xdr:to>
      <xdr:col>0</xdr:col>
      <xdr:colOff>6057900</xdr:colOff>
      <xdr:row>52</xdr:row>
      <xdr:rowOff>33020</xdr:rowOff>
    </xdr:to>
    <xdr:sp macro="" textlink="">
      <xdr:nvSpPr>
        <xdr:cNvPr id="777" name="outline 776"/>
        <xdr:cNvSpPr/>
      </xdr:nvSpPr>
      <xdr:spPr>
        <a:xfrm>
          <a:off x="5384800" y="80772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5549900</xdr:colOff>
      <xdr:row>48</xdr:row>
      <xdr:rowOff>68580</xdr:rowOff>
    </xdr:from>
    <xdr:to>
      <xdr:col>0</xdr:col>
      <xdr:colOff>6045200</xdr:colOff>
      <xdr:row>50</xdr:row>
      <xdr:rowOff>152400</xdr:rowOff>
    </xdr:to>
    <xdr:sp macro="" textlink="">
      <xdr:nvSpPr>
        <xdr:cNvPr id="778" name="flag 777"/>
        <xdr:cNvSpPr/>
      </xdr:nvSpPr>
      <xdr:spPr>
        <a:xfrm>
          <a:off x="5549900" y="81153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LC</a:t>
          </a:r>
        </a:p>
      </xdr:txBody>
    </xdr:sp>
    <xdr:clientData/>
  </xdr:twoCellAnchor>
  <xdr:twoCellAnchor editAs="absolute">
    <xdr:from>
      <xdr:col>0</xdr:col>
      <xdr:colOff>5397500</xdr:colOff>
      <xdr:row>48</xdr:row>
      <xdr:rowOff>43180</xdr:rowOff>
    </xdr:from>
    <xdr:to>
      <xdr:col>0</xdr:col>
      <xdr:colOff>5537200</xdr:colOff>
      <xdr:row>51</xdr:row>
      <xdr:rowOff>10160</xdr:rowOff>
    </xdr:to>
    <xdr:sp macro="" textlink="">
      <xdr:nvSpPr>
        <xdr:cNvPr id="779" name="name 778"/>
        <xdr:cNvSpPr/>
      </xdr:nvSpPr>
      <xdr:spPr>
        <a:xfrm>
          <a:off x="5397500" y="8089900"/>
          <a:ext cx="139700" cy="469900"/>
        </a:xfrm>
        <a:prstGeom prst="rect">
          <a:avLst/>
        </a:prstGeom>
        <a:solidFill>
          <a:srgbClr val="A52A2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00"/>
              </a:solidFill>
              <a:latin typeface="arial narrow"/>
            </a:rPr>
            <a:t>Curto</a:t>
          </a:r>
        </a:p>
      </xdr:txBody>
    </xdr:sp>
    <xdr:clientData/>
  </xdr:twoCellAnchor>
  <xdr:twoCellAnchor editAs="absolute">
    <xdr:from>
      <xdr:col>0</xdr:col>
      <xdr:colOff>5473700</xdr:colOff>
      <xdr:row>50</xdr:row>
      <xdr:rowOff>165100</xdr:rowOff>
    </xdr:from>
    <xdr:to>
      <xdr:col>0</xdr:col>
      <xdr:colOff>5613400</xdr:colOff>
      <xdr:row>52</xdr:row>
      <xdr:rowOff>20320</xdr:rowOff>
    </xdr:to>
    <xdr:sp macro="" textlink="">
      <xdr:nvSpPr>
        <xdr:cNvPr id="780" name="left 779"/>
        <xdr:cNvSpPr/>
      </xdr:nvSpPr>
      <xdr:spPr>
        <a:xfrm>
          <a:off x="5473700" y="85471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5880100</xdr:colOff>
      <xdr:row>50</xdr:row>
      <xdr:rowOff>165100</xdr:rowOff>
    </xdr:from>
    <xdr:to>
      <xdr:col>0</xdr:col>
      <xdr:colOff>6019800</xdr:colOff>
      <xdr:row>52</xdr:row>
      <xdr:rowOff>20320</xdr:rowOff>
    </xdr:to>
    <xdr:sp macro="" textlink="">
      <xdr:nvSpPr>
        <xdr:cNvPr id="781" name="right 780"/>
        <xdr:cNvSpPr/>
      </xdr:nvSpPr>
      <xdr:spPr>
        <a:xfrm>
          <a:off x="5880100" y="85471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6057900</xdr:colOff>
      <xdr:row>48</xdr:row>
      <xdr:rowOff>30480</xdr:rowOff>
    </xdr:from>
    <xdr:to>
      <xdr:col>0</xdr:col>
      <xdr:colOff>6731000</xdr:colOff>
      <xdr:row>52</xdr:row>
      <xdr:rowOff>33020</xdr:rowOff>
    </xdr:to>
    <xdr:sp macro="" textlink="">
      <xdr:nvSpPr>
        <xdr:cNvPr id="782" name="outline 781"/>
        <xdr:cNvSpPr/>
      </xdr:nvSpPr>
      <xdr:spPr>
        <a:xfrm>
          <a:off x="6057900" y="80772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6223000</xdr:colOff>
      <xdr:row>48</xdr:row>
      <xdr:rowOff>68580</xdr:rowOff>
    </xdr:from>
    <xdr:to>
      <xdr:col>0</xdr:col>
      <xdr:colOff>6718300</xdr:colOff>
      <xdr:row>50</xdr:row>
      <xdr:rowOff>152400</xdr:rowOff>
    </xdr:to>
    <xdr:sp macro="" textlink="">
      <xdr:nvSpPr>
        <xdr:cNvPr id="783" name="flag 782"/>
        <xdr:cNvSpPr/>
      </xdr:nvSpPr>
      <xdr:spPr>
        <a:xfrm>
          <a:off x="6223000" y="81153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LC</a:t>
          </a:r>
        </a:p>
      </xdr:txBody>
    </xdr:sp>
    <xdr:clientData/>
  </xdr:twoCellAnchor>
  <xdr:twoCellAnchor editAs="absolute">
    <xdr:from>
      <xdr:col>0</xdr:col>
      <xdr:colOff>6070600</xdr:colOff>
      <xdr:row>48</xdr:row>
      <xdr:rowOff>43180</xdr:rowOff>
    </xdr:from>
    <xdr:to>
      <xdr:col>0</xdr:col>
      <xdr:colOff>6210300</xdr:colOff>
      <xdr:row>51</xdr:row>
      <xdr:rowOff>10160</xdr:rowOff>
    </xdr:to>
    <xdr:sp macro="" textlink="">
      <xdr:nvSpPr>
        <xdr:cNvPr id="784" name="name 783"/>
        <xdr:cNvSpPr/>
      </xdr:nvSpPr>
      <xdr:spPr>
        <a:xfrm>
          <a:off x="6070600" y="8089900"/>
          <a:ext cx="139700" cy="469900"/>
        </a:xfrm>
        <a:prstGeom prst="rect">
          <a:avLst/>
        </a:prstGeom>
        <a:solidFill>
          <a:srgbClr val="A52A2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00"/>
              </a:solidFill>
              <a:latin typeface="arial narrow"/>
            </a:rPr>
            <a:t>Curto</a:t>
          </a:r>
        </a:p>
      </xdr:txBody>
    </xdr:sp>
    <xdr:clientData/>
  </xdr:twoCellAnchor>
  <xdr:twoCellAnchor editAs="absolute">
    <xdr:from>
      <xdr:col>0</xdr:col>
      <xdr:colOff>6146800</xdr:colOff>
      <xdr:row>50</xdr:row>
      <xdr:rowOff>165100</xdr:rowOff>
    </xdr:from>
    <xdr:to>
      <xdr:col>0</xdr:col>
      <xdr:colOff>6286500</xdr:colOff>
      <xdr:row>52</xdr:row>
      <xdr:rowOff>20320</xdr:rowOff>
    </xdr:to>
    <xdr:sp macro="" textlink="">
      <xdr:nvSpPr>
        <xdr:cNvPr id="785" name="left 784"/>
        <xdr:cNvSpPr/>
      </xdr:nvSpPr>
      <xdr:spPr>
        <a:xfrm>
          <a:off x="6146800" y="85471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6553200</xdr:colOff>
      <xdr:row>50</xdr:row>
      <xdr:rowOff>165100</xdr:rowOff>
    </xdr:from>
    <xdr:to>
      <xdr:col>0</xdr:col>
      <xdr:colOff>6692900</xdr:colOff>
      <xdr:row>52</xdr:row>
      <xdr:rowOff>20320</xdr:rowOff>
    </xdr:to>
    <xdr:sp macro="" textlink="">
      <xdr:nvSpPr>
        <xdr:cNvPr id="786" name="right 785"/>
        <xdr:cNvSpPr/>
      </xdr:nvSpPr>
      <xdr:spPr>
        <a:xfrm>
          <a:off x="6553200" y="85471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0</xdr:colOff>
      <xdr:row>52</xdr:row>
      <xdr:rowOff>33020</xdr:rowOff>
    </xdr:from>
    <xdr:to>
      <xdr:col>0</xdr:col>
      <xdr:colOff>673100</xdr:colOff>
      <xdr:row>56</xdr:row>
      <xdr:rowOff>35560</xdr:rowOff>
    </xdr:to>
    <xdr:sp macro="" textlink="">
      <xdr:nvSpPr>
        <xdr:cNvPr id="787" name="outline 786"/>
        <xdr:cNvSpPr/>
      </xdr:nvSpPr>
      <xdr:spPr>
        <a:xfrm>
          <a:off x="0" y="87503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12700</xdr:colOff>
      <xdr:row>52</xdr:row>
      <xdr:rowOff>45720</xdr:rowOff>
    </xdr:from>
    <xdr:to>
      <xdr:col>0</xdr:col>
      <xdr:colOff>660400</xdr:colOff>
      <xdr:row>53</xdr:row>
      <xdr:rowOff>17780</xdr:rowOff>
    </xdr:to>
    <xdr:sp macro="" textlink="">
      <xdr:nvSpPr>
        <xdr:cNvPr id="788" name="name 787"/>
        <xdr:cNvSpPr/>
      </xdr:nvSpPr>
      <xdr:spPr>
        <a:xfrm>
          <a:off x="12700" y="8763000"/>
          <a:ext cx="647700" cy="139700"/>
        </a:xfrm>
        <a:prstGeom prst="rect">
          <a:avLst/>
        </a:prstGeom>
        <a:solidFill>
          <a:srgbClr val="A52A2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00"/>
              </a:solidFill>
              <a:latin typeface="arial narrow"/>
            </a:rPr>
            <a:t>1st Bgde</a:t>
          </a:r>
        </a:p>
      </xdr:txBody>
    </xdr:sp>
    <xdr:clientData/>
  </xdr:twoCellAnchor>
  <xdr:twoCellAnchor editAs="absolute">
    <xdr:from>
      <xdr:col>0</xdr:col>
      <xdr:colOff>165100</xdr:colOff>
      <xdr:row>53</xdr:row>
      <xdr:rowOff>5080</xdr:rowOff>
    </xdr:from>
    <xdr:to>
      <xdr:col>0</xdr:col>
      <xdr:colOff>533400</xdr:colOff>
      <xdr:row>55</xdr:row>
      <xdr:rowOff>88900</xdr:rowOff>
    </xdr:to>
    <xdr:pic>
      <xdr:nvPicPr>
        <xdr:cNvPr id="789" name="symbol 788"/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" y="88900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63500</xdr:colOff>
      <xdr:row>55</xdr:row>
      <xdr:rowOff>0</xdr:rowOff>
    </xdr:from>
    <xdr:to>
      <xdr:col>0</xdr:col>
      <xdr:colOff>228600</xdr:colOff>
      <xdr:row>56</xdr:row>
      <xdr:rowOff>22860</xdr:rowOff>
    </xdr:to>
    <xdr:sp macro="" textlink="">
      <xdr:nvSpPr>
        <xdr:cNvPr id="790" name="fleft 789"/>
        <xdr:cNvSpPr/>
      </xdr:nvSpPr>
      <xdr:spPr>
        <a:xfrm>
          <a:off x="63500" y="9220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292100</xdr:colOff>
      <xdr:row>55</xdr:row>
      <xdr:rowOff>0</xdr:rowOff>
    </xdr:from>
    <xdr:to>
      <xdr:col>0</xdr:col>
      <xdr:colOff>431800</xdr:colOff>
      <xdr:row>56</xdr:row>
      <xdr:rowOff>22860</xdr:rowOff>
    </xdr:to>
    <xdr:sp macro="" textlink="">
      <xdr:nvSpPr>
        <xdr:cNvPr id="791" name="fmiddle 790"/>
        <xdr:cNvSpPr/>
      </xdr:nvSpPr>
      <xdr:spPr>
        <a:xfrm>
          <a:off x="292100" y="92202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469900</xdr:colOff>
      <xdr:row>55</xdr:row>
      <xdr:rowOff>0</xdr:rowOff>
    </xdr:from>
    <xdr:to>
      <xdr:col>0</xdr:col>
      <xdr:colOff>635000</xdr:colOff>
      <xdr:row>56</xdr:row>
      <xdr:rowOff>22860</xdr:rowOff>
    </xdr:to>
    <xdr:sp macro="" textlink="">
      <xdr:nvSpPr>
        <xdr:cNvPr id="792" name="fright 791"/>
        <xdr:cNvSpPr/>
      </xdr:nvSpPr>
      <xdr:spPr>
        <a:xfrm>
          <a:off x="469900" y="9220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520700</xdr:colOff>
      <xdr:row>53</xdr:row>
      <xdr:rowOff>55880</xdr:rowOff>
    </xdr:from>
    <xdr:to>
      <xdr:col>0</xdr:col>
      <xdr:colOff>660400</xdr:colOff>
      <xdr:row>54</xdr:row>
      <xdr:rowOff>53340</xdr:rowOff>
    </xdr:to>
    <xdr:sp macro="" textlink="">
      <xdr:nvSpPr>
        <xdr:cNvPr id="793" name="eng 792"/>
        <xdr:cNvSpPr/>
      </xdr:nvSpPr>
      <xdr:spPr>
        <a:xfrm>
          <a:off x="520700" y="89408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673100</xdr:colOff>
      <xdr:row>52</xdr:row>
      <xdr:rowOff>33020</xdr:rowOff>
    </xdr:from>
    <xdr:to>
      <xdr:col>0</xdr:col>
      <xdr:colOff>1346200</xdr:colOff>
      <xdr:row>56</xdr:row>
      <xdr:rowOff>35560</xdr:rowOff>
    </xdr:to>
    <xdr:sp macro="" textlink="">
      <xdr:nvSpPr>
        <xdr:cNvPr id="794" name="outline 793"/>
        <xdr:cNvSpPr/>
      </xdr:nvSpPr>
      <xdr:spPr>
        <a:xfrm>
          <a:off x="673100" y="87503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685800</xdr:colOff>
      <xdr:row>52</xdr:row>
      <xdr:rowOff>45720</xdr:rowOff>
    </xdr:from>
    <xdr:to>
      <xdr:col>0</xdr:col>
      <xdr:colOff>1333500</xdr:colOff>
      <xdr:row>53</xdr:row>
      <xdr:rowOff>17780</xdr:rowOff>
    </xdr:to>
    <xdr:sp macro="" textlink="">
      <xdr:nvSpPr>
        <xdr:cNvPr id="795" name="name 794"/>
        <xdr:cNvSpPr/>
      </xdr:nvSpPr>
      <xdr:spPr>
        <a:xfrm>
          <a:off x="685800" y="8763000"/>
          <a:ext cx="647700" cy="139700"/>
        </a:xfrm>
        <a:prstGeom prst="rect">
          <a:avLst/>
        </a:prstGeom>
        <a:solidFill>
          <a:srgbClr val="A52A2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00"/>
              </a:solidFill>
              <a:latin typeface="arial narrow"/>
            </a:rPr>
            <a:t>2nd Bgde</a:t>
          </a:r>
        </a:p>
      </xdr:txBody>
    </xdr:sp>
    <xdr:clientData/>
  </xdr:twoCellAnchor>
  <xdr:twoCellAnchor editAs="absolute">
    <xdr:from>
      <xdr:col>0</xdr:col>
      <xdr:colOff>838200</xdr:colOff>
      <xdr:row>53</xdr:row>
      <xdr:rowOff>5080</xdr:rowOff>
    </xdr:from>
    <xdr:to>
      <xdr:col>0</xdr:col>
      <xdr:colOff>1206500</xdr:colOff>
      <xdr:row>55</xdr:row>
      <xdr:rowOff>88900</xdr:rowOff>
    </xdr:to>
    <xdr:pic>
      <xdr:nvPicPr>
        <xdr:cNvPr id="796" name="symbol 795"/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88900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736600</xdr:colOff>
      <xdr:row>55</xdr:row>
      <xdr:rowOff>0</xdr:rowOff>
    </xdr:from>
    <xdr:to>
      <xdr:col>0</xdr:col>
      <xdr:colOff>901700</xdr:colOff>
      <xdr:row>56</xdr:row>
      <xdr:rowOff>22860</xdr:rowOff>
    </xdr:to>
    <xdr:sp macro="" textlink="">
      <xdr:nvSpPr>
        <xdr:cNvPr id="797" name="fleft 796"/>
        <xdr:cNvSpPr/>
      </xdr:nvSpPr>
      <xdr:spPr>
        <a:xfrm>
          <a:off x="736600" y="9220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965200</xdr:colOff>
      <xdr:row>55</xdr:row>
      <xdr:rowOff>0</xdr:rowOff>
    </xdr:from>
    <xdr:to>
      <xdr:col>0</xdr:col>
      <xdr:colOff>1104900</xdr:colOff>
      <xdr:row>56</xdr:row>
      <xdr:rowOff>22860</xdr:rowOff>
    </xdr:to>
    <xdr:sp macro="" textlink="">
      <xdr:nvSpPr>
        <xdr:cNvPr id="798" name="fmiddle 797"/>
        <xdr:cNvSpPr/>
      </xdr:nvSpPr>
      <xdr:spPr>
        <a:xfrm>
          <a:off x="965200" y="92202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1143000</xdr:colOff>
      <xdr:row>55</xdr:row>
      <xdr:rowOff>0</xdr:rowOff>
    </xdr:from>
    <xdr:to>
      <xdr:col>0</xdr:col>
      <xdr:colOff>1308100</xdr:colOff>
      <xdr:row>56</xdr:row>
      <xdr:rowOff>22860</xdr:rowOff>
    </xdr:to>
    <xdr:sp macro="" textlink="">
      <xdr:nvSpPr>
        <xdr:cNvPr id="799" name="fright 798"/>
        <xdr:cNvSpPr/>
      </xdr:nvSpPr>
      <xdr:spPr>
        <a:xfrm>
          <a:off x="1143000" y="9220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1193800</xdr:colOff>
      <xdr:row>53</xdr:row>
      <xdr:rowOff>55880</xdr:rowOff>
    </xdr:from>
    <xdr:to>
      <xdr:col>0</xdr:col>
      <xdr:colOff>1333500</xdr:colOff>
      <xdr:row>54</xdr:row>
      <xdr:rowOff>53340</xdr:rowOff>
    </xdr:to>
    <xdr:sp macro="" textlink="">
      <xdr:nvSpPr>
        <xdr:cNvPr id="800" name="eng 799"/>
        <xdr:cNvSpPr/>
      </xdr:nvSpPr>
      <xdr:spPr>
        <a:xfrm>
          <a:off x="1193800" y="89408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1346200</xdr:colOff>
      <xdr:row>52</xdr:row>
      <xdr:rowOff>33020</xdr:rowOff>
    </xdr:from>
    <xdr:to>
      <xdr:col>0</xdr:col>
      <xdr:colOff>2019300</xdr:colOff>
      <xdr:row>56</xdr:row>
      <xdr:rowOff>35560</xdr:rowOff>
    </xdr:to>
    <xdr:sp macro="" textlink="">
      <xdr:nvSpPr>
        <xdr:cNvPr id="801" name="outline 800"/>
        <xdr:cNvSpPr/>
      </xdr:nvSpPr>
      <xdr:spPr>
        <a:xfrm>
          <a:off x="1346200" y="87503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1562100</xdr:colOff>
      <xdr:row>52</xdr:row>
      <xdr:rowOff>45720</xdr:rowOff>
    </xdr:from>
    <xdr:to>
      <xdr:col>0</xdr:col>
      <xdr:colOff>2006600</xdr:colOff>
      <xdr:row>53</xdr:row>
      <xdr:rowOff>17780</xdr:rowOff>
    </xdr:to>
    <xdr:sp macro="" textlink="">
      <xdr:nvSpPr>
        <xdr:cNvPr id="802" name="name 801"/>
        <xdr:cNvSpPr/>
      </xdr:nvSpPr>
      <xdr:spPr>
        <a:xfrm>
          <a:off x="1562100" y="8763000"/>
          <a:ext cx="444500" cy="139700"/>
        </a:xfrm>
        <a:prstGeom prst="rect">
          <a:avLst/>
        </a:prstGeom>
        <a:solidFill>
          <a:srgbClr val="A52A2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00"/>
              </a:solidFill>
              <a:latin typeface="arial narrow"/>
            </a:rPr>
            <a:t>Curto</a:t>
          </a:r>
        </a:p>
      </xdr:txBody>
    </xdr:sp>
    <xdr:clientData/>
  </xdr:twoCellAnchor>
  <xdr:twoCellAnchor editAs="absolute">
    <xdr:from>
      <xdr:col>0</xdr:col>
      <xdr:colOff>1409700</xdr:colOff>
      <xdr:row>53</xdr:row>
      <xdr:rowOff>106680</xdr:rowOff>
    </xdr:from>
    <xdr:to>
      <xdr:col>0</xdr:col>
      <xdr:colOff>1803400</xdr:colOff>
      <xdr:row>55</xdr:row>
      <xdr:rowOff>12700</xdr:rowOff>
    </xdr:to>
    <xdr:pic>
      <xdr:nvPicPr>
        <xdr:cNvPr id="803" name="symbol 802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9700" y="8991600"/>
          <a:ext cx="393700" cy="241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1714500</xdr:colOff>
      <xdr:row>53</xdr:row>
      <xdr:rowOff>5080</xdr:rowOff>
    </xdr:from>
    <xdr:to>
      <xdr:col>0</xdr:col>
      <xdr:colOff>2006600</xdr:colOff>
      <xdr:row>54</xdr:row>
      <xdr:rowOff>129540</xdr:rowOff>
    </xdr:to>
    <xdr:pic>
      <xdr:nvPicPr>
        <xdr:cNvPr id="804" name="elite 803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8890000"/>
          <a:ext cx="2921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1409700</xdr:colOff>
      <xdr:row>55</xdr:row>
      <xdr:rowOff>0</xdr:rowOff>
    </xdr:from>
    <xdr:to>
      <xdr:col>0</xdr:col>
      <xdr:colOff>1600200</xdr:colOff>
      <xdr:row>55</xdr:row>
      <xdr:rowOff>165100</xdr:rowOff>
    </xdr:to>
    <xdr:sp macro="" textlink="">
      <xdr:nvSpPr>
        <xdr:cNvPr id="805" name="fleft 804"/>
        <xdr:cNvSpPr/>
      </xdr:nvSpPr>
      <xdr:spPr>
        <a:xfrm>
          <a:off x="1409700" y="92202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1638300</xdr:colOff>
      <xdr:row>55</xdr:row>
      <xdr:rowOff>0</xdr:rowOff>
    </xdr:from>
    <xdr:to>
      <xdr:col>0</xdr:col>
      <xdr:colOff>1778000</xdr:colOff>
      <xdr:row>56</xdr:row>
      <xdr:rowOff>22860</xdr:rowOff>
    </xdr:to>
    <xdr:sp macro="" textlink="">
      <xdr:nvSpPr>
        <xdr:cNvPr id="806" name="fmiddle 805"/>
        <xdr:cNvSpPr/>
      </xdr:nvSpPr>
      <xdr:spPr>
        <a:xfrm>
          <a:off x="1638300" y="92202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1816100</xdr:colOff>
      <xdr:row>55</xdr:row>
      <xdr:rowOff>0</xdr:rowOff>
    </xdr:from>
    <xdr:to>
      <xdr:col>0</xdr:col>
      <xdr:colOff>1981200</xdr:colOff>
      <xdr:row>56</xdr:row>
      <xdr:rowOff>22860</xdr:rowOff>
    </xdr:to>
    <xdr:sp macro="" textlink="">
      <xdr:nvSpPr>
        <xdr:cNvPr id="807" name="fright 806"/>
        <xdr:cNvSpPr/>
      </xdr:nvSpPr>
      <xdr:spPr>
        <a:xfrm>
          <a:off x="1816100" y="9220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1358900</xdr:colOff>
      <xdr:row>52</xdr:row>
      <xdr:rowOff>45720</xdr:rowOff>
    </xdr:from>
    <xdr:to>
      <xdr:col>0</xdr:col>
      <xdr:colOff>1549400</xdr:colOff>
      <xdr:row>52</xdr:row>
      <xdr:rowOff>160020</xdr:rowOff>
    </xdr:to>
    <xdr:sp macro="" textlink="">
      <xdr:nvSpPr>
        <xdr:cNvPr id="808" name="eng 807"/>
        <xdr:cNvSpPr/>
      </xdr:nvSpPr>
      <xdr:spPr>
        <a:xfrm>
          <a:off x="1358900" y="87630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2-3</a:t>
          </a:r>
        </a:p>
      </xdr:txBody>
    </xdr:sp>
    <xdr:clientData/>
  </xdr:twoCellAnchor>
  <xdr:twoCellAnchor editAs="absolute">
    <xdr:from>
      <xdr:col>0</xdr:col>
      <xdr:colOff>2019300</xdr:colOff>
      <xdr:row>52</xdr:row>
      <xdr:rowOff>33020</xdr:rowOff>
    </xdr:from>
    <xdr:to>
      <xdr:col>0</xdr:col>
      <xdr:colOff>2692400</xdr:colOff>
      <xdr:row>56</xdr:row>
      <xdr:rowOff>35560</xdr:rowOff>
    </xdr:to>
    <xdr:sp macro="" textlink="">
      <xdr:nvSpPr>
        <xdr:cNvPr id="809" name="outline 808"/>
        <xdr:cNvSpPr/>
      </xdr:nvSpPr>
      <xdr:spPr>
        <a:xfrm>
          <a:off x="2019300" y="87503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2184400</xdr:colOff>
      <xdr:row>52</xdr:row>
      <xdr:rowOff>71120</xdr:rowOff>
    </xdr:from>
    <xdr:to>
      <xdr:col>0</xdr:col>
      <xdr:colOff>2679700</xdr:colOff>
      <xdr:row>54</xdr:row>
      <xdr:rowOff>154940</xdr:rowOff>
    </xdr:to>
    <xdr:sp macro="" textlink="">
      <xdr:nvSpPr>
        <xdr:cNvPr id="810" name="flag 809"/>
        <xdr:cNvSpPr/>
      </xdr:nvSpPr>
      <xdr:spPr>
        <a:xfrm>
          <a:off x="2184400" y="87884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HC</a:t>
          </a:r>
        </a:p>
      </xdr:txBody>
    </xdr:sp>
    <xdr:clientData/>
  </xdr:twoCellAnchor>
  <xdr:twoCellAnchor editAs="absolute">
    <xdr:from>
      <xdr:col>0</xdr:col>
      <xdr:colOff>2032000</xdr:colOff>
      <xdr:row>52</xdr:row>
      <xdr:rowOff>45720</xdr:rowOff>
    </xdr:from>
    <xdr:to>
      <xdr:col>0</xdr:col>
      <xdr:colOff>2171700</xdr:colOff>
      <xdr:row>55</xdr:row>
      <xdr:rowOff>12700</xdr:rowOff>
    </xdr:to>
    <xdr:sp macro="" textlink="">
      <xdr:nvSpPr>
        <xdr:cNvPr id="811" name="name 810"/>
        <xdr:cNvSpPr/>
      </xdr:nvSpPr>
      <xdr:spPr>
        <a:xfrm>
          <a:off x="2032000" y="8763000"/>
          <a:ext cx="139700" cy="469900"/>
        </a:xfrm>
        <a:prstGeom prst="rect">
          <a:avLst/>
        </a:prstGeom>
        <a:solidFill>
          <a:srgbClr val="0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Boyer</a:t>
          </a:r>
        </a:p>
      </xdr:txBody>
    </xdr:sp>
    <xdr:clientData/>
  </xdr:twoCellAnchor>
  <xdr:twoCellAnchor editAs="absolute">
    <xdr:from>
      <xdr:col>0</xdr:col>
      <xdr:colOff>2108200</xdr:colOff>
      <xdr:row>55</xdr:row>
      <xdr:rowOff>0</xdr:rowOff>
    </xdr:from>
    <xdr:to>
      <xdr:col>0</xdr:col>
      <xdr:colOff>2247900</xdr:colOff>
      <xdr:row>56</xdr:row>
      <xdr:rowOff>22860</xdr:rowOff>
    </xdr:to>
    <xdr:sp macro="" textlink="">
      <xdr:nvSpPr>
        <xdr:cNvPr id="812" name="left 811"/>
        <xdr:cNvSpPr/>
      </xdr:nvSpPr>
      <xdr:spPr>
        <a:xfrm>
          <a:off x="2108200" y="9220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2514600</xdr:colOff>
      <xdr:row>55</xdr:row>
      <xdr:rowOff>0</xdr:rowOff>
    </xdr:from>
    <xdr:to>
      <xdr:col>0</xdr:col>
      <xdr:colOff>2654300</xdr:colOff>
      <xdr:row>56</xdr:row>
      <xdr:rowOff>22860</xdr:rowOff>
    </xdr:to>
    <xdr:sp macro="" textlink="">
      <xdr:nvSpPr>
        <xdr:cNvPr id="813" name="right 812"/>
        <xdr:cNvSpPr/>
      </xdr:nvSpPr>
      <xdr:spPr>
        <a:xfrm>
          <a:off x="2514600" y="9220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2692400</xdr:colOff>
      <xdr:row>52</xdr:row>
      <xdr:rowOff>33020</xdr:rowOff>
    </xdr:from>
    <xdr:to>
      <xdr:col>0</xdr:col>
      <xdr:colOff>3365500</xdr:colOff>
      <xdr:row>56</xdr:row>
      <xdr:rowOff>35560</xdr:rowOff>
    </xdr:to>
    <xdr:sp macro="" textlink="">
      <xdr:nvSpPr>
        <xdr:cNvPr id="814" name="outline 813"/>
        <xdr:cNvSpPr/>
      </xdr:nvSpPr>
      <xdr:spPr>
        <a:xfrm>
          <a:off x="2692400" y="87503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2857500</xdr:colOff>
      <xdr:row>52</xdr:row>
      <xdr:rowOff>71120</xdr:rowOff>
    </xdr:from>
    <xdr:to>
      <xdr:col>0</xdr:col>
      <xdr:colOff>3352800</xdr:colOff>
      <xdr:row>54</xdr:row>
      <xdr:rowOff>154940</xdr:rowOff>
    </xdr:to>
    <xdr:sp macro="" textlink="">
      <xdr:nvSpPr>
        <xdr:cNvPr id="815" name="flag 814"/>
        <xdr:cNvSpPr/>
      </xdr:nvSpPr>
      <xdr:spPr>
        <a:xfrm>
          <a:off x="2857500" y="87884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HC</a:t>
          </a:r>
        </a:p>
      </xdr:txBody>
    </xdr:sp>
    <xdr:clientData/>
  </xdr:twoCellAnchor>
  <xdr:twoCellAnchor editAs="absolute">
    <xdr:from>
      <xdr:col>0</xdr:col>
      <xdr:colOff>2705100</xdr:colOff>
      <xdr:row>52</xdr:row>
      <xdr:rowOff>45720</xdr:rowOff>
    </xdr:from>
    <xdr:to>
      <xdr:col>0</xdr:col>
      <xdr:colOff>2844800</xdr:colOff>
      <xdr:row>55</xdr:row>
      <xdr:rowOff>12700</xdr:rowOff>
    </xdr:to>
    <xdr:sp macro="" textlink="">
      <xdr:nvSpPr>
        <xdr:cNvPr id="816" name="name 815"/>
        <xdr:cNvSpPr/>
      </xdr:nvSpPr>
      <xdr:spPr>
        <a:xfrm>
          <a:off x="2705100" y="8763000"/>
          <a:ext cx="139700" cy="469900"/>
        </a:xfrm>
        <a:prstGeom prst="rect">
          <a:avLst/>
        </a:prstGeom>
        <a:solidFill>
          <a:srgbClr val="0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Boyer</a:t>
          </a:r>
        </a:p>
      </xdr:txBody>
    </xdr:sp>
    <xdr:clientData/>
  </xdr:twoCellAnchor>
  <xdr:twoCellAnchor editAs="absolute">
    <xdr:from>
      <xdr:col>0</xdr:col>
      <xdr:colOff>2781300</xdr:colOff>
      <xdr:row>55</xdr:row>
      <xdr:rowOff>0</xdr:rowOff>
    </xdr:from>
    <xdr:to>
      <xdr:col>0</xdr:col>
      <xdr:colOff>2921000</xdr:colOff>
      <xdr:row>56</xdr:row>
      <xdr:rowOff>22860</xdr:rowOff>
    </xdr:to>
    <xdr:sp macro="" textlink="">
      <xdr:nvSpPr>
        <xdr:cNvPr id="817" name="left 816"/>
        <xdr:cNvSpPr/>
      </xdr:nvSpPr>
      <xdr:spPr>
        <a:xfrm>
          <a:off x="2781300" y="9220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3187700</xdr:colOff>
      <xdr:row>55</xdr:row>
      <xdr:rowOff>0</xdr:rowOff>
    </xdr:from>
    <xdr:to>
      <xdr:col>0</xdr:col>
      <xdr:colOff>3327400</xdr:colOff>
      <xdr:row>56</xdr:row>
      <xdr:rowOff>22860</xdr:rowOff>
    </xdr:to>
    <xdr:sp macro="" textlink="">
      <xdr:nvSpPr>
        <xdr:cNvPr id="818" name="right 817"/>
        <xdr:cNvSpPr/>
      </xdr:nvSpPr>
      <xdr:spPr>
        <a:xfrm>
          <a:off x="3187700" y="9220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3365500</xdr:colOff>
      <xdr:row>52</xdr:row>
      <xdr:rowOff>33020</xdr:rowOff>
    </xdr:from>
    <xdr:to>
      <xdr:col>0</xdr:col>
      <xdr:colOff>4038600</xdr:colOff>
      <xdr:row>56</xdr:row>
      <xdr:rowOff>35560</xdr:rowOff>
    </xdr:to>
    <xdr:sp macro="" textlink="">
      <xdr:nvSpPr>
        <xdr:cNvPr id="819" name="outline 818"/>
        <xdr:cNvSpPr/>
      </xdr:nvSpPr>
      <xdr:spPr>
        <a:xfrm>
          <a:off x="3365500" y="87503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3378200</xdr:colOff>
      <xdr:row>52</xdr:row>
      <xdr:rowOff>45720</xdr:rowOff>
    </xdr:from>
    <xdr:to>
      <xdr:col>0</xdr:col>
      <xdr:colOff>4025900</xdr:colOff>
      <xdr:row>53</xdr:row>
      <xdr:rowOff>17780</xdr:rowOff>
    </xdr:to>
    <xdr:sp macro="" textlink="">
      <xdr:nvSpPr>
        <xdr:cNvPr id="820" name="name 819"/>
        <xdr:cNvSpPr/>
      </xdr:nvSpPr>
      <xdr:spPr>
        <a:xfrm>
          <a:off x="3378200" y="8763000"/>
          <a:ext cx="647700" cy="139700"/>
        </a:xfrm>
        <a:prstGeom prst="rect">
          <a:avLst/>
        </a:prstGeom>
        <a:solidFill>
          <a:srgbClr val="0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1st Bgde</a:t>
          </a:r>
        </a:p>
      </xdr:txBody>
    </xdr:sp>
    <xdr:clientData/>
  </xdr:twoCellAnchor>
  <xdr:twoCellAnchor editAs="absolute">
    <xdr:from>
      <xdr:col>0</xdr:col>
      <xdr:colOff>3530600</xdr:colOff>
      <xdr:row>53</xdr:row>
      <xdr:rowOff>5080</xdr:rowOff>
    </xdr:from>
    <xdr:to>
      <xdr:col>0</xdr:col>
      <xdr:colOff>3898900</xdr:colOff>
      <xdr:row>55</xdr:row>
      <xdr:rowOff>88900</xdr:rowOff>
    </xdr:to>
    <xdr:pic>
      <xdr:nvPicPr>
        <xdr:cNvPr id="821" name="symbol 820"/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30600" y="88900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3429000</xdr:colOff>
      <xdr:row>53</xdr:row>
      <xdr:rowOff>55880</xdr:rowOff>
    </xdr:from>
    <xdr:to>
      <xdr:col>0</xdr:col>
      <xdr:colOff>3568700</xdr:colOff>
      <xdr:row>54</xdr:row>
      <xdr:rowOff>53340</xdr:rowOff>
    </xdr:to>
    <xdr:sp macro="" textlink="">
      <xdr:nvSpPr>
        <xdr:cNvPr id="822" name="heavy 821"/>
        <xdr:cNvSpPr/>
      </xdr:nvSpPr>
      <xdr:spPr>
        <a:xfrm>
          <a:off x="3429000" y="89408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FF0000"/>
              </a:solidFill>
              <a:latin typeface="arial bold"/>
            </a:rPr>
            <a:t>L</a:t>
          </a:r>
        </a:p>
      </xdr:txBody>
    </xdr:sp>
    <xdr:clientData/>
  </xdr:twoCellAnchor>
  <xdr:twoCellAnchor editAs="absolute">
    <xdr:from>
      <xdr:col>0</xdr:col>
      <xdr:colOff>3429000</xdr:colOff>
      <xdr:row>55</xdr:row>
      <xdr:rowOff>0</xdr:rowOff>
    </xdr:from>
    <xdr:to>
      <xdr:col>0</xdr:col>
      <xdr:colOff>3594100</xdr:colOff>
      <xdr:row>56</xdr:row>
      <xdr:rowOff>22860</xdr:rowOff>
    </xdr:to>
    <xdr:sp macro="" textlink="">
      <xdr:nvSpPr>
        <xdr:cNvPr id="823" name="fleft 822"/>
        <xdr:cNvSpPr/>
      </xdr:nvSpPr>
      <xdr:spPr>
        <a:xfrm>
          <a:off x="3429000" y="9220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3657600</xdr:colOff>
      <xdr:row>55</xdr:row>
      <xdr:rowOff>0</xdr:rowOff>
    </xdr:from>
    <xdr:to>
      <xdr:col>0</xdr:col>
      <xdr:colOff>3797300</xdr:colOff>
      <xdr:row>56</xdr:row>
      <xdr:rowOff>22860</xdr:rowOff>
    </xdr:to>
    <xdr:sp macro="" textlink="">
      <xdr:nvSpPr>
        <xdr:cNvPr id="824" name="fmiddle 823"/>
        <xdr:cNvSpPr/>
      </xdr:nvSpPr>
      <xdr:spPr>
        <a:xfrm>
          <a:off x="3657600" y="92202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3835400</xdr:colOff>
      <xdr:row>55</xdr:row>
      <xdr:rowOff>0</xdr:rowOff>
    </xdr:from>
    <xdr:to>
      <xdr:col>0</xdr:col>
      <xdr:colOff>4000500</xdr:colOff>
      <xdr:row>56</xdr:row>
      <xdr:rowOff>22860</xdr:rowOff>
    </xdr:to>
    <xdr:sp macro="" textlink="">
      <xdr:nvSpPr>
        <xdr:cNvPr id="825" name="fright 824"/>
        <xdr:cNvSpPr/>
      </xdr:nvSpPr>
      <xdr:spPr>
        <a:xfrm>
          <a:off x="3835400" y="9220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3886200</xdr:colOff>
      <xdr:row>53</xdr:row>
      <xdr:rowOff>55880</xdr:rowOff>
    </xdr:from>
    <xdr:to>
      <xdr:col>0</xdr:col>
      <xdr:colOff>4025900</xdr:colOff>
      <xdr:row>54</xdr:row>
      <xdr:rowOff>53340</xdr:rowOff>
    </xdr:to>
    <xdr:sp macro="" textlink="">
      <xdr:nvSpPr>
        <xdr:cNvPr id="826" name="eng 825"/>
        <xdr:cNvSpPr/>
      </xdr:nvSpPr>
      <xdr:spPr>
        <a:xfrm>
          <a:off x="3886200" y="89408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4038600</xdr:colOff>
      <xdr:row>52</xdr:row>
      <xdr:rowOff>33020</xdr:rowOff>
    </xdr:from>
    <xdr:to>
      <xdr:col>0</xdr:col>
      <xdr:colOff>4711700</xdr:colOff>
      <xdr:row>56</xdr:row>
      <xdr:rowOff>35560</xdr:rowOff>
    </xdr:to>
    <xdr:sp macro="" textlink="">
      <xdr:nvSpPr>
        <xdr:cNvPr id="827" name="outline 826"/>
        <xdr:cNvSpPr/>
      </xdr:nvSpPr>
      <xdr:spPr>
        <a:xfrm>
          <a:off x="4038600" y="87503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4051300</xdr:colOff>
      <xdr:row>52</xdr:row>
      <xdr:rowOff>45720</xdr:rowOff>
    </xdr:from>
    <xdr:to>
      <xdr:col>0</xdr:col>
      <xdr:colOff>4699000</xdr:colOff>
      <xdr:row>53</xdr:row>
      <xdr:rowOff>17780</xdr:rowOff>
    </xdr:to>
    <xdr:sp macro="" textlink="">
      <xdr:nvSpPr>
        <xdr:cNvPr id="828" name="name 827"/>
        <xdr:cNvSpPr/>
      </xdr:nvSpPr>
      <xdr:spPr>
        <a:xfrm>
          <a:off x="4051300" y="8763000"/>
          <a:ext cx="647700" cy="139700"/>
        </a:xfrm>
        <a:prstGeom prst="rect">
          <a:avLst/>
        </a:prstGeom>
        <a:solidFill>
          <a:srgbClr val="0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Carrié</a:t>
          </a:r>
        </a:p>
      </xdr:txBody>
    </xdr:sp>
    <xdr:clientData/>
  </xdr:twoCellAnchor>
  <xdr:twoCellAnchor editAs="absolute">
    <xdr:from>
      <xdr:col>0</xdr:col>
      <xdr:colOff>4203700</xdr:colOff>
      <xdr:row>53</xdr:row>
      <xdr:rowOff>5080</xdr:rowOff>
    </xdr:from>
    <xdr:to>
      <xdr:col>0</xdr:col>
      <xdr:colOff>4572000</xdr:colOff>
      <xdr:row>55</xdr:row>
      <xdr:rowOff>88900</xdr:rowOff>
    </xdr:to>
    <xdr:pic>
      <xdr:nvPicPr>
        <xdr:cNvPr id="829" name="symbol 828"/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3700" y="88900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4102100</xdr:colOff>
      <xdr:row>55</xdr:row>
      <xdr:rowOff>0</xdr:rowOff>
    </xdr:from>
    <xdr:to>
      <xdr:col>0</xdr:col>
      <xdr:colOff>4267200</xdr:colOff>
      <xdr:row>56</xdr:row>
      <xdr:rowOff>22860</xdr:rowOff>
    </xdr:to>
    <xdr:sp macro="" textlink="">
      <xdr:nvSpPr>
        <xdr:cNvPr id="830" name="fleft 829"/>
        <xdr:cNvSpPr/>
      </xdr:nvSpPr>
      <xdr:spPr>
        <a:xfrm>
          <a:off x="4102100" y="9220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4330700</xdr:colOff>
      <xdr:row>55</xdr:row>
      <xdr:rowOff>0</xdr:rowOff>
    </xdr:from>
    <xdr:to>
      <xdr:col>0</xdr:col>
      <xdr:colOff>4470400</xdr:colOff>
      <xdr:row>56</xdr:row>
      <xdr:rowOff>22860</xdr:rowOff>
    </xdr:to>
    <xdr:sp macro="" textlink="">
      <xdr:nvSpPr>
        <xdr:cNvPr id="831" name="fmiddle 830"/>
        <xdr:cNvSpPr/>
      </xdr:nvSpPr>
      <xdr:spPr>
        <a:xfrm>
          <a:off x="4330700" y="92202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4508500</xdr:colOff>
      <xdr:row>55</xdr:row>
      <xdr:rowOff>0</xdr:rowOff>
    </xdr:from>
    <xdr:to>
      <xdr:col>0</xdr:col>
      <xdr:colOff>4673600</xdr:colOff>
      <xdr:row>56</xdr:row>
      <xdr:rowOff>22860</xdr:rowOff>
    </xdr:to>
    <xdr:sp macro="" textlink="">
      <xdr:nvSpPr>
        <xdr:cNvPr id="832" name="fright 831"/>
        <xdr:cNvSpPr/>
      </xdr:nvSpPr>
      <xdr:spPr>
        <a:xfrm>
          <a:off x="4508500" y="9220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4559300</xdr:colOff>
      <xdr:row>53</xdr:row>
      <xdr:rowOff>55880</xdr:rowOff>
    </xdr:from>
    <xdr:to>
      <xdr:col>0</xdr:col>
      <xdr:colOff>4699000</xdr:colOff>
      <xdr:row>54</xdr:row>
      <xdr:rowOff>53340</xdr:rowOff>
    </xdr:to>
    <xdr:sp macro="" textlink="">
      <xdr:nvSpPr>
        <xdr:cNvPr id="833" name="eng 832"/>
        <xdr:cNvSpPr/>
      </xdr:nvSpPr>
      <xdr:spPr>
        <a:xfrm>
          <a:off x="4559300" y="89408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4711700</xdr:colOff>
      <xdr:row>52</xdr:row>
      <xdr:rowOff>33020</xdr:rowOff>
    </xdr:from>
    <xdr:to>
      <xdr:col>0</xdr:col>
      <xdr:colOff>5384800</xdr:colOff>
      <xdr:row>56</xdr:row>
      <xdr:rowOff>35560</xdr:rowOff>
    </xdr:to>
    <xdr:sp macro="" textlink="">
      <xdr:nvSpPr>
        <xdr:cNvPr id="834" name="outline 833"/>
        <xdr:cNvSpPr/>
      </xdr:nvSpPr>
      <xdr:spPr>
        <a:xfrm>
          <a:off x="4711700" y="87503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4927600</xdr:colOff>
      <xdr:row>52</xdr:row>
      <xdr:rowOff>45720</xdr:rowOff>
    </xdr:from>
    <xdr:to>
      <xdr:col>0</xdr:col>
      <xdr:colOff>5372100</xdr:colOff>
      <xdr:row>53</xdr:row>
      <xdr:rowOff>17780</xdr:rowOff>
    </xdr:to>
    <xdr:sp macro="" textlink="">
      <xdr:nvSpPr>
        <xdr:cNvPr id="835" name="name 834"/>
        <xdr:cNvSpPr/>
      </xdr:nvSpPr>
      <xdr:spPr>
        <a:xfrm>
          <a:off x="4927600" y="8763000"/>
          <a:ext cx="444500" cy="139700"/>
        </a:xfrm>
        <a:prstGeom prst="rect">
          <a:avLst/>
        </a:prstGeom>
        <a:solidFill>
          <a:srgbClr val="0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Boyer</a:t>
          </a:r>
        </a:p>
      </xdr:txBody>
    </xdr:sp>
    <xdr:clientData/>
  </xdr:twoCellAnchor>
  <xdr:twoCellAnchor editAs="absolute">
    <xdr:from>
      <xdr:col>0</xdr:col>
      <xdr:colOff>4775200</xdr:colOff>
      <xdr:row>53</xdr:row>
      <xdr:rowOff>106680</xdr:rowOff>
    </xdr:from>
    <xdr:to>
      <xdr:col>0</xdr:col>
      <xdr:colOff>5168900</xdr:colOff>
      <xdr:row>55</xdr:row>
      <xdr:rowOff>12700</xdr:rowOff>
    </xdr:to>
    <xdr:pic>
      <xdr:nvPicPr>
        <xdr:cNvPr id="836" name="symbol 835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5200" y="8991600"/>
          <a:ext cx="393700" cy="241300"/>
        </a:xfrm>
        <a:prstGeom prst="rect">
          <a:avLst/>
        </a:prstGeom>
      </xdr:spPr>
    </xdr:pic>
    <xdr:clientData/>
  </xdr:twoCellAnchor>
  <xdr:twoCellAnchor editAs="absolute">
    <xdr:from>
      <xdr:col>0</xdr:col>
      <xdr:colOff>5080000</xdr:colOff>
      <xdr:row>53</xdr:row>
      <xdr:rowOff>5080</xdr:rowOff>
    </xdr:from>
    <xdr:to>
      <xdr:col>0</xdr:col>
      <xdr:colOff>5372100</xdr:colOff>
      <xdr:row>54</xdr:row>
      <xdr:rowOff>129540</xdr:rowOff>
    </xdr:to>
    <xdr:pic>
      <xdr:nvPicPr>
        <xdr:cNvPr id="837" name="elite 836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0" y="8890000"/>
          <a:ext cx="2921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4775200</xdr:colOff>
      <xdr:row>55</xdr:row>
      <xdr:rowOff>0</xdr:rowOff>
    </xdr:from>
    <xdr:to>
      <xdr:col>0</xdr:col>
      <xdr:colOff>4965700</xdr:colOff>
      <xdr:row>55</xdr:row>
      <xdr:rowOff>165100</xdr:rowOff>
    </xdr:to>
    <xdr:sp macro="" textlink="">
      <xdr:nvSpPr>
        <xdr:cNvPr id="838" name="fleft 837"/>
        <xdr:cNvSpPr/>
      </xdr:nvSpPr>
      <xdr:spPr>
        <a:xfrm>
          <a:off x="4775200" y="92202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5003800</xdr:colOff>
      <xdr:row>55</xdr:row>
      <xdr:rowOff>0</xdr:rowOff>
    </xdr:from>
    <xdr:to>
      <xdr:col>0</xdr:col>
      <xdr:colOff>5143500</xdr:colOff>
      <xdr:row>56</xdr:row>
      <xdr:rowOff>22860</xdr:rowOff>
    </xdr:to>
    <xdr:sp macro="" textlink="">
      <xdr:nvSpPr>
        <xdr:cNvPr id="839" name="fmiddle 838"/>
        <xdr:cNvSpPr/>
      </xdr:nvSpPr>
      <xdr:spPr>
        <a:xfrm>
          <a:off x="5003800" y="92202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5181600</xdr:colOff>
      <xdr:row>55</xdr:row>
      <xdr:rowOff>0</xdr:rowOff>
    </xdr:from>
    <xdr:to>
      <xdr:col>0</xdr:col>
      <xdr:colOff>5346700</xdr:colOff>
      <xdr:row>56</xdr:row>
      <xdr:rowOff>22860</xdr:rowOff>
    </xdr:to>
    <xdr:sp macro="" textlink="">
      <xdr:nvSpPr>
        <xdr:cNvPr id="840" name="fright 839"/>
        <xdr:cNvSpPr/>
      </xdr:nvSpPr>
      <xdr:spPr>
        <a:xfrm>
          <a:off x="5181600" y="9220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4724400</xdr:colOff>
      <xdr:row>52</xdr:row>
      <xdr:rowOff>45720</xdr:rowOff>
    </xdr:from>
    <xdr:to>
      <xdr:col>0</xdr:col>
      <xdr:colOff>4914900</xdr:colOff>
      <xdr:row>52</xdr:row>
      <xdr:rowOff>160020</xdr:rowOff>
    </xdr:to>
    <xdr:sp macro="" textlink="">
      <xdr:nvSpPr>
        <xdr:cNvPr id="841" name="eng 840"/>
        <xdr:cNvSpPr/>
      </xdr:nvSpPr>
      <xdr:spPr>
        <a:xfrm>
          <a:off x="4724400" y="87630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2-3</a:t>
          </a:r>
        </a:p>
      </xdr:txBody>
    </xdr:sp>
    <xdr:clientData/>
  </xdr:twoCellAnchor>
  <xdr:twoCellAnchor editAs="absolute">
    <xdr:from>
      <xdr:col>0</xdr:col>
      <xdr:colOff>5384800</xdr:colOff>
      <xdr:row>52</xdr:row>
      <xdr:rowOff>33020</xdr:rowOff>
    </xdr:from>
    <xdr:to>
      <xdr:col>0</xdr:col>
      <xdr:colOff>6057900</xdr:colOff>
      <xdr:row>56</xdr:row>
      <xdr:rowOff>35560</xdr:rowOff>
    </xdr:to>
    <xdr:sp macro="" textlink="">
      <xdr:nvSpPr>
        <xdr:cNvPr id="842" name="outline 841"/>
        <xdr:cNvSpPr/>
      </xdr:nvSpPr>
      <xdr:spPr>
        <a:xfrm>
          <a:off x="5384800" y="87503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5600700</xdr:colOff>
      <xdr:row>52</xdr:row>
      <xdr:rowOff>45720</xdr:rowOff>
    </xdr:from>
    <xdr:to>
      <xdr:col>0</xdr:col>
      <xdr:colOff>6045200</xdr:colOff>
      <xdr:row>53</xdr:row>
      <xdr:rowOff>17780</xdr:rowOff>
    </xdr:to>
    <xdr:sp macro="" textlink="">
      <xdr:nvSpPr>
        <xdr:cNvPr id="843" name="name 842"/>
        <xdr:cNvSpPr/>
      </xdr:nvSpPr>
      <xdr:spPr>
        <a:xfrm>
          <a:off x="5600700" y="8763000"/>
          <a:ext cx="444500" cy="1397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I/Art.Res</a:t>
          </a:r>
        </a:p>
      </xdr:txBody>
    </xdr:sp>
    <xdr:clientData/>
  </xdr:twoCellAnchor>
  <xdr:twoCellAnchor editAs="absolute">
    <xdr:from>
      <xdr:col>0</xdr:col>
      <xdr:colOff>5473700</xdr:colOff>
      <xdr:row>53</xdr:row>
      <xdr:rowOff>55880</xdr:rowOff>
    </xdr:from>
    <xdr:to>
      <xdr:col>0</xdr:col>
      <xdr:colOff>5969000</xdr:colOff>
      <xdr:row>55</xdr:row>
      <xdr:rowOff>12700</xdr:rowOff>
    </xdr:to>
    <xdr:pic>
      <xdr:nvPicPr>
        <xdr:cNvPr id="844" name="symbol 843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3700" y="89408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5448300</xdr:colOff>
      <xdr:row>55</xdr:row>
      <xdr:rowOff>0</xdr:rowOff>
    </xdr:from>
    <xdr:to>
      <xdr:col>0</xdr:col>
      <xdr:colOff>5638800</xdr:colOff>
      <xdr:row>55</xdr:row>
      <xdr:rowOff>165100</xdr:rowOff>
    </xdr:to>
    <xdr:sp macro="" textlink="">
      <xdr:nvSpPr>
        <xdr:cNvPr id="845" name="fleft 844"/>
        <xdr:cNvSpPr/>
      </xdr:nvSpPr>
      <xdr:spPr>
        <a:xfrm>
          <a:off x="5448300" y="92202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(3)</a:t>
          </a:r>
        </a:p>
      </xdr:txBody>
    </xdr:sp>
    <xdr:clientData/>
  </xdr:twoCellAnchor>
  <xdr:twoCellAnchor editAs="absolute">
    <xdr:from>
      <xdr:col>0</xdr:col>
      <xdr:colOff>5676900</xdr:colOff>
      <xdr:row>55</xdr:row>
      <xdr:rowOff>0</xdr:rowOff>
    </xdr:from>
    <xdr:to>
      <xdr:col>0</xdr:col>
      <xdr:colOff>5816600</xdr:colOff>
      <xdr:row>56</xdr:row>
      <xdr:rowOff>22860</xdr:rowOff>
    </xdr:to>
    <xdr:sp macro="" textlink="">
      <xdr:nvSpPr>
        <xdr:cNvPr id="846" name="fmiddle 845"/>
        <xdr:cNvSpPr/>
      </xdr:nvSpPr>
      <xdr:spPr>
        <a:xfrm>
          <a:off x="5676900" y="92202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5854700</xdr:colOff>
      <xdr:row>55</xdr:row>
      <xdr:rowOff>0</xdr:rowOff>
    </xdr:from>
    <xdr:to>
      <xdr:col>0</xdr:col>
      <xdr:colOff>6019800</xdr:colOff>
      <xdr:row>56</xdr:row>
      <xdr:rowOff>22860</xdr:rowOff>
    </xdr:to>
    <xdr:sp macro="" textlink="">
      <xdr:nvSpPr>
        <xdr:cNvPr id="847" name="fright 846"/>
        <xdr:cNvSpPr/>
      </xdr:nvSpPr>
      <xdr:spPr>
        <a:xfrm>
          <a:off x="5854700" y="9220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5397500</xdr:colOff>
      <xdr:row>52</xdr:row>
      <xdr:rowOff>45720</xdr:rowOff>
    </xdr:from>
    <xdr:to>
      <xdr:col>0</xdr:col>
      <xdr:colOff>5588000</xdr:colOff>
      <xdr:row>52</xdr:row>
      <xdr:rowOff>160020</xdr:rowOff>
    </xdr:to>
    <xdr:sp macro="" textlink="">
      <xdr:nvSpPr>
        <xdr:cNvPr id="848" name="eng 847"/>
        <xdr:cNvSpPr/>
      </xdr:nvSpPr>
      <xdr:spPr>
        <a:xfrm>
          <a:off x="5397500" y="87630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2-4</a:t>
          </a:r>
        </a:p>
      </xdr:txBody>
    </xdr:sp>
    <xdr:clientData/>
  </xdr:twoCellAnchor>
  <xdr:twoCellAnchor editAs="absolute">
    <xdr:from>
      <xdr:col>0</xdr:col>
      <xdr:colOff>6057900</xdr:colOff>
      <xdr:row>52</xdr:row>
      <xdr:rowOff>33020</xdr:rowOff>
    </xdr:from>
    <xdr:to>
      <xdr:col>0</xdr:col>
      <xdr:colOff>6731000</xdr:colOff>
      <xdr:row>56</xdr:row>
      <xdr:rowOff>35560</xdr:rowOff>
    </xdr:to>
    <xdr:sp macro="" textlink="">
      <xdr:nvSpPr>
        <xdr:cNvPr id="849" name="outline 848"/>
        <xdr:cNvSpPr/>
      </xdr:nvSpPr>
      <xdr:spPr>
        <a:xfrm>
          <a:off x="6057900" y="87503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6273800</xdr:colOff>
      <xdr:row>52</xdr:row>
      <xdr:rowOff>45720</xdr:rowOff>
    </xdr:from>
    <xdr:to>
      <xdr:col>0</xdr:col>
      <xdr:colOff>6718300</xdr:colOff>
      <xdr:row>53</xdr:row>
      <xdr:rowOff>17780</xdr:rowOff>
    </xdr:to>
    <xdr:sp macro="" textlink="">
      <xdr:nvSpPr>
        <xdr:cNvPr id="850" name="name 849"/>
        <xdr:cNvSpPr/>
      </xdr:nvSpPr>
      <xdr:spPr>
        <a:xfrm>
          <a:off x="6273800" y="8763000"/>
          <a:ext cx="444500" cy="1397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II/Art.Res</a:t>
          </a:r>
        </a:p>
      </xdr:txBody>
    </xdr:sp>
    <xdr:clientData/>
  </xdr:twoCellAnchor>
  <xdr:twoCellAnchor editAs="absolute">
    <xdr:from>
      <xdr:col>0</xdr:col>
      <xdr:colOff>6146800</xdr:colOff>
      <xdr:row>53</xdr:row>
      <xdr:rowOff>55880</xdr:rowOff>
    </xdr:from>
    <xdr:to>
      <xdr:col>0</xdr:col>
      <xdr:colOff>6642100</xdr:colOff>
      <xdr:row>55</xdr:row>
      <xdr:rowOff>12700</xdr:rowOff>
    </xdr:to>
    <xdr:pic>
      <xdr:nvPicPr>
        <xdr:cNvPr id="851" name="symbol 850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46800" y="89408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6121400</xdr:colOff>
      <xdr:row>55</xdr:row>
      <xdr:rowOff>0</xdr:rowOff>
    </xdr:from>
    <xdr:to>
      <xdr:col>0</xdr:col>
      <xdr:colOff>6311900</xdr:colOff>
      <xdr:row>55</xdr:row>
      <xdr:rowOff>165100</xdr:rowOff>
    </xdr:to>
    <xdr:sp macro="" textlink="">
      <xdr:nvSpPr>
        <xdr:cNvPr id="852" name="fleft 851"/>
        <xdr:cNvSpPr/>
      </xdr:nvSpPr>
      <xdr:spPr>
        <a:xfrm>
          <a:off x="6121400" y="92202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(3)</a:t>
          </a:r>
        </a:p>
      </xdr:txBody>
    </xdr:sp>
    <xdr:clientData/>
  </xdr:twoCellAnchor>
  <xdr:twoCellAnchor editAs="absolute">
    <xdr:from>
      <xdr:col>0</xdr:col>
      <xdr:colOff>6350000</xdr:colOff>
      <xdr:row>55</xdr:row>
      <xdr:rowOff>0</xdr:rowOff>
    </xdr:from>
    <xdr:to>
      <xdr:col>0</xdr:col>
      <xdr:colOff>6489700</xdr:colOff>
      <xdr:row>56</xdr:row>
      <xdr:rowOff>22860</xdr:rowOff>
    </xdr:to>
    <xdr:sp macro="" textlink="">
      <xdr:nvSpPr>
        <xdr:cNvPr id="853" name="fmiddle 852"/>
        <xdr:cNvSpPr/>
      </xdr:nvSpPr>
      <xdr:spPr>
        <a:xfrm>
          <a:off x="6350000" y="92202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6527800</xdr:colOff>
      <xdr:row>55</xdr:row>
      <xdr:rowOff>0</xdr:rowOff>
    </xdr:from>
    <xdr:to>
      <xdr:col>0</xdr:col>
      <xdr:colOff>6692900</xdr:colOff>
      <xdr:row>56</xdr:row>
      <xdr:rowOff>22860</xdr:rowOff>
    </xdr:to>
    <xdr:sp macro="" textlink="">
      <xdr:nvSpPr>
        <xdr:cNvPr id="854" name="fright 853"/>
        <xdr:cNvSpPr/>
      </xdr:nvSpPr>
      <xdr:spPr>
        <a:xfrm>
          <a:off x="6527800" y="9220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6070600</xdr:colOff>
      <xdr:row>52</xdr:row>
      <xdr:rowOff>45720</xdr:rowOff>
    </xdr:from>
    <xdr:to>
      <xdr:col>0</xdr:col>
      <xdr:colOff>6261100</xdr:colOff>
      <xdr:row>52</xdr:row>
      <xdr:rowOff>160020</xdr:rowOff>
    </xdr:to>
    <xdr:sp macro="" textlink="">
      <xdr:nvSpPr>
        <xdr:cNvPr id="855" name="eng 854"/>
        <xdr:cNvSpPr/>
      </xdr:nvSpPr>
      <xdr:spPr>
        <a:xfrm>
          <a:off x="6070600" y="87630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2-4</a:t>
          </a:r>
        </a:p>
      </xdr:txBody>
    </xdr:sp>
    <xdr:clientData/>
  </xdr:twoCellAnchor>
  <xdr:twoCellAnchor editAs="absolute">
    <xdr:from>
      <xdr:col>0</xdr:col>
      <xdr:colOff>0</xdr:colOff>
      <xdr:row>56</xdr:row>
      <xdr:rowOff>35560</xdr:rowOff>
    </xdr:from>
    <xdr:to>
      <xdr:col>0</xdr:col>
      <xdr:colOff>673100</xdr:colOff>
      <xdr:row>60</xdr:row>
      <xdr:rowOff>38100</xdr:rowOff>
    </xdr:to>
    <xdr:sp macro="" textlink="">
      <xdr:nvSpPr>
        <xdr:cNvPr id="856" name="outline 855"/>
        <xdr:cNvSpPr/>
      </xdr:nvSpPr>
      <xdr:spPr>
        <a:xfrm>
          <a:off x="0" y="9423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215900</xdr:colOff>
      <xdr:row>56</xdr:row>
      <xdr:rowOff>48260</xdr:rowOff>
    </xdr:from>
    <xdr:to>
      <xdr:col>0</xdr:col>
      <xdr:colOff>660400</xdr:colOff>
      <xdr:row>57</xdr:row>
      <xdr:rowOff>20320</xdr:rowOff>
    </xdr:to>
    <xdr:sp macro="" textlink="">
      <xdr:nvSpPr>
        <xdr:cNvPr id="857" name="name 856"/>
        <xdr:cNvSpPr/>
      </xdr:nvSpPr>
      <xdr:spPr>
        <a:xfrm>
          <a:off x="215900" y="9436100"/>
          <a:ext cx="444500" cy="1397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III/Art.Res</a:t>
          </a:r>
        </a:p>
      </xdr:txBody>
    </xdr:sp>
    <xdr:clientData/>
  </xdr:twoCellAnchor>
  <xdr:twoCellAnchor editAs="absolute">
    <xdr:from>
      <xdr:col>0</xdr:col>
      <xdr:colOff>88900</xdr:colOff>
      <xdr:row>57</xdr:row>
      <xdr:rowOff>58420</xdr:rowOff>
    </xdr:from>
    <xdr:to>
      <xdr:col>0</xdr:col>
      <xdr:colOff>584200</xdr:colOff>
      <xdr:row>59</xdr:row>
      <xdr:rowOff>15240</xdr:rowOff>
    </xdr:to>
    <xdr:pic>
      <xdr:nvPicPr>
        <xdr:cNvPr id="858" name="symbol 857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00" y="96139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63500</xdr:colOff>
      <xdr:row>59</xdr:row>
      <xdr:rowOff>2540</xdr:rowOff>
    </xdr:from>
    <xdr:to>
      <xdr:col>0</xdr:col>
      <xdr:colOff>254000</xdr:colOff>
      <xdr:row>60</xdr:row>
      <xdr:rowOff>0</xdr:rowOff>
    </xdr:to>
    <xdr:sp macro="" textlink="">
      <xdr:nvSpPr>
        <xdr:cNvPr id="859" name="fleft 858"/>
        <xdr:cNvSpPr/>
      </xdr:nvSpPr>
      <xdr:spPr>
        <a:xfrm>
          <a:off x="63500" y="98933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(3)</a:t>
          </a:r>
        </a:p>
      </xdr:txBody>
    </xdr:sp>
    <xdr:clientData/>
  </xdr:twoCellAnchor>
  <xdr:twoCellAnchor editAs="absolute">
    <xdr:from>
      <xdr:col>0</xdr:col>
      <xdr:colOff>292100</xdr:colOff>
      <xdr:row>59</xdr:row>
      <xdr:rowOff>2540</xdr:rowOff>
    </xdr:from>
    <xdr:to>
      <xdr:col>0</xdr:col>
      <xdr:colOff>431800</xdr:colOff>
      <xdr:row>60</xdr:row>
      <xdr:rowOff>25400</xdr:rowOff>
    </xdr:to>
    <xdr:sp macro="" textlink="">
      <xdr:nvSpPr>
        <xdr:cNvPr id="860" name="fmiddle 859"/>
        <xdr:cNvSpPr/>
      </xdr:nvSpPr>
      <xdr:spPr>
        <a:xfrm>
          <a:off x="292100" y="9893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469900</xdr:colOff>
      <xdr:row>59</xdr:row>
      <xdr:rowOff>2540</xdr:rowOff>
    </xdr:from>
    <xdr:to>
      <xdr:col>0</xdr:col>
      <xdr:colOff>635000</xdr:colOff>
      <xdr:row>60</xdr:row>
      <xdr:rowOff>25400</xdr:rowOff>
    </xdr:to>
    <xdr:sp macro="" textlink="">
      <xdr:nvSpPr>
        <xdr:cNvPr id="861" name="fright 860"/>
        <xdr:cNvSpPr/>
      </xdr:nvSpPr>
      <xdr:spPr>
        <a:xfrm>
          <a:off x="469900" y="9893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12700</xdr:colOff>
      <xdr:row>56</xdr:row>
      <xdr:rowOff>48260</xdr:rowOff>
    </xdr:from>
    <xdr:to>
      <xdr:col>0</xdr:col>
      <xdr:colOff>203200</xdr:colOff>
      <xdr:row>56</xdr:row>
      <xdr:rowOff>162560</xdr:rowOff>
    </xdr:to>
    <xdr:sp macro="" textlink="">
      <xdr:nvSpPr>
        <xdr:cNvPr id="862" name="eng 861"/>
        <xdr:cNvSpPr/>
      </xdr:nvSpPr>
      <xdr:spPr>
        <a:xfrm>
          <a:off x="12700" y="94361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2-4</a:t>
          </a:r>
        </a:p>
      </xdr:txBody>
    </xdr:sp>
    <xdr:clientData/>
  </xdr:twoCellAnchor>
  <xdr:twoCellAnchor editAs="absolute">
    <xdr:from>
      <xdr:col>0</xdr:col>
      <xdr:colOff>673100</xdr:colOff>
      <xdr:row>56</xdr:row>
      <xdr:rowOff>35560</xdr:rowOff>
    </xdr:from>
    <xdr:to>
      <xdr:col>0</xdr:col>
      <xdr:colOff>1346200</xdr:colOff>
      <xdr:row>60</xdr:row>
      <xdr:rowOff>38100</xdr:rowOff>
    </xdr:to>
    <xdr:sp macro="" textlink="">
      <xdr:nvSpPr>
        <xdr:cNvPr id="863" name="outline 862"/>
        <xdr:cNvSpPr/>
      </xdr:nvSpPr>
      <xdr:spPr>
        <a:xfrm>
          <a:off x="673100" y="9423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889000</xdr:colOff>
      <xdr:row>56</xdr:row>
      <xdr:rowOff>48260</xdr:rowOff>
    </xdr:from>
    <xdr:to>
      <xdr:col>0</xdr:col>
      <xdr:colOff>1333500</xdr:colOff>
      <xdr:row>57</xdr:row>
      <xdr:rowOff>20320</xdr:rowOff>
    </xdr:to>
    <xdr:sp macro="" textlink="">
      <xdr:nvSpPr>
        <xdr:cNvPr id="864" name="name 863"/>
        <xdr:cNvSpPr/>
      </xdr:nvSpPr>
      <xdr:spPr>
        <a:xfrm>
          <a:off x="889000" y="9436100"/>
          <a:ext cx="444500" cy="1397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60" b="1" i="0">
              <a:solidFill>
                <a:srgbClr val="FFFFFF"/>
              </a:solidFill>
              <a:latin typeface="arial narrow"/>
            </a:rPr>
            <a:t>IV/Art.Res</a:t>
          </a:r>
        </a:p>
      </xdr:txBody>
    </xdr:sp>
    <xdr:clientData/>
  </xdr:twoCellAnchor>
  <xdr:twoCellAnchor editAs="absolute">
    <xdr:from>
      <xdr:col>0</xdr:col>
      <xdr:colOff>762000</xdr:colOff>
      <xdr:row>57</xdr:row>
      <xdr:rowOff>58420</xdr:rowOff>
    </xdr:from>
    <xdr:to>
      <xdr:col>0</xdr:col>
      <xdr:colOff>1257300</xdr:colOff>
      <xdr:row>59</xdr:row>
      <xdr:rowOff>15240</xdr:rowOff>
    </xdr:to>
    <xdr:pic>
      <xdr:nvPicPr>
        <xdr:cNvPr id="865" name="symbol 864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96139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736600</xdr:colOff>
      <xdr:row>59</xdr:row>
      <xdr:rowOff>2540</xdr:rowOff>
    </xdr:from>
    <xdr:to>
      <xdr:col>0</xdr:col>
      <xdr:colOff>927100</xdr:colOff>
      <xdr:row>60</xdr:row>
      <xdr:rowOff>0</xdr:rowOff>
    </xdr:to>
    <xdr:sp macro="" textlink="">
      <xdr:nvSpPr>
        <xdr:cNvPr id="866" name="fleft 865"/>
        <xdr:cNvSpPr/>
      </xdr:nvSpPr>
      <xdr:spPr>
        <a:xfrm>
          <a:off x="736600" y="98933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(3)</a:t>
          </a:r>
        </a:p>
      </xdr:txBody>
    </xdr:sp>
    <xdr:clientData/>
  </xdr:twoCellAnchor>
  <xdr:twoCellAnchor editAs="absolute">
    <xdr:from>
      <xdr:col>0</xdr:col>
      <xdr:colOff>965200</xdr:colOff>
      <xdr:row>59</xdr:row>
      <xdr:rowOff>2540</xdr:rowOff>
    </xdr:from>
    <xdr:to>
      <xdr:col>0</xdr:col>
      <xdr:colOff>1104900</xdr:colOff>
      <xdr:row>60</xdr:row>
      <xdr:rowOff>25400</xdr:rowOff>
    </xdr:to>
    <xdr:sp macro="" textlink="">
      <xdr:nvSpPr>
        <xdr:cNvPr id="867" name="fmiddle 866"/>
        <xdr:cNvSpPr/>
      </xdr:nvSpPr>
      <xdr:spPr>
        <a:xfrm>
          <a:off x="965200" y="9893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1143000</xdr:colOff>
      <xdr:row>59</xdr:row>
      <xdr:rowOff>2540</xdr:rowOff>
    </xdr:from>
    <xdr:to>
      <xdr:col>0</xdr:col>
      <xdr:colOff>1308100</xdr:colOff>
      <xdr:row>60</xdr:row>
      <xdr:rowOff>25400</xdr:rowOff>
    </xdr:to>
    <xdr:sp macro="" textlink="">
      <xdr:nvSpPr>
        <xdr:cNvPr id="868" name="fright 867"/>
        <xdr:cNvSpPr/>
      </xdr:nvSpPr>
      <xdr:spPr>
        <a:xfrm>
          <a:off x="1143000" y="9893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685800</xdr:colOff>
      <xdr:row>56</xdr:row>
      <xdr:rowOff>48260</xdr:rowOff>
    </xdr:from>
    <xdr:to>
      <xdr:col>0</xdr:col>
      <xdr:colOff>876300</xdr:colOff>
      <xdr:row>56</xdr:row>
      <xdr:rowOff>162560</xdr:rowOff>
    </xdr:to>
    <xdr:sp macro="" textlink="">
      <xdr:nvSpPr>
        <xdr:cNvPr id="869" name="eng 868"/>
        <xdr:cNvSpPr/>
      </xdr:nvSpPr>
      <xdr:spPr>
        <a:xfrm>
          <a:off x="685800" y="94361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2-4</a:t>
          </a:r>
        </a:p>
      </xdr:txBody>
    </xdr:sp>
    <xdr:clientData/>
  </xdr:twoCellAnchor>
  <xdr:twoCellAnchor editAs="absolute">
    <xdr:from>
      <xdr:col>0</xdr:col>
      <xdr:colOff>1346200</xdr:colOff>
      <xdr:row>56</xdr:row>
      <xdr:rowOff>35560</xdr:rowOff>
    </xdr:from>
    <xdr:to>
      <xdr:col>0</xdr:col>
      <xdr:colOff>2019300</xdr:colOff>
      <xdr:row>60</xdr:row>
      <xdr:rowOff>38100</xdr:rowOff>
    </xdr:to>
    <xdr:sp macro="" textlink="">
      <xdr:nvSpPr>
        <xdr:cNvPr id="870" name="outline 869"/>
        <xdr:cNvSpPr/>
      </xdr:nvSpPr>
      <xdr:spPr>
        <a:xfrm>
          <a:off x="1346200" y="94234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1358900</xdr:colOff>
      <xdr:row>56</xdr:row>
      <xdr:rowOff>48260</xdr:rowOff>
    </xdr:from>
    <xdr:to>
      <xdr:col>0</xdr:col>
      <xdr:colOff>2006600</xdr:colOff>
      <xdr:row>59</xdr:row>
      <xdr:rowOff>15240</xdr:rowOff>
    </xdr:to>
    <xdr:sp macro="" textlink="">
      <xdr:nvSpPr>
        <xdr:cNvPr id="871" name="name 870"/>
        <xdr:cNvSpPr/>
      </xdr:nvSpPr>
      <xdr:spPr>
        <a:xfrm>
          <a:off x="1358900" y="9436100"/>
          <a:ext cx="647700" cy="4699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832" b="1" i="1">
              <a:solidFill>
                <a:srgbClr val="000000"/>
              </a:solidFill>
              <a:latin typeface="arial"/>
            </a:rPr>
            <a:t>Counter-attack </a:t>
          </a:r>
        </a:p>
      </xdr:txBody>
    </xdr:sp>
    <xdr:clientData/>
  </xdr:twoCellAnchor>
  <xdr:twoCellAnchor editAs="absolute">
    <xdr:from>
      <xdr:col>0</xdr:col>
      <xdr:colOff>1435100</xdr:colOff>
      <xdr:row>59</xdr:row>
      <xdr:rowOff>2540</xdr:rowOff>
    </xdr:from>
    <xdr:to>
      <xdr:col>0</xdr:col>
      <xdr:colOff>1574800</xdr:colOff>
      <xdr:row>60</xdr:row>
      <xdr:rowOff>25400</xdr:rowOff>
    </xdr:to>
    <xdr:sp macro="" textlink="">
      <xdr:nvSpPr>
        <xdr:cNvPr id="872" name="left 871"/>
        <xdr:cNvSpPr/>
      </xdr:nvSpPr>
      <xdr:spPr>
        <a:xfrm>
          <a:off x="1435100" y="98933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C</a:t>
          </a:r>
        </a:p>
      </xdr:txBody>
    </xdr:sp>
    <xdr:clientData/>
  </xdr:twoCellAnchor>
  <xdr:twoCellAnchor editAs="absolute">
    <xdr:from>
      <xdr:col>0</xdr:col>
      <xdr:colOff>1841500</xdr:colOff>
      <xdr:row>59</xdr:row>
      <xdr:rowOff>2540</xdr:rowOff>
    </xdr:from>
    <xdr:to>
      <xdr:col>0</xdr:col>
      <xdr:colOff>1981200</xdr:colOff>
      <xdr:row>60</xdr:row>
      <xdr:rowOff>25400</xdr:rowOff>
    </xdr:to>
    <xdr:sp macro="" textlink="">
      <xdr:nvSpPr>
        <xdr:cNvPr id="873" name="right 872"/>
        <xdr:cNvSpPr/>
      </xdr:nvSpPr>
      <xdr:spPr>
        <a:xfrm>
          <a:off x="1841500" y="98933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1125" b="1" i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2019300</xdr:colOff>
      <xdr:row>56</xdr:row>
      <xdr:rowOff>35560</xdr:rowOff>
    </xdr:from>
    <xdr:to>
      <xdr:col>0</xdr:col>
      <xdr:colOff>2692400</xdr:colOff>
      <xdr:row>60</xdr:row>
      <xdr:rowOff>38100</xdr:rowOff>
    </xdr:to>
    <xdr:sp macro="" textlink="">
      <xdr:nvSpPr>
        <xdr:cNvPr id="874" name="outline 873"/>
        <xdr:cNvSpPr/>
      </xdr:nvSpPr>
      <xdr:spPr>
        <a:xfrm>
          <a:off x="2019300" y="94234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2032000</xdr:colOff>
      <xdr:row>56</xdr:row>
      <xdr:rowOff>48260</xdr:rowOff>
    </xdr:from>
    <xdr:to>
      <xdr:col>0</xdr:col>
      <xdr:colOff>2679700</xdr:colOff>
      <xdr:row>59</xdr:row>
      <xdr:rowOff>15240</xdr:rowOff>
    </xdr:to>
    <xdr:sp macro="" textlink="">
      <xdr:nvSpPr>
        <xdr:cNvPr id="875" name="name 874"/>
        <xdr:cNvSpPr/>
      </xdr:nvSpPr>
      <xdr:spPr>
        <a:xfrm>
          <a:off x="2032000" y="9436100"/>
          <a:ext cx="647700" cy="4699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832" b="1" i="1">
              <a:solidFill>
                <a:srgbClr val="000000"/>
              </a:solidFill>
              <a:latin typeface="arial"/>
            </a:rPr>
            <a:t>Hold!</a:t>
          </a:r>
        </a:p>
      </xdr:txBody>
    </xdr:sp>
    <xdr:clientData/>
  </xdr:twoCellAnchor>
  <xdr:twoCellAnchor editAs="absolute">
    <xdr:from>
      <xdr:col>0</xdr:col>
      <xdr:colOff>2108200</xdr:colOff>
      <xdr:row>59</xdr:row>
      <xdr:rowOff>2540</xdr:rowOff>
    </xdr:from>
    <xdr:to>
      <xdr:col>0</xdr:col>
      <xdr:colOff>2247900</xdr:colOff>
      <xdr:row>60</xdr:row>
      <xdr:rowOff>25400</xdr:rowOff>
    </xdr:to>
    <xdr:sp macro="" textlink="">
      <xdr:nvSpPr>
        <xdr:cNvPr id="876" name="left 875"/>
        <xdr:cNvSpPr/>
      </xdr:nvSpPr>
      <xdr:spPr>
        <a:xfrm>
          <a:off x="2108200" y="98933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C</a:t>
          </a:r>
        </a:p>
      </xdr:txBody>
    </xdr:sp>
    <xdr:clientData/>
  </xdr:twoCellAnchor>
  <xdr:twoCellAnchor editAs="absolute">
    <xdr:from>
      <xdr:col>0</xdr:col>
      <xdr:colOff>2514600</xdr:colOff>
      <xdr:row>59</xdr:row>
      <xdr:rowOff>2540</xdr:rowOff>
    </xdr:from>
    <xdr:to>
      <xdr:col>0</xdr:col>
      <xdr:colOff>2654300</xdr:colOff>
      <xdr:row>60</xdr:row>
      <xdr:rowOff>25400</xdr:rowOff>
    </xdr:to>
    <xdr:sp macro="" textlink="">
      <xdr:nvSpPr>
        <xdr:cNvPr id="877" name="right 876"/>
        <xdr:cNvSpPr/>
      </xdr:nvSpPr>
      <xdr:spPr>
        <a:xfrm>
          <a:off x="2514600" y="98933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1125" b="1" i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2692400</xdr:colOff>
      <xdr:row>56</xdr:row>
      <xdr:rowOff>35560</xdr:rowOff>
    </xdr:from>
    <xdr:to>
      <xdr:col>0</xdr:col>
      <xdr:colOff>3365500</xdr:colOff>
      <xdr:row>60</xdr:row>
      <xdr:rowOff>38100</xdr:rowOff>
    </xdr:to>
    <xdr:sp macro="" textlink="">
      <xdr:nvSpPr>
        <xdr:cNvPr id="878" name="outline 877"/>
        <xdr:cNvSpPr/>
      </xdr:nvSpPr>
      <xdr:spPr>
        <a:xfrm>
          <a:off x="2692400" y="94234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2705100</xdr:colOff>
      <xdr:row>56</xdr:row>
      <xdr:rowOff>48260</xdr:rowOff>
    </xdr:from>
    <xdr:to>
      <xdr:col>0</xdr:col>
      <xdr:colOff>3352800</xdr:colOff>
      <xdr:row>59</xdr:row>
      <xdr:rowOff>15240</xdr:rowOff>
    </xdr:to>
    <xdr:sp macro="" textlink="">
      <xdr:nvSpPr>
        <xdr:cNvPr id="879" name="name 878"/>
        <xdr:cNvSpPr/>
      </xdr:nvSpPr>
      <xdr:spPr>
        <a:xfrm>
          <a:off x="2705100" y="9436100"/>
          <a:ext cx="647700" cy="4699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832" b="1" i="1">
              <a:solidFill>
                <a:srgbClr val="000000"/>
              </a:solidFill>
              <a:latin typeface="arial"/>
            </a:rPr>
            <a:t>Mixed order</a:t>
          </a:r>
        </a:p>
      </xdr:txBody>
    </xdr:sp>
    <xdr:clientData/>
  </xdr:twoCellAnchor>
  <xdr:twoCellAnchor editAs="absolute">
    <xdr:from>
      <xdr:col>0</xdr:col>
      <xdr:colOff>2781300</xdr:colOff>
      <xdr:row>59</xdr:row>
      <xdr:rowOff>2540</xdr:rowOff>
    </xdr:from>
    <xdr:to>
      <xdr:col>0</xdr:col>
      <xdr:colOff>2921000</xdr:colOff>
      <xdr:row>60</xdr:row>
      <xdr:rowOff>25400</xdr:rowOff>
    </xdr:to>
    <xdr:sp macro="" textlink="">
      <xdr:nvSpPr>
        <xdr:cNvPr id="880" name="left 879"/>
        <xdr:cNvSpPr/>
      </xdr:nvSpPr>
      <xdr:spPr>
        <a:xfrm>
          <a:off x="2781300" y="98933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C</a:t>
          </a:r>
        </a:p>
      </xdr:txBody>
    </xdr:sp>
    <xdr:clientData/>
  </xdr:twoCellAnchor>
  <xdr:twoCellAnchor editAs="absolute">
    <xdr:from>
      <xdr:col>0</xdr:col>
      <xdr:colOff>3187700</xdr:colOff>
      <xdr:row>59</xdr:row>
      <xdr:rowOff>2540</xdr:rowOff>
    </xdr:from>
    <xdr:to>
      <xdr:col>0</xdr:col>
      <xdr:colOff>3327400</xdr:colOff>
      <xdr:row>60</xdr:row>
      <xdr:rowOff>25400</xdr:rowOff>
    </xdr:to>
    <xdr:sp macro="" textlink="">
      <xdr:nvSpPr>
        <xdr:cNvPr id="881" name="right 880"/>
        <xdr:cNvSpPr/>
      </xdr:nvSpPr>
      <xdr:spPr>
        <a:xfrm>
          <a:off x="3187700" y="98933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1125" b="1" i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3365500</xdr:colOff>
      <xdr:row>56</xdr:row>
      <xdr:rowOff>35560</xdr:rowOff>
    </xdr:from>
    <xdr:to>
      <xdr:col>0</xdr:col>
      <xdr:colOff>4038600</xdr:colOff>
      <xdr:row>60</xdr:row>
      <xdr:rowOff>38100</xdr:rowOff>
    </xdr:to>
    <xdr:sp macro="" textlink="">
      <xdr:nvSpPr>
        <xdr:cNvPr id="882" name="outline 881"/>
        <xdr:cNvSpPr/>
      </xdr:nvSpPr>
      <xdr:spPr>
        <a:xfrm>
          <a:off x="3365500" y="94234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3378200</xdr:colOff>
      <xdr:row>56</xdr:row>
      <xdr:rowOff>48260</xdr:rowOff>
    </xdr:from>
    <xdr:to>
      <xdr:col>0</xdr:col>
      <xdr:colOff>4025900</xdr:colOff>
      <xdr:row>60</xdr:row>
      <xdr:rowOff>25400</xdr:rowOff>
    </xdr:to>
    <xdr:sp macro="" textlink="">
      <xdr:nvSpPr>
        <xdr:cNvPr id="883" name="name 882"/>
        <xdr:cNvSpPr/>
      </xdr:nvSpPr>
      <xdr:spPr>
        <a:xfrm>
          <a:off x="3378200" y="9436100"/>
          <a:ext cx="647700" cy="647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1" i="1">
              <a:solidFill>
                <a:srgbClr val="00008B"/>
              </a:solidFill>
              <a:latin typeface="arial"/>
            </a:rPr>
            <a:t>Attached: I/ArtRes</a:t>
          </a:r>
        </a:p>
      </xdr:txBody>
    </xdr:sp>
    <xdr:clientData/>
  </xdr:twoCellAnchor>
  <xdr:twoCellAnchor editAs="absolute">
    <xdr:from>
      <xdr:col>0</xdr:col>
      <xdr:colOff>4038600</xdr:colOff>
      <xdr:row>56</xdr:row>
      <xdr:rowOff>35560</xdr:rowOff>
    </xdr:from>
    <xdr:to>
      <xdr:col>0</xdr:col>
      <xdr:colOff>4711700</xdr:colOff>
      <xdr:row>60</xdr:row>
      <xdr:rowOff>38100</xdr:rowOff>
    </xdr:to>
    <xdr:sp macro="" textlink="">
      <xdr:nvSpPr>
        <xdr:cNvPr id="884" name="outline 883"/>
        <xdr:cNvSpPr/>
      </xdr:nvSpPr>
      <xdr:spPr>
        <a:xfrm>
          <a:off x="4038600" y="94234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4051300</xdr:colOff>
      <xdr:row>56</xdr:row>
      <xdr:rowOff>48260</xdr:rowOff>
    </xdr:from>
    <xdr:to>
      <xdr:col>0</xdr:col>
      <xdr:colOff>4699000</xdr:colOff>
      <xdr:row>60</xdr:row>
      <xdr:rowOff>25400</xdr:rowOff>
    </xdr:to>
    <xdr:sp macro="" textlink="">
      <xdr:nvSpPr>
        <xdr:cNvPr id="885" name="name 884"/>
        <xdr:cNvSpPr/>
      </xdr:nvSpPr>
      <xdr:spPr>
        <a:xfrm>
          <a:off x="4051300" y="9436100"/>
          <a:ext cx="647700" cy="647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1" i="1">
              <a:solidFill>
                <a:srgbClr val="00008B"/>
              </a:solidFill>
              <a:latin typeface="arial"/>
            </a:rPr>
            <a:t>Attached: II/ArtRes</a:t>
          </a:r>
        </a:p>
      </xdr:txBody>
    </xdr:sp>
    <xdr:clientData/>
  </xdr:twoCellAnchor>
  <xdr:twoCellAnchor editAs="absolute">
    <xdr:from>
      <xdr:col>0</xdr:col>
      <xdr:colOff>4711700</xdr:colOff>
      <xdr:row>56</xdr:row>
      <xdr:rowOff>35560</xdr:rowOff>
    </xdr:from>
    <xdr:to>
      <xdr:col>0</xdr:col>
      <xdr:colOff>5384800</xdr:colOff>
      <xdr:row>60</xdr:row>
      <xdr:rowOff>38100</xdr:rowOff>
    </xdr:to>
    <xdr:sp macro="" textlink="">
      <xdr:nvSpPr>
        <xdr:cNvPr id="886" name="outline 885"/>
        <xdr:cNvSpPr/>
      </xdr:nvSpPr>
      <xdr:spPr>
        <a:xfrm>
          <a:off x="4711700" y="94234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4724400</xdr:colOff>
      <xdr:row>56</xdr:row>
      <xdr:rowOff>48260</xdr:rowOff>
    </xdr:from>
    <xdr:to>
      <xdr:col>0</xdr:col>
      <xdr:colOff>5372100</xdr:colOff>
      <xdr:row>60</xdr:row>
      <xdr:rowOff>25400</xdr:rowOff>
    </xdr:to>
    <xdr:sp macro="" textlink="">
      <xdr:nvSpPr>
        <xdr:cNvPr id="887" name="name 886"/>
        <xdr:cNvSpPr/>
      </xdr:nvSpPr>
      <xdr:spPr>
        <a:xfrm>
          <a:off x="4724400" y="9436100"/>
          <a:ext cx="647700" cy="647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1" i="1">
              <a:solidFill>
                <a:srgbClr val="00008B"/>
              </a:solidFill>
              <a:latin typeface="arial"/>
            </a:rPr>
            <a:t>Attached: III/ArtRes</a:t>
          </a:r>
        </a:p>
      </xdr:txBody>
    </xdr:sp>
    <xdr:clientData/>
  </xdr:twoCellAnchor>
  <xdr:twoCellAnchor editAs="absolute">
    <xdr:from>
      <xdr:col>0</xdr:col>
      <xdr:colOff>5384800</xdr:colOff>
      <xdr:row>56</xdr:row>
      <xdr:rowOff>35560</xdr:rowOff>
    </xdr:from>
    <xdr:to>
      <xdr:col>0</xdr:col>
      <xdr:colOff>6057900</xdr:colOff>
      <xdr:row>60</xdr:row>
      <xdr:rowOff>38100</xdr:rowOff>
    </xdr:to>
    <xdr:sp macro="" textlink="">
      <xdr:nvSpPr>
        <xdr:cNvPr id="888" name="outline 887"/>
        <xdr:cNvSpPr/>
      </xdr:nvSpPr>
      <xdr:spPr>
        <a:xfrm>
          <a:off x="5384800" y="94234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5397500</xdr:colOff>
      <xdr:row>56</xdr:row>
      <xdr:rowOff>48260</xdr:rowOff>
    </xdr:from>
    <xdr:to>
      <xdr:col>0</xdr:col>
      <xdr:colOff>6045200</xdr:colOff>
      <xdr:row>60</xdr:row>
      <xdr:rowOff>25400</xdr:rowOff>
    </xdr:to>
    <xdr:sp macro="" textlink="">
      <xdr:nvSpPr>
        <xdr:cNvPr id="889" name="name 888"/>
        <xdr:cNvSpPr/>
      </xdr:nvSpPr>
      <xdr:spPr>
        <a:xfrm>
          <a:off x="5397500" y="9436100"/>
          <a:ext cx="647700" cy="647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1" i="1">
              <a:solidFill>
                <a:srgbClr val="00008B"/>
              </a:solidFill>
              <a:latin typeface="arial"/>
            </a:rPr>
            <a:t>Attached: IV/Art.Res</a:t>
          </a:r>
        </a:p>
      </xdr:txBody>
    </xdr:sp>
    <xdr:clientData/>
  </xdr:twoCellAnchor>
  <xdr:twoCellAnchor editAs="absolute">
    <xdr:from>
      <xdr:col>0</xdr:col>
      <xdr:colOff>6057900</xdr:colOff>
      <xdr:row>56</xdr:row>
      <xdr:rowOff>35560</xdr:rowOff>
    </xdr:from>
    <xdr:to>
      <xdr:col>0</xdr:col>
      <xdr:colOff>6731000</xdr:colOff>
      <xdr:row>60</xdr:row>
      <xdr:rowOff>38100</xdr:rowOff>
    </xdr:to>
    <xdr:sp macro="" textlink="">
      <xdr:nvSpPr>
        <xdr:cNvPr id="890" name="outline 889"/>
        <xdr:cNvSpPr/>
      </xdr:nvSpPr>
      <xdr:spPr>
        <a:xfrm>
          <a:off x="6057900" y="94234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6070600</xdr:colOff>
      <xdr:row>56</xdr:row>
      <xdr:rowOff>48260</xdr:rowOff>
    </xdr:from>
    <xdr:to>
      <xdr:col>0</xdr:col>
      <xdr:colOff>6718300</xdr:colOff>
      <xdr:row>60</xdr:row>
      <xdr:rowOff>25400</xdr:rowOff>
    </xdr:to>
    <xdr:sp macro="" textlink="">
      <xdr:nvSpPr>
        <xdr:cNvPr id="891" name="name 890"/>
        <xdr:cNvSpPr/>
      </xdr:nvSpPr>
      <xdr:spPr>
        <a:xfrm>
          <a:off x="6070600" y="9436100"/>
          <a:ext cx="647700" cy="647700"/>
        </a:xfrm>
        <a:prstGeom prst="rect">
          <a:avLst/>
        </a:prstGeom>
        <a:solidFill>
          <a:srgbClr val="CCCCC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1" i="1">
              <a:solidFill>
                <a:srgbClr val="000000"/>
              </a:solidFill>
              <a:latin typeface="arial"/>
            </a:rPr>
            <a:t>Marmont injured</a:t>
          </a:r>
        </a:p>
      </xdr:txBody>
    </xdr:sp>
    <xdr:clientData/>
  </xdr:twoCellAnchor>
  <xdr:twoCellAnchor editAs="absolute">
    <xdr:from>
      <xdr:col>0</xdr:col>
      <xdr:colOff>0</xdr:colOff>
      <xdr:row>60</xdr:row>
      <xdr:rowOff>38100</xdr:rowOff>
    </xdr:from>
    <xdr:to>
      <xdr:col>0</xdr:col>
      <xdr:colOff>673100</xdr:colOff>
      <xdr:row>64</xdr:row>
      <xdr:rowOff>40640</xdr:rowOff>
    </xdr:to>
    <xdr:sp macro="" textlink="">
      <xdr:nvSpPr>
        <xdr:cNvPr id="892" name="outline 891"/>
        <xdr:cNvSpPr/>
      </xdr:nvSpPr>
      <xdr:spPr>
        <a:xfrm>
          <a:off x="0" y="100965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12700</xdr:colOff>
      <xdr:row>60</xdr:row>
      <xdr:rowOff>50800</xdr:rowOff>
    </xdr:from>
    <xdr:to>
      <xdr:col>0</xdr:col>
      <xdr:colOff>660400</xdr:colOff>
      <xdr:row>64</xdr:row>
      <xdr:rowOff>27940</xdr:rowOff>
    </xdr:to>
    <xdr:sp macro="" textlink="">
      <xdr:nvSpPr>
        <xdr:cNvPr id="893" name="name 892"/>
        <xdr:cNvSpPr/>
      </xdr:nvSpPr>
      <xdr:spPr>
        <a:xfrm>
          <a:off x="12700" y="10109200"/>
          <a:ext cx="647700" cy="647700"/>
        </a:xfrm>
        <a:prstGeom prst="rect">
          <a:avLst/>
        </a:prstGeom>
        <a:solidFill>
          <a:srgbClr val="FFBE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1530" b="1" i="1">
            <a:solidFill>
              <a:srgbClr val="000000"/>
            </a:solidFill>
            <a:latin typeface="arial"/>
          </a:endParaRPr>
        </a:p>
      </xdr:txBody>
    </xdr:sp>
    <xdr:clientData/>
  </xdr:twoCellAnchor>
  <xdr:twoCellAnchor editAs="absolute">
    <xdr:from>
      <xdr:col>0</xdr:col>
      <xdr:colOff>673100</xdr:colOff>
      <xdr:row>60</xdr:row>
      <xdr:rowOff>38100</xdr:rowOff>
    </xdr:from>
    <xdr:to>
      <xdr:col>0</xdr:col>
      <xdr:colOff>1346200</xdr:colOff>
      <xdr:row>64</xdr:row>
      <xdr:rowOff>40640</xdr:rowOff>
    </xdr:to>
    <xdr:sp macro="" textlink="">
      <xdr:nvSpPr>
        <xdr:cNvPr id="894" name="outline 893"/>
        <xdr:cNvSpPr/>
      </xdr:nvSpPr>
      <xdr:spPr>
        <a:xfrm>
          <a:off x="673100" y="100965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685800</xdr:colOff>
      <xdr:row>60</xdr:row>
      <xdr:rowOff>50800</xdr:rowOff>
    </xdr:from>
    <xdr:to>
      <xdr:col>0</xdr:col>
      <xdr:colOff>1333500</xdr:colOff>
      <xdr:row>64</xdr:row>
      <xdr:rowOff>27940</xdr:rowOff>
    </xdr:to>
    <xdr:sp macro="" textlink="">
      <xdr:nvSpPr>
        <xdr:cNvPr id="895" name="name 894"/>
        <xdr:cNvSpPr/>
      </xdr:nvSpPr>
      <xdr:spPr>
        <a:xfrm>
          <a:off x="685800" y="10109200"/>
          <a:ext cx="647700" cy="647700"/>
        </a:xfrm>
        <a:prstGeom prst="rect">
          <a:avLst/>
        </a:prstGeom>
        <a:solidFill>
          <a:srgbClr val="FFBE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48" b="1" i="1">
              <a:solidFill>
                <a:srgbClr val="000000"/>
              </a:solidFill>
              <a:latin typeface="arial"/>
            </a:rPr>
            <a:t>Rout</a:t>
          </a:r>
        </a:p>
      </xdr:txBody>
    </xdr:sp>
    <xdr:clientData/>
  </xdr:twoCellAnchor>
  <xdr:twoCellAnchor editAs="absolute">
    <xdr:from>
      <xdr:col>0</xdr:col>
      <xdr:colOff>1346200</xdr:colOff>
      <xdr:row>60</xdr:row>
      <xdr:rowOff>38100</xdr:rowOff>
    </xdr:from>
    <xdr:to>
      <xdr:col>0</xdr:col>
      <xdr:colOff>2019300</xdr:colOff>
      <xdr:row>64</xdr:row>
      <xdr:rowOff>40640</xdr:rowOff>
    </xdr:to>
    <xdr:sp macro="" textlink="">
      <xdr:nvSpPr>
        <xdr:cNvPr id="896" name="outline 895"/>
        <xdr:cNvSpPr/>
      </xdr:nvSpPr>
      <xdr:spPr>
        <a:xfrm>
          <a:off x="1346200" y="100965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1358900</xdr:colOff>
      <xdr:row>60</xdr:row>
      <xdr:rowOff>50800</xdr:rowOff>
    </xdr:from>
    <xdr:to>
      <xdr:col>0</xdr:col>
      <xdr:colOff>2006600</xdr:colOff>
      <xdr:row>64</xdr:row>
      <xdr:rowOff>27940</xdr:rowOff>
    </xdr:to>
    <xdr:sp macro="" textlink="">
      <xdr:nvSpPr>
        <xdr:cNvPr id="897" name="name 896"/>
        <xdr:cNvSpPr/>
      </xdr:nvSpPr>
      <xdr:spPr>
        <a:xfrm>
          <a:off x="1358900" y="10109200"/>
          <a:ext cx="647700" cy="647700"/>
        </a:xfrm>
        <a:prstGeom prst="rect">
          <a:avLst/>
        </a:prstGeom>
        <a:solidFill>
          <a:srgbClr val="FFBE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48" b="1" i="1">
              <a:solidFill>
                <a:srgbClr val="000000"/>
              </a:solidFill>
              <a:latin typeface="arial"/>
            </a:rPr>
            <a:t>Charge</a:t>
          </a:r>
        </a:p>
      </xdr:txBody>
    </xdr:sp>
    <xdr:clientData/>
  </xdr:twoCellAnchor>
  <xdr:twoCellAnchor editAs="absolute">
    <xdr:from>
      <xdr:col>0</xdr:col>
      <xdr:colOff>2019300</xdr:colOff>
      <xdr:row>60</xdr:row>
      <xdr:rowOff>38100</xdr:rowOff>
    </xdr:from>
    <xdr:to>
      <xdr:col>0</xdr:col>
      <xdr:colOff>2692400</xdr:colOff>
      <xdr:row>64</xdr:row>
      <xdr:rowOff>40640</xdr:rowOff>
    </xdr:to>
    <xdr:sp macro="" textlink="">
      <xdr:nvSpPr>
        <xdr:cNvPr id="898" name="outline 897"/>
        <xdr:cNvSpPr/>
      </xdr:nvSpPr>
      <xdr:spPr>
        <a:xfrm>
          <a:off x="2019300" y="100965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2032000</xdr:colOff>
      <xdr:row>60</xdr:row>
      <xdr:rowOff>50800</xdr:rowOff>
    </xdr:from>
    <xdr:to>
      <xdr:col>0</xdr:col>
      <xdr:colOff>2679700</xdr:colOff>
      <xdr:row>64</xdr:row>
      <xdr:rowOff>27940</xdr:rowOff>
    </xdr:to>
    <xdr:sp macro="" textlink="">
      <xdr:nvSpPr>
        <xdr:cNvPr id="899" name="name 898"/>
        <xdr:cNvSpPr/>
      </xdr:nvSpPr>
      <xdr:spPr>
        <a:xfrm>
          <a:off x="2032000" y="10109200"/>
          <a:ext cx="647700" cy="647700"/>
        </a:xfrm>
        <a:prstGeom prst="rect">
          <a:avLst/>
        </a:prstGeom>
        <a:solidFill>
          <a:srgbClr val="FFBE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48" b="1" i="1">
              <a:solidFill>
                <a:srgbClr val="006400"/>
              </a:solidFill>
              <a:latin typeface="arial"/>
            </a:rPr>
            <a:t>Orders</a:t>
          </a:r>
        </a:p>
      </xdr:txBody>
    </xdr:sp>
    <xdr:clientData/>
  </xdr:twoCellAnchor>
  <xdr:twoCellAnchor editAs="absolute">
    <xdr:from>
      <xdr:col>0</xdr:col>
      <xdr:colOff>2692400</xdr:colOff>
      <xdr:row>60</xdr:row>
      <xdr:rowOff>38100</xdr:rowOff>
    </xdr:from>
    <xdr:to>
      <xdr:col>0</xdr:col>
      <xdr:colOff>3365500</xdr:colOff>
      <xdr:row>64</xdr:row>
      <xdr:rowOff>40640</xdr:rowOff>
    </xdr:to>
    <xdr:sp macro="" textlink="">
      <xdr:nvSpPr>
        <xdr:cNvPr id="900" name="outline 899"/>
        <xdr:cNvSpPr/>
      </xdr:nvSpPr>
      <xdr:spPr>
        <a:xfrm>
          <a:off x="2692400" y="100965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2705100</xdr:colOff>
      <xdr:row>60</xdr:row>
      <xdr:rowOff>50800</xdr:rowOff>
    </xdr:from>
    <xdr:to>
      <xdr:col>0</xdr:col>
      <xdr:colOff>3352800</xdr:colOff>
      <xdr:row>64</xdr:row>
      <xdr:rowOff>27940</xdr:rowOff>
    </xdr:to>
    <xdr:sp macro="" textlink="">
      <xdr:nvSpPr>
        <xdr:cNvPr id="901" name="name 900"/>
        <xdr:cNvSpPr/>
      </xdr:nvSpPr>
      <xdr:spPr>
        <a:xfrm>
          <a:off x="2705100" y="10109200"/>
          <a:ext cx="647700" cy="647700"/>
        </a:xfrm>
        <a:prstGeom prst="rect">
          <a:avLst/>
        </a:prstGeom>
        <a:solidFill>
          <a:srgbClr val="FFBE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48" b="1" i="1">
              <a:solidFill>
                <a:srgbClr val="8B0000"/>
              </a:solidFill>
              <a:latin typeface="arial"/>
            </a:rPr>
            <a:t>No orders</a:t>
          </a:r>
        </a:p>
      </xdr:txBody>
    </xdr:sp>
    <xdr:clientData/>
  </xdr:twoCellAnchor>
  <xdr:twoCellAnchor editAs="absolute">
    <xdr:from>
      <xdr:col>0</xdr:col>
      <xdr:colOff>3365500</xdr:colOff>
      <xdr:row>60</xdr:row>
      <xdr:rowOff>38100</xdr:rowOff>
    </xdr:from>
    <xdr:to>
      <xdr:col>0</xdr:col>
      <xdr:colOff>4038600</xdr:colOff>
      <xdr:row>64</xdr:row>
      <xdr:rowOff>40640</xdr:rowOff>
    </xdr:to>
    <xdr:sp macro="" textlink="">
      <xdr:nvSpPr>
        <xdr:cNvPr id="902" name="outline 901"/>
        <xdr:cNvSpPr/>
      </xdr:nvSpPr>
      <xdr:spPr>
        <a:xfrm>
          <a:off x="3365500" y="100965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3378200</xdr:colOff>
      <xdr:row>60</xdr:row>
      <xdr:rowOff>50800</xdr:rowOff>
    </xdr:from>
    <xdr:to>
      <xdr:col>0</xdr:col>
      <xdr:colOff>4025900</xdr:colOff>
      <xdr:row>64</xdr:row>
      <xdr:rowOff>27940</xdr:rowOff>
    </xdr:to>
    <xdr:sp macro="" textlink="">
      <xdr:nvSpPr>
        <xdr:cNvPr id="903" name="name 902"/>
        <xdr:cNvSpPr/>
      </xdr:nvSpPr>
      <xdr:spPr>
        <a:xfrm>
          <a:off x="3378200" y="10109200"/>
          <a:ext cx="647700" cy="647700"/>
        </a:xfrm>
        <a:prstGeom prst="rect">
          <a:avLst/>
        </a:prstGeom>
        <a:solidFill>
          <a:srgbClr val="FFBE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48" b="1" i="1">
              <a:solidFill>
                <a:srgbClr val="000000"/>
              </a:solidFill>
              <a:latin typeface="arial"/>
            </a:rPr>
            <a:t>Square</a:t>
          </a:r>
        </a:p>
      </xdr:txBody>
    </xdr:sp>
    <xdr:clientData/>
  </xdr:twoCellAnchor>
  <xdr:twoCellAnchor editAs="absolute">
    <xdr:from>
      <xdr:col>0</xdr:col>
      <xdr:colOff>4038600</xdr:colOff>
      <xdr:row>60</xdr:row>
      <xdr:rowOff>38100</xdr:rowOff>
    </xdr:from>
    <xdr:to>
      <xdr:col>0</xdr:col>
      <xdr:colOff>4711700</xdr:colOff>
      <xdr:row>64</xdr:row>
      <xdr:rowOff>40640</xdr:rowOff>
    </xdr:to>
    <xdr:sp macro="" textlink="">
      <xdr:nvSpPr>
        <xdr:cNvPr id="904" name="outline 903"/>
        <xdr:cNvSpPr/>
      </xdr:nvSpPr>
      <xdr:spPr>
        <a:xfrm>
          <a:off x="4038600" y="100965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4051300</xdr:colOff>
      <xdr:row>60</xdr:row>
      <xdr:rowOff>50800</xdr:rowOff>
    </xdr:from>
    <xdr:to>
      <xdr:col>0</xdr:col>
      <xdr:colOff>4699000</xdr:colOff>
      <xdr:row>64</xdr:row>
      <xdr:rowOff>27940</xdr:rowOff>
    </xdr:to>
    <xdr:sp macro="" textlink="">
      <xdr:nvSpPr>
        <xdr:cNvPr id="905" name="name 904"/>
        <xdr:cNvSpPr/>
      </xdr:nvSpPr>
      <xdr:spPr>
        <a:xfrm>
          <a:off x="4051300" y="10109200"/>
          <a:ext cx="647700" cy="647700"/>
        </a:xfrm>
        <a:prstGeom prst="rect">
          <a:avLst/>
        </a:prstGeom>
        <a:solidFill>
          <a:srgbClr val="FFBE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48" b="1" i="1">
              <a:solidFill>
                <a:srgbClr val="000000"/>
              </a:solidFill>
              <a:latin typeface="arial"/>
            </a:rPr>
            <a:t>Reinf</a:t>
          </a:r>
        </a:p>
      </xdr:txBody>
    </xdr:sp>
    <xdr:clientData/>
  </xdr:twoCellAnchor>
  <xdr:twoCellAnchor editAs="absolute">
    <xdr:from>
      <xdr:col>0</xdr:col>
      <xdr:colOff>4711700</xdr:colOff>
      <xdr:row>60</xdr:row>
      <xdr:rowOff>38100</xdr:rowOff>
    </xdr:from>
    <xdr:to>
      <xdr:col>0</xdr:col>
      <xdr:colOff>5384800</xdr:colOff>
      <xdr:row>64</xdr:row>
      <xdr:rowOff>40640</xdr:rowOff>
    </xdr:to>
    <xdr:sp macro="" textlink="">
      <xdr:nvSpPr>
        <xdr:cNvPr id="906" name="outline 905"/>
        <xdr:cNvSpPr/>
      </xdr:nvSpPr>
      <xdr:spPr>
        <a:xfrm>
          <a:off x="4711700" y="100965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4724400</xdr:colOff>
      <xdr:row>60</xdr:row>
      <xdr:rowOff>50800</xdr:rowOff>
    </xdr:from>
    <xdr:to>
      <xdr:col>0</xdr:col>
      <xdr:colOff>5372100</xdr:colOff>
      <xdr:row>64</xdr:row>
      <xdr:rowOff>27940</xdr:rowOff>
    </xdr:to>
    <xdr:sp macro="" textlink="">
      <xdr:nvSpPr>
        <xdr:cNvPr id="907" name="name 906"/>
        <xdr:cNvSpPr/>
      </xdr:nvSpPr>
      <xdr:spPr>
        <a:xfrm>
          <a:off x="4724400" y="10109200"/>
          <a:ext cx="647700" cy="647700"/>
        </a:xfrm>
        <a:prstGeom prst="rect">
          <a:avLst/>
        </a:prstGeom>
        <a:solidFill>
          <a:srgbClr val="FFBE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48" b="1" i="1">
              <a:solidFill>
                <a:srgbClr val="000000"/>
              </a:solidFill>
              <a:latin typeface="arial"/>
            </a:rPr>
            <a:t>Fired</a:t>
          </a:r>
        </a:p>
      </xdr:txBody>
    </xdr:sp>
    <xdr:clientData/>
  </xdr:twoCellAnchor>
  <xdr:twoCellAnchor editAs="absolute">
    <xdr:from>
      <xdr:col>0</xdr:col>
      <xdr:colOff>5384800</xdr:colOff>
      <xdr:row>60</xdr:row>
      <xdr:rowOff>38100</xdr:rowOff>
    </xdr:from>
    <xdr:to>
      <xdr:col>0</xdr:col>
      <xdr:colOff>6057900</xdr:colOff>
      <xdr:row>64</xdr:row>
      <xdr:rowOff>40640</xdr:rowOff>
    </xdr:to>
    <xdr:sp macro="" textlink="">
      <xdr:nvSpPr>
        <xdr:cNvPr id="908" name="outline 907"/>
        <xdr:cNvSpPr/>
      </xdr:nvSpPr>
      <xdr:spPr>
        <a:xfrm>
          <a:off x="5384800" y="100965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5397500</xdr:colOff>
      <xdr:row>60</xdr:row>
      <xdr:rowOff>50800</xdr:rowOff>
    </xdr:from>
    <xdr:to>
      <xdr:col>0</xdr:col>
      <xdr:colOff>6045200</xdr:colOff>
      <xdr:row>64</xdr:row>
      <xdr:rowOff>27940</xdr:rowOff>
    </xdr:to>
    <xdr:sp macro="" textlink="">
      <xdr:nvSpPr>
        <xdr:cNvPr id="909" name="name 908"/>
        <xdr:cNvSpPr/>
      </xdr:nvSpPr>
      <xdr:spPr>
        <a:xfrm>
          <a:off x="5397500" y="10109200"/>
          <a:ext cx="647700" cy="647700"/>
        </a:xfrm>
        <a:prstGeom prst="rect">
          <a:avLst/>
        </a:prstGeom>
        <a:solidFill>
          <a:srgbClr val="FFBE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48" b="1" i="1">
              <a:solidFill>
                <a:srgbClr val="000000"/>
              </a:solidFill>
              <a:latin typeface="arial"/>
            </a:rPr>
            <a:t>Shock</a:t>
          </a:r>
        </a:p>
      </xdr:txBody>
    </xdr:sp>
    <xdr:clientData/>
  </xdr:twoCellAnchor>
  <xdr:twoCellAnchor editAs="absolute">
    <xdr:from>
      <xdr:col>0</xdr:col>
      <xdr:colOff>6057900</xdr:colOff>
      <xdr:row>60</xdr:row>
      <xdr:rowOff>38100</xdr:rowOff>
    </xdr:from>
    <xdr:to>
      <xdr:col>0</xdr:col>
      <xdr:colOff>6731000</xdr:colOff>
      <xdr:row>64</xdr:row>
      <xdr:rowOff>40640</xdr:rowOff>
    </xdr:to>
    <xdr:sp macro="" textlink="">
      <xdr:nvSpPr>
        <xdr:cNvPr id="910" name="outline 909"/>
        <xdr:cNvSpPr/>
      </xdr:nvSpPr>
      <xdr:spPr>
        <a:xfrm>
          <a:off x="6057900" y="100965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6070600</xdr:colOff>
      <xdr:row>60</xdr:row>
      <xdr:rowOff>50800</xdr:rowOff>
    </xdr:from>
    <xdr:to>
      <xdr:col>0</xdr:col>
      <xdr:colOff>6718300</xdr:colOff>
      <xdr:row>64</xdr:row>
      <xdr:rowOff>27940</xdr:rowOff>
    </xdr:to>
    <xdr:sp macro="" textlink="">
      <xdr:nvSpPr>
        <xdr:cNvPr id="911" name="name 910"/>
        <xdr:cNvSpPr/>
      </xdr:nvSpPr>
      <xdr:spPr>
        <a:xfrm>
          <a:off x="6070600" y="10109200"/>
          <a:ext cx="647700" cy="647700"/>
        </a:xfrm>
        <a:prstGeom prst="rect">
          <a:avLst/>
        </a:prstGeom>
        <a:solidFill>
          <a:srgbClr val="FFBE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48" b="1" i="1">
              <a:solidFill>
                <a:srgbClr val="000000"/>
              </a:solidFill>
              <a:latin typeface="arial"/>
            </a:rPr>
            <a:t>Shock + test</a:t>
          </a:r>
        </a:p>
      </xdr:txBody>
    </xdr:sp>
    <xdr:clientData/>
  </xdr:twoCellAnchor>
  <xdr:twoCellAnchor editAs="absolute">
    <xdr:from>
      <xdr:col>0</xdr:col>
      <xdr:colOff>0</xdr:colOff>
      <xdr:row>64</xdr:row>
      <xdr:rowOff>40640</xdr:rowOff>
    </xdr:from>
    <xdr:to>
      <xdr:col>0</xdr:col>
      <xdr:colOff>673100</xdr:colOff>
      <xdr:row>68</xdr:row>
      <xdr:rowOff>43180</xdr:rowOff>
    </xdr:to>
    <xdr:sp macro="" textlink="">
      <xdr:nvSpPr>
        <xdr:cNvPr id="912" name="outline 911"/>
        <xdr:cNvSpPr/>
      </xdr:nvSpPr>
      <xdr:spPr>
        <a:xfrm>
          <a:off x="0" y="107696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673100</xdr:colOff>
      <xdr:row>64</xdr:row>
      <xdr:rowOff>40640</xdr:rowOff>
    </xdr:from>
    <xdr:to>
      <xdr:col>0</xdr:col>
      <xdr:colOff>1346200</xdr:colOff>
      <xdr:row>68</xdr:row>
      <xdr:rowOff>43180</xdr:rowOff>
    </xdr:to>
    <xdr:sp macro="" textlink="">
      <xdr:nvSpPr>
        <xdr:cNvPr id="913" name="outline 912"/>
        <xdr:cNvSpPr/>
      </xdr:nvSpPr>
      <xdr:spPr>
        <a:xfrm>
          <a:off x="673100" y="107696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1346200</xdr:colOff>
      <xdr:row>64</xdr:row>
      <xdr:rowOff>40640</xdr:rowOff>
    </xdr:from>
    <xdr:to>
      <xdr:col>0</xdr:col>
      <xdr:colOff>2019300</xdr:colOff>
      <xdr:row>68</xdr:row>
      <xdr:rowOff>43180</xdr:rowOff>
    </xdr:to>
    <xdr:sp macro="" textlink="">
      <xdr:nvSpPr>
        <xdr:cNvPr id="914" name="outline 913"/>
        <xdr:cNvSpPr/>
      </xdr:nvSpPr>
      <xdr:spPr>
        <a:xfrm>
          <a:off x="1346200" y="107696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7"/>
  <sheetViews>
    <sheetView topLeftCell="A57" workbookViewId="0">
      <selection activeCell="A78" sqref="A78"/>
    </sheetView>
  </sheetViews>
  <sheetFormatPr defaultColWidth="9.109375" defaultRowHeight="13.2" x14ac:dyDescent="0.25"/>
  <cols>
    <col min="1" max="1" width="68.88671875" bestFit="1" customWidth="1"/>
    <col min="2" max="2" width="24.21875" bestFit="1" customWidth="1"/>
    <col min="3" max="3" width="4.33203125" bestFit="1" customWidth="1"/>
    <col min="5" max="5" width="6" bestFit="1" customWidth="1"/>
  </cols>
  <sheetData>
    <row r="1" spans="1:3" x14ac:dyDescent="0.25">
      <c r="A1" s="4" t="s">
        <v>47</v>
      </c>
    </row>
    <row r="2" spans="1:3" x14ac:dyDescent="0.25">
      <c r="A2" s="9" t="s">
        <v>48</v>
      </c>
    </row>
    <row r="3" spans="1:3" x14ac:dyDescent="0.25">
      <c r="A3" s="9" t="s">
        <v>69</v>
      </c>
    </row>
    <row r="4" spans="1:3" x14ac:dyDescent="0.25">
      <c r="A4" s="4" t="s">
        <v>49</v>
      </c>
      <c r="C4" t="s">
        <v>136</v>
      </c>
    </row>
    <row r="5" spans="1:3" x14ac:dyDescent="0.25">
      <c r="C5" t="s">
        <v>137</v>
      </c>
    </row>
    <row r="6" spans="1:3" x14ac:dyDescent="0.25">
      <c r="A6" s="4" t="s">
        <v>72</v>
      </c>
      <c r="C6" t="s">
        <v>138</v>
      </c>
    </row>
    <row r="7" spans="1:3" x14ac:dyDescent="0.25">
      <c r="A7" s="4" t="s">
        <v>71</v>
      </c>
      <c r="C7" t="s">
        <v>139</v>
      </c>
    </row>
    <row r="8" spans="1:3" x14ac:dyDescent="0.25">
      <c r="C8" t="s">
        <v>140</v>
      </c>
    </row>
    <row r="9" spans="1:3" x14ac:dyDescent="0.25">
      <c r="A9" s="4" t="s">
        <v>111</v>
      </c>
    </row>
    <row r="10" spans="1:3" x14ac:dyDescent="0.25">
      <c r="A10" s="9" t="s">
        <v>112</v>
      </c>
    </row>
    <row r="11" spans="1:3" x14ac:dyDescent="0.25">
      <c r="A11" s="9" t="s">
        <v>115</v>
      </c>
    </row>
    <row r="12" spans="1:3" x14ac:dyDescent="0.25">
      <c r="A12" s="9" t="s">
        <v>113</v>
      </c>
    </row>
    <row r="13" spans="1:3" x14ac:dyDescent="0.25">
      <c r="A13" s="9" t="s">
        <v>114</v>
      </c>
    </row>
    <row r="14" spans="1:3" x14ac:dyDescent="0.25">
      <c r="A14" s="9" t="s">
        <v>128</v>
      </c>
    </row>
    <row r="15" spans="1:3" x14ac:dyDescent="0.25">
      <c r="A15" s="9" t="s">
        <v>126</v>
      </c>
    </row>
    <row r="17" spans="1:5" x14ac:dyDescent="0.25">
      <c r="A17" s="9" t="s">
        <v>129</v>
      </c>
    </row>
    <row r="18" spans="1:5" x14ac:dyDescent="0.25">
      <c r="A18" s="9" t="s">
        <v>130</v>
      </c>
    </row>
    <row r="19" spans="1:5" x14ac:dyDescent="0.25">
      <c r="A19" s="9" t="s">
        <v>133</v>
      </c>
    </row>
    <row r="20" spans="1:5" x14ac:dyDescent="0.25">
      <c r="A20" s="9"/>
    </row>
    <row r="21" spans="1:5" x14ac:dyDescent="0.25">
      <c r="A21" s="16" t="s">
        <v>147</v>
      </c>
    </row>
    <row r="22" spans="1:5" x14ac:dyDescent="0.25">
      <c r="A22" s="9" t="s">
        <v>148</v>
      </c>
    </row>
    <row r="23" spans="1:5" x14ac:dyDescent="0.25">
      <c r="A23" s="9" t="s">
        <v>158</v>
      </c>
    </row>
    <row r="24" spans="1:5" x14ac:dyDescent="0.25">
      <c r="A24" s="9" t="s">
        <v>131</v>
      </c>
    </row>
    <row r="25" spans="1:5" x14ac:dyDescent="0.25">
      <c r="A25" s="14" t="s">
        <v>134</v>
      </c>
    </row>
    <row r="26" spans="1:5" x14ac:dyDescent="0.25">
      <c r="A26" s="9" t="s">
        <v>144</v>
      </c>
      <c r="B26" t="s">
        <v>166</v>
      </c>
      <c r="C26">
        <v>36</v>
      </c>
      <c r="E26" s="1" t="s">
        <v>189</v>
      </c>
    </row>
    <row r="27" spans="1:5" x14ac:dyDescent="0.25">
      <c r="A27" s="9" t="s">
        <v>149</v>
      </c>
      <c r="B27" t="s">
        <v>167</v>
      </c>
      <c r="C27">
        <v>45</v>
      </c>
      <c r="E27" s="1" t="s">
        <v>179</v>
      </c>
    </row>
    <row r="28" spans="1:5" x14ac:dyDescent="0.25">
      <c r="A28" s="9" t="s">
        <v>156</v>
      </c>
      <c r="B28" t="s">
        <v>168</v>
      </c>
      <c r="C28">
        <v>54</v>
      </c>
      <c r="E28" s="1" t="s">
        <v>180</v>
      </c>
    </row>
    <row r="29" spans="1:5" x14ac:dyDescent="0.25">
      <c r="A29" s="9" t="s">
        <v>155</v>
      </c>
      <c r="B29" t="s">
        <v>169</v>
      </c>
      <c r="C29">
        <v>72</v>
      </c>
      <c r="E29" s="1" t="s">
        <v>181</v>
      </c>
    </row>
    <row r="30" spans="1:5" x14ac:dyDescent="0.25">
      <c r="A30" s="9" t="s">
        <v>157</v>
      </c>
      <c r="B30" t="s">
        <v>170</v>
      </c>
      <c r="C30">
        <v>162</v>
      </c>
      <c r="E30" s="1" t="s">
        <v>182</v>
      </c>
    </row>
    <row r="31" spans="1:5" x14ac:dyDescent="0.25">
      <c r="A31" s="14" t="s">
        <v>159</v>
      </c>
      <c r="B31" t="s">
        <v>171</v>
      </c>
      <c r="C31">
        <v>234</v>
      </c>
      <c r="E31" s="1" t="s">
        <v>183</v>
      </c>
    </row>
    <row r="32" spans="1:5" x14ac:dyDescent="0.25">
      <c r="A32" s="9" t="s">
        <v>178</v>
      </c>
      <c r="E32" s="1" t="s">
        <v>184</v>
      </c>
    </row>
    <row r="33" spans="1:5" x14ac:dyDescent="0.25">
      <c r="A33" s="9" t="s">
        <v>176</v>
      </c>
      <c r="E33" s="1" t="s">
        <v>185</v>
      </c>
    </row>
    <row r="34" spans="1:5" x14ac:dyDescent="0.25">
      <c r="A34" s="9" t="s">
        <v>175</v>
      </c>
      <c r="E34" s="1" t="s">
        <v>186</v>
      </c>
    </row>
    <row r="35" spans="1:5" x14ac:dyDescent="0.25">
      <c r="A35" s="4" t="s">
        <v>177</v>
      </c>
      <c r="E35" s="1" t="s">
        <v>187</v>
      </c>
    </row>
    <row r="36" spans="1:5" x14ac:dyDescent="0.25">
      <c r="A36" s="9" t="s">
        <v>172</v>
      </c>
      <c r="E36" s="1" t="s">
        <v>188</v>
      </c>
    </row>
    <row r="37" spans="1:5" x14ac:dyDescent="0.25">
      <c r="A37" s="4" t="s">
        <v>327</v>
      </c>
    </row>
    <row r="38" spans="1:5" x14ac:dyDescent="0.25">
      <c r="A38" s="4" t="s">
        <v>328</v>
      </c>
    </row>
    <row r="39" spans="1:5" x14ac:dyDescent="0.25">
      <c r="A39" s="4" t="s">
        <v>326</v>
      </c>
    </row>
    <row r="41" spans="1:5" x14ac:dyDescent="0.25">
      <c r="A41" s="15" t="s">
        <v>173</v>
      </c>
    </row>
    <row r="42" spans="1:5" x14ac:dyDescent="0.25">
      <c r="A42" s="4" t="s">
        <v>160</v>
      </c>
    </row>
    <row r="43" spans="1:5" x14ac:dyDescent="0.25">
      <c r="A43" s="9" t="s">
        <v>161</v>
      </c>
    </row>
    <row r="44" spans="1:5" x14ac:dyDescent="0.25">
      <c r="A44" s="4" t="s">
        <v>132</v>
      </c>
    </row>
    <row r="46" spans="1:5" x14ac:dyDescent="0.25">
      <c r="A46" s="4" t="s">
        <v>165</v>
      </c>
    </row>
    <row r="48" spans="1:5" x14ac:dyDescent="0.25">
      <c r="A48" s="4" t="s">
        <v>135</v>
      </c>
    </row>
    <row r="50" spans="1:2" x14ac:dyDescent="0.25">
      <c r="A50" s="15" t="s">
        <v>145</v>
      </c>
    </row>
    <row r="52" spans="1:2" x14ac:dyDescent="0.25">
      <c r="A52" s="15" t="s">
        <v>146</v>
      </c>
      <c r="B52" t="s">
        <v>164</v>
      </c>
    </row>
    <row r="54" spans="1:2" x14ac:dyDescent="0.25">
      <c r="A54" s="4" t="s">
        <v>330</v>
      </c>
    </row>
    <row r="55" spans="1:2" x14ac:dyDescent="0.25">
      <c r="A55" s="4" t="s">
        <v>141</v>
      </c>
    </row>
    <row r="57" spans="1:2" x14ac:dyDescent="0.25">
      <c r="A57" s="26" t="s">
        <v>633</v>
      </c>
    </row>
    <row r="58" spans="1:2" x14ac:dyDescent="0.25">
      <c r="A58" s="26" t="s">
        <v>634</v>
      </c>
    </row>
    <row r="59" spans="1:2" x14ac:dyDescent="0.25">
      <c r="A59" s="26" t="s">
        <v>639</v>
      </c>
    </row>
    <row r="60" spans="1:2" x14ac:dyDescent="0.25">
      <c r="A60" s="26" t="s">
        <v>635</v>
      </c>
    </row>
    <row r="61" spans="1:2" x14ac:dyDescent="0.25">
      <c r="A61" s="26" t="s">
        <v>636</v>
      </c>
    </row>
    <row r="62" spans="1:2" x14ac:dyDescent="0.25">
      <c r="A62" s="26" t="s">
        <v>637</v>
      </c>
    </row>
    <row r="63" spans="1:2" x14ac:dyDescent="0.25">
      <c r="A63" s="26" t="s">
        <v>653</v>
      </c>
    </row>
    <row r="64" spans="1:2" x14ac:dyDescent="0.25">
      <c r="A64" s="26" t="s">
        <v>640</v>
      </c>
    </row>
    <row r="65" spans="1:1" x14ac:dyDescent="0.25">
      <c r="A65" s="26" t="s">
        <v>646</v>
      </c>
    </row>
    <row r="66" spans="1:1" x14ac:dyDescent="0.25">
      <c r="A66" s="26" t="s">
        <v>652</v>
      </c>
    </row>
    <row r="67" spans="1:1" x14ac:dyDescent="0.25">
      <c r="A67" s="26" t="s">
        <v>647</v>
      </c>
    </row>
    <row r="68" spans="1:1" x14ac:dyDescent="0.25">
      <c r="A68" s="26" t="s">
        <v>649</v>
      </c>
    </row>
    <row r="69" spans="1:1" x14ac:dyDescent="0.25">
      <c r="A69" s="26" t="s">
        <v>654</v>
      </c>
    </row>
    <row r="70" spans="1:1" x14ac:dyDescent="0.25">
      <c r="A70" s="26" t="s">
        <v>650</v>
      </c>
    </row>
    <row r="71" spans="1:1" x14ac:dyDescent="0.25">
      <c r="A71" s="26" t="s">
        <v>651</v>
      </c>
    </row>
    <row r="73" spans="1:1" x14ac:dyDescent="0.25">
      <c r="A73" s="26" t="s">
        <v>655</v>
      </c>
    </row>
    <row r="75" spans="1:1" x14ac:dyDescent="0.25">
      <c r="A75" s="26" t="s">
        <v>853</v>
      </c>
    </row>
    <row r="77" spans="1:1" x14ac:dyDescent="0.25">
      <c r="A77" s="26" t="s">
        <v>854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7"/>
  <sheetViews>
    <sheetView workbookViewId="0">
      <selection activeCell="B8" sqref="B8"/>
    </sheetView>
  </sheetViews>
  <sheetFormatPr defaultRowHeight="13.2" x14ac:dyDescent="0.25"/>
  <sheetData>
    <row r="1" spans="1:5" x14ac:dyDescent="0.25">
      <c r="A1" s="2" t="s">
        <v>153</v>
      </c>
      <c r="B1" s="18" t="s">
        <v>154</v>
      </c>
      <c r="C1" s="2" t="s">
        <v>335</v>
      </c>
    </row>
    <row r="2" spans="1:5" x14ac:dyDescent="0.25">
      <c r="A2" t="s">
        <v>150</v>
      </c>
      <c r="B2" s="1">
        <v>0</v>
      </c>
      <c r="C2" t="s">
        <v>509</v>
      </c>
    </row>
    <row r="3" spans="1:5" x14ac:dyDescent="0.25">
      <c r="A3" t="s">
        <v>151</v>
      </c>
      <c r="B3" s="1">
        <v>0</v>
      </c>
      <c r="C3" t="s">
        <v>510</v>
      </c>
    </row>
    <row r="4" spans="1:5" x14ac:dyDescent="0.25">
      <c r="A4" t="s">
        <v>152</v>
      </c>
      <c r="B4" s="1" t="s">
        <v>589</v>
      </c>
      <c r="C4" t="s">
        <v>511</v>
      </c>
      <c r="E4" s="1"/>
    </row>
    <row r="5" spans="1:5" x14ac:dyDescent="0.25">
      <c r="A5" t="s">
        <v>546</v>
      </c>
      <c r="B5" s="1" t="s">
        <v>589</v>
      </c>
      <c r="C5" t="s">
        <v>547</v>
      </c>
      <c r="E5" s="1"/>
    </row>
    <row r="6" spans="1:5" x14ac:dyDescent="0.25">
      <c r="A6" t="s">
        <v>193</v>
      </c>
      <c r="B6" s="1" t="s">
        <v>542</v>
      </c>
      <c r="C6" t="s">
        <v>193</v>
      </c>
    </row>
    <row r="7" spans="1:5" x14ac:dyDescent="0.25">
      <c r="A7" t="s">
        <v>194</v>
      </c>
      <c r="B7" s="1" t="b">
        <v>0</v>
      </c>
      <c r="C7" t="s">
        <v>541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"/>
  <sheetViews>
    <sheetView workbookViewId="0">
      <selection activeCell="D3" sqref="D3"/>
    </sheetView>
  </sheetViews>
  <sheetFormatPr defaultColWidth="9.109375" defaultRowHeight="13.2" x14ac:dyDescent="0.25"/>
  <sheetData>
    <row r="1" spans="1:8" x14ac:dyDescent="0.25">
      <c r="A1" s="19" t="s">
        <v>0</v>
      </c>
      <c r="B1" s="19" t="s">
        <v>142</v>
      </c>
      <c r="C1" s="19" t="s">
        <v>143</v>
      </c>
      <c r="D1" s="19" t="s">
        <v>548</v>
      </c>
      <c r="E1" s="19" t="s">
        <v>549</v>
      </c>
      <c r="F1" s="19" t="s">
        <v>162</v>
      </c>
      <c r="G1" s="19" t="s">
        <v>163</v>
      </c>
      <c r="H1" s="18" t="s">
        <v>335</v>
      </c>
    </row>
    <row r="2" spans="1:8" x14ac:dyDescent="0.25">
      <c r="A2" t="s">
        <v>761</v>
      </c>
      <c r="B2">
        <v>52</v>
      </c>
      <c r="C2">
        <v>52</v>
      </c>
      <c r="D2">
        <v>10</v>
      </c>
      <c r="E2">
        <v>100</v>
      </c>
      <c r="F2">
        <v>26</v>
      </c>
      <c r="G2">
        <v>26</v>
      </c>
      <c r="H2" t="s">
        <v>577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3"/>
  <sheetViews>
    <sheetView workbookViewId="0">
      <selection activeCell="C14" sqref="C14"/>
    </sheetView>
  </sheetViews>
  <sheetFormatPr defaultColWidth="9.109375" defaultRowHeight="13.2" x14ac:dyDescent="0.25"/>
  <sheetData>
    <row r="1" spans="1:2" x14ac:dyDescent="0.25">
      <c r="A1" s="2" t="s">
        <v>0</v>
      </c>
      <c r="B1" s="2" t="s">
        <v>333</v>
      </c>
    </row>
    <row r="2" spans="1:2" x14ac:dyDescent="0.25">
      <c r="A2" t="s">
        <v>558</v>
      </c>
    </row>
    <row r="3" spans="1:2" x14ac:dyDescent="0.25">
      <c r="A3" t="s">
        <v>567</v>
      </c>
    </row>
    <row r="4" spans="1:2" x14ac:dyDescent="0.25">
      <c r="A4" t="s">
        <v>554</v>
      </c>
    </row>
    <row r="5" spans="1:2" x14ac:dyDescent="0.25">
      <c r="A5" t="s">
        <v>565</v>
      </c>
    </row>
    <row r="6" spans="1:2" x14ac:dyDescent="0.25">
      <c r="A6" s="26" t="s">
        <v>624</v>
      </c>
    </row>
    <row r="7" spans="1:2" x14ac:dyDescent="0.25">
      <c r="A7" s="26" t="s">
        <v>638</v>
      </c>
    </row>
    <row r="8" spans="1:2" x14ac:dyDescent="0.25">
      <c r="A8" s="26" t="s">
        <v>656</v>
      </c>
    </row>
    <row r="9" spans="1:2" x14ac:dyDescent="0.25">
      <c r="A9" s="26" t="s">
        <v>774</v>
      </c>
    </row>
    <row r="10" spans="1:2" x14ac:dyDescent="0.25">
      <c r="A10" s="26" t="s">
        <v>782</v>
      </c>
    </row>
    <row r="11" spans="1:2" x14ac:dyDescent="0.25">
      <c r="A11" s="26" t="s">
        <v>783</v>
      </c>
    </row>
    <row r="12" spans="1:2" x14ac:dyDescent="0.25">
      <c r="A12" s="26" t="s">
        <v>784</v>
      </c>
    </row>
    <row r="13" spans="1:2" x14ac:dyDescent="0.25">
      <c r="A13" s="26" t="s">
        <v>785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73"/>
  <sheetViews>
    <sheetView workbookViewId="0">
      <pane ySplit="1" topLeftCell="A2" activePane="bottomLeft" state="frozen"/>
      <selection pane="bottomLeft" activeCell="J23" sqref="J23"/>
    </sheetView>
  </sheetViews>
  <sheetFormatPr defaultColWidth="9.109375" defaultRowHeight="13.2" x14ac:dyDescent="0.25"/>
  <sheetData>
    <row r="1" spans="1:21" s="7" customFormat="1" x14ac:dyDescent="0.25">
      <c r="A1" s="11" t="s">
        <v>331</v>
      </c>
      <c r="B1" s="11" t="s">
        <v>0</v>
      </c>
      <c r="C1" s="11" t="s">
        <v>37</v>
      </c>
      <c r="D1" s="11" t="s">
        <v>66</v>
      </c>
      <c r="E1" s="11" t="s">
        <v>38</v>
      </c>
      <c r="F1" s="11" t="s">
        <v>39</v>
      </c>
      <c r="G1" s="11" t="s">
        <v>40</v>
      </c>
      <c r="H1" s="11" t="s">
        <v>41</v>
      </c>
      <c r="I1" s="11" t="s">
        <v>26</v>
      </c>
      <c r="J1" s="11" t="s">
        <v>27</v>
      </c>
      <c r="K1" s="11" t="s">
        <v>28</v>
      </c>
      <c r="L1" s="11" t="s">
        <v>70</v>
      </c>
      <c r="M1" s="11" t="s">
        <v>29</v>
      </c>
      <c r="N1" s="11" t="s">
        <v>30</v>
      </c>
      <c r="O1" s="11" t="s">
        <v>31</v>
      </c>
      <c r="P1" s="11" t="s">
        <v>32</v>
      </c>
      <c r="Q1" s="11" t="s">
        <v>44</v>
      </c>
      <c r="R1" s="11" t="s">
        <v>123</v>
      </c>
      <c r="S1" s="11" t="s">
        <v>124</v>
      </c>
      <c r="T1" s="11" t="s">
        <v>125</v>
      </c>
      <c r="U1" s="11" t="s">
        <v>133</v>
      </c>
    </row>
    <row r="2" spans="1:21" x14ac:dyDescent="0.25">
      <c r="A2" t="s">
        <v>554</v>
      </c>
      <c r="B2" t="s">
        <v>550</v>
      </c>
      <c r="C2" t="s">
        <v>174</v>
      </c>
      <c r="D2" t="s">
        <v>544</v>
      </c>
      <c r="E2">
        <v>0</v>
      </c>
      <c r="F2">
        <v>0</v>
      </c>
      <c r="G2">
        <v>26</v>
      </c>
      <c r="H2">
        <v>26</v>
      </c>
    </row>
    <row r="3" spans="1:21" x14ac:dyDescent="0.25">
      <c r="A3" t="s">
        <v>554</v>
      </c>
      <c r="B3" t="s">
        <v>560</v>
      </c>
      <c r="C3" t="s">
        <v>33</v>
      </c>
      <c r="D3" t="s">
        <v>43</v>
      </c>
      <c r="E3">
        <v>0</v>
      </c>
      <c r="F3">
        <v>11</v>
      </c>
      <c r="G3">
        <v>26</v>
      </c>
      <c r="H3">
        <v>6</v>
      </c>
      <c r="Q3" t="b">
        <v>1</v>
      </c>
    </row>
    <row r="4" spans="1:21" x14ac:dyDescent="0.25">
      <c r="A4" t="s">
        <v>554</v>
      </c>
      <c r="B4" t="s">
        <v>24</v>
      </c>
      <c r="C4" t="s">
        <v>33</v>
      </c>
      <c r="D4" t="s">
        <v>544</v>
      </c>
      <c r="E4">
        <v>0</v>
      </c>
      <c r="F4">
        <v>0</v>
      </c>
      <c r="G4">
        <v>6</v>
      </c>
      <c r="H4">
        <v>18</v>
      </c>
      <c r="I4" t="s">
        <v>645</v>
      </c>
      <c r="K4" t="b">
        <v>1</v>
      </c>
      <c r="N4" t="s">
        <v>543</v>
      </c>
      <c r="O4" t="s">
        <v>553</v>
      </c>
      <c r="P4">
        <v>1</v>
      </c>
      <c r="Q4" t="b">
        <v>1</v>
      </c>
    </row>
    <row r="5" spans="1:21" x14ac:dyDescent="0.25">
      <c r="A5" t="s">
        <v>554</v>
      </c>
      <c r="B5" t="s">
        <v>551</v>
      </c>
      <c r="C5" t="s">
        <v>174</v>
      </c>
      <c r="D5" t="s">
        <v>544</v>
      </c>
      <c r="E5">
        <v>6</v>
      </c>
      <c r="F5">
        <v>2</v>
      </c>
      <c r="G5">
        <v>20</v>
      </c>
      <c r="H5">
        <v>20</v>
      </c>
    </row>
    <row r="6" spans="1:21" x14ac:dyDescent="0.25">
      <c r="A6" t="s">
        <v>554</v>
      </c>
      <c r="B6" t="s">
        <v>38</v>
      </c>
      <c r="C6" t="s">
        <v>33</v>
      </c>
      <c r="D6" t="s">
        <v>544</v>
      </c>
      <c r="E6">
        <v>3</v>
      </c>
      <c r="F6">
        <v>18</v>
      </c>
      <c r="G6">
        <v>6</v>
      </c>
      <c r="H6">
        <v>8</v>
      </c>
      <c r="K6" t="b">
        <v>1</v>
      </c>
      <c r="P6">
        <v>1</v>
      </c>
    </row>
    <row r="7" spans="1:21" x14ac:dyDescent="0.25">
      <c r="A7" t="s">
        <v>554</v>
      </c>
      <c r="B7" t="s">
        <v>552</v>
      </c>
      <c r="C7" t="s">
        <v>33</v>
      </c>
      <c r="D7" t="s">
        <v>544</v>
      </c>
      <c r="E7">
        <v>11</v>
      </c>
      <c r="F7">
        <v>18</v>
      </c>
      <c r="G7">
        <v>6</v>
      </c>
      <c r="H7">
        <v>8</v>
      </c>
      <c r="K7" t="b">
        <v>1</v>
      </c>
      <c r="P7">
        <v>1</v>
      </c>
    </row>
    <row r="8" spans="1:21" x14ac:dyDescent="0.25">
      <c r="A8" t="s">
        <v>554</v>
      </c>
      <c r="B8" t="s">
        <v>553</v>
      </c>
      <c r="C8" t="s">
        <v>33</v>
      </c>
      <c r="D8" t="s">
        <v>544</v>
      </c>
      <c r="E8">
        <v>19</v>
      </c>
      <c r="F8">
        <v>18</v>
      </c>
      <c r="G8">
        <v>6</v>
      </c>
      <c r="H8">
        <v>8</v>
      </c>
      <c r="K8" t="b">
        <v>1</v>
      </c>
      <c r="P8">
        <v>1</v>
      </c>
    </row>
    <row r="9" spans="1:21" x14ac:dyDescent="0.25">
      <c r="A9" t="s">
        <v>567</v>
      </c>
      <c r="B9" t="s">
        <v>24</v>
      </c>
      <c r="C9" t="s">
        <v>33</v>
      </c>
      <c r="D9" t="s">
        <v>544</v>
      </c>
      <c r="E9">
        <v>0</v>
      </c>
      <c r="F9">
        <v>0</v>
      </c>
      <c r="G9">
        <v>26</v>
      </c>
      <c r="H9">
        <v>6</v>
      </c>
      <c r="I9" t="s">
        <v>645</v>
      </c>
      <c r="J9">
        <v>80</v>
      </c>
      <c r="K9" t="b">
        <v>1</v>
      </c>
      <c r="O9" t="s">
        <v>553</v>
      </c>
      <c r="Q9" t="b">
        <v>1</v>
      </c>
    </row>
    <row r="10" spans="1:21" x14ac:dyDescent="0.25">
      <c r="A10" t="s">
        <v>567</v>
      </c>
      <c r="B10" t="s">
        <v>560</v>
      </c>
      <c r="C10" t="s">
        <v>33</v>
      </c>
      <c r="D10" t="s">
        <v>43</v>
      </c>
      <c r="E10">
        <v>0</v>
      </c>
      <c r="F10">
        <v>11</v>
      </c>
      <c r="G10">
        <v>26</v>
      </c>
      <c r="H10">
        <v>6</v>
      </c>
      <c r="Q10" t="b">
        <v>1</v>
      </c>
    </row>
    <row r="11" spans="1:21" x14ac:dyDescent="0.25">
      <c r="A11" t="s">
        <v>567</v>
      </c>
      <c r="B11" t="s">
        <v>561</v>
      </c>
      <c r="C11" t="s">
        <v>33</v>
      </c>
      <c r="D11" t="s">
        <v>544</v>
      </c>
      <c r="E11">
        <v>2</v>
      </c>
      <c r="F11">
        <v>6</v>
      </c>
      <c r="G11">
        <v>3</v>
      </c>
      <c r="H11">
        <v>3</v>
      </c>
      <c r="K11" t="b">
        <v>1</v>
      </c>
      <c r="P11">
        <v>1</v>
      </c>
    </row>
    <row r="12" spans="1:21" x14ac:dyDescent="0.25">
      <c r="A12" t="s">
        <v>567</v>
      </c>
      <c r="B12" t="s">
        <v>503</v>
      </c>
      <c r="C12" t="s">
        <v>174</v>
      </c>
      <c r="D12" t="s">
        <v>544</v>
      </c>
      <c r="E12">
        <v>8</v>
      </c>
      <c r="F12">
        <v>6</v>
      </c>
      <c r="G12">
        <v>15</v>
      </c>
      <c r="H12">
        <v>17</v>
      </c>
    </row>
    <row r="13" spans="1:21" x14ac:dyDescent="0.25">
      <c r="A13" t="s">
        <v>567</v>
      </c>
      <c r="B13" t="s">
        <v>562</v>
      </c>
      <c r="C13" t="s">
        <v>174</v>
      </c>
      <c r="D13" t="s">
        <v>544</v>
      </c>
      <c r="E13">
        <v>2</v>
      </c>
      <c r="F13">
        <v>10</v>
      </c>
      <c r="G13">
        <v>3</v>
      </c>
      <c r="H13">
        <v>3</v>
      </c>
    </row>
    <row r="14" spans="1:21" x14ac:dyDescent="0.25">
      <c r="A14" t="s">
        <v>567</v>
      </c>
      <c r="B14" t="s">
        <v>563</v>
      </c>
      <c r="C14" t="s">
        <v>33</v>
      </c>
      <c r="D14" t="s">
        <v>544</v>
      </c>
      <c r="E14">
        <v>2</v>
      </c>
      <c r="F14">
        <v>10</v>
      </c>
      <c r="G14">
        <v>6</v>
      </c>
      <c r="H14">
        <v>6</v>
      </c>
      <c r="K14" t="b">
        <v>1</v>
      </c>
      <c r="P14">
        <v>1</v>
      </c>
    </row>
    <row r="15" spans="1:21" x14ac:dyDescent="0.25">
      <c r="A15" t="s">
        <v>567</v>
      </c>
      <c r="B15" t="s">
        <v>579</v>
      </c>
      <c r="C15" t="s">
        <v>33</v>
      </c>
      <c r="D15" t="s">
        <v>42</v>
      </c>
      <c r="E15">
        <v>2</v>
      </c>
      <c r="F15">
        <v>18</v>
      </c>
      <c r="G15">
        <v>7</v>
      </c>
      <c r="H15">
        <v>8</v>
      </c>
      <c r="K15" t="b">
        <v>1</v>
      </c>
      <c r="P15">
        <v>1</v>
      </c>
    </row>
    <row r="16" spans="1:21" x14ac:dyDescent="0.25">
      <c r="A16" t="s">
        <v>567</v>
      </c>
      <c r="B16" t="s">
        <v>580</v>
      </c>
      <c r="C16" t="s">
        <v>33</v>
      </c>
      <c r="D16" t="s">
        <v>42</v>
      </c>
      <c r="E16">
        <v>14</v>
      </c>
      <c r="F16">
        <v>18</v>
      </c>
      <c r="G16">
        <v>6</v>
      </c>
      <c r="H16">
        <v>8</v>
      </c>
      <c r="K16" t="b">
        <v>1</v>
      </c>
      <c r="P16">
        <v>1</v>
      </c>
    </row>
    <row r="17" spans="1:17" x14ac:dyDescent="0.25">
      <c r="A17" t="s">
        <v>567</v>
      </c>
      <c r="B17" t="s">
        <v>581</v>
      </c>
      <c r="C17" t="s">
        <v>33</v>
      </c>
      <c r="D17" t="s">
        <v>42</v>
      </c>
      <c r="E17">
        <v>19</v>
      </c>
      <c r="F17">
        <v>18</v>
      </c>
      <c r="G17">
        <v>7</v>
      </c>
      <c r="H17">
        <v>8</v>
      </c>
      <c r="K17" t="b">
        <v>1</v>
      </c>
      <c r="P17">
        <v>1</v>
      </c>
    </row>
    <row r="18" spans="1:17" x14ac:dyDescent="0.25">
      <c r="A18" t="s">
        <v>567</v>
      </c>
      <c r="B18" t="s">
        <v>564</v>
      </c>
      <c r="C18" t="s">
        <v>33</v>
      </c>
      <c r="D18" t="s">
        <v>42</v>
      </c>
      <c r="E18">
        <v>20</v>
      </c>
      <c r="F18">
        <v>8</v>
      </c>
      <c r="G18">
        <v>6</v>
      </c>
      <c r="H18">
        <v>7</v>
      </c>
      <c r="K18" t="b">
        <v>1</v>
      </c>
      <c r="P18">
        <v>1</v>
      </c>
    </row>
    <row r="19" spans="1:17" x14ac:dyDescent="0.25">
      <c r="A19" t="s">
        <v>567</v>
      </c>
      <c r="B19" t="s">
        <v>582</v>
      </c>
      <c r="C19" t="s">
        <v>33</v>
      </c>
      <c r="D19" t="s">
        <v>43</v>
      </c>
      <c r="E19">
        <v>2</v>
      </c>
      <c r="F19">
        <v>18</v>
      </c>
      <c r="G19">
        <v>7</v>
      </c>
      <c r="H19">
        <v>8</v>
      </c>
      <c r="K19" t="b">
        <v>1</v>
      </c>
      <c r="P19">
        <v>1</v>
      </c>
    </row>
    <row r="20" spans="1:17" x14ac:dyDescent="0.25">
      <c r="A20" t="s">
        <v>567</v>
      </c>
      <c r="B20" t="s">
        <v>583</v>
      </c>
      <c r="C20" t="s">
        <v>33</v>
      </c>
      <c r="D20" t="s">
        <v>43</v>
      </c>
      <c r="E20">
        <v>14</v>
      </c>
      <c r="F20">
        <v>18</v>
      </c>
      <c r="G20">
        <v>6</v>
      </c>
      <c r="H20">
        <v>8</v>
      </c>
      <c r="K20" t="b">
        <v>1</v>
      </c>
      <c r="P20">
        <v>1</v>
      </c>
    </row>
    <row r="21" spans="1:17" x14ac:dyDescent="0.25">
      <c r="A21" t="s">
        <v>567</v>
      </c>
      <c r="B21" t="s">
        <v>584</v>
      </c>
      <c r="C21" t="s">
        <v>33</v>
      </c>
      <c r="D21" t="s">
        <v>43</v>
      </c>
      <c r="E21">
        <v>19</v>
      </c>
      <c r="F21">
        <v>18</v>
      </c>
      <c r="G21">
        <v>7</v>
      </c>
      <c r="H21">
        <v>8</v>
      </c>
      <c r="K21" t="b">
        <v>1</v>
      </c>
      <c r="P21">
        <v>1</v>
      </c>
    </row>
    <row r="22" spans="1:17" x14ac:dyDescent="0.25">
      <c r="A22" t="s">
        <v>558</v>
      </c>
      <c r="B22" t="s">
        <v>550</v>
      </c>
      <c r="C22" s="26" t="s">
        <v>33</v>
      </c>
      <c r="D22" s="26" t="s">
        <v>42</v>
      </c>
      <c r="E22">
        <v>6</v>
      </c>
      <c r="F22">
        <v>1</v>
      </c>
      <c r="G22">
        <v>20</v>
      </c>
      <c r="H22">
        <v>17</v>
      </c>
      <c r="I22" s="26" t="s">
        <v>714</v>
      </c>
      <c r="K22" t="b">
        <v>1</v>
      </c>
      <c r="P22">
        <v>1</v>
      </c>
    </row>
    <row r="23" spans="1:17" x14ac:dyDescent="0.25">
      <c r="A23" t="s">
        <v>558</v>
      </c>
      <c r="B23" t="s">
        <v>24</v>
      </c>
      <c r="C23" t="s">
        <v>33</v>
      </c>
      <c r="D23" t="s">
        <v>42</v>
      </c>
      <c r="E23">
        <v>0</v>
      </c>
      <c r="F23">
        <v>0</v>
      </c>
      <c r="G23">
        <v>6</v>
      </c>
      <c r="H23">
        <v>19</v>
      </c>
      <c r="I23" t="s">
        <v>645</v>
      </c>
      <c r="K23" t="b">
        <v>1</v>
      </c>
      <c r="N23" t="s">
        <v>543</v>
      </c>
      <c r="O23" s="26" t="s">
        <v>694</v>
      </c>
      <c r="P23">
        <v>0</v>
      </c>
      <c r="Q23" t="b">
        <v>1</v>
      </c>
    </row>
    <row r="24" spans="1:17" x14ac:dyDescent="0.25">
      <c r="A24" t="s">
        <v>558</v>
      </c>
      <c r="B24" t="s">
        <v>38</v>
      </c>
      <c r="C24" t="s">
        <v>33</v>
      </c>
      <c r="D24" t="s">
        <v>42</v>
      </c>
      <c r="E24">
        <v>3</v>
      </c>
      <c r="F24">
        <v>18</v>
      </c>
      <c r="G24">
        <v>6</v>
      </c>
      <c r="H24">
        <v>8</v>
      </c>
      <c r="K24" t="b">
        <v>1</v>
      </c>
      <c r="P24">
        <v>1</v>
      </c>
      <c r="Q24" t="b">
        <v>1</v>
      </c>
    </row>
    <row r="25" spans="1:17" x14ac:dyDescent="0.25">
      <c r="A25" t="s">
        <v>558</v>
      </c>
      <c r="B25" t="s">
        <v>553</v>
      </c>
      <c r="C25" t="s">
        <v>33</v>
      </c>
      <c r="D25" t="s">
        <v>42</v>
      </c>
      <c r="E25">
        <v>19</v>
      </c>
      <c r="F25">
        <v>18</v>
      </c>
      <c r="G25">
        <v>6</v>
      </c>
      <c r="H25">
        <v>8</v>
      </c>
      <c r="K25" t="b">
        <v>1</v>
      </c>
      <c r="P25">
        <v>1</v>
      </c>
      <c r="Q25" t="b">
        <v>1</v>
      </c>
    </row>
    <row r="26" spans="1:17" x14ac:dyDescent="0.25">
      <c r="A26" t="s">
        <v>565</v>
      </c>
      <c r="B26" t="s">
        <v>24</v>
      </c>
      <c r="C26" t="s">
        <v>33</v>
      </c>
      <c r="D26" t="s">
        <v>544</v>
      </c>
      <c r="E26">
        <v>0</v>
      </c>
      <c r="F26">
        <v>0</v>
      </c>
      <c r="G26">
        <v>26</v>
      </c>
      <c r="H26">
        <v>6</v>
      </c>
      <c r="I26" t="s">
        <v>645</v>
      </c>
      <c r="J26">
        <v>80</v>
      </c>
      <c r="K26" t="b">
        <v>1</v>
      </c>
      <c r="O26" t="s">
        <v>553</v>
      </c>
      <c r="Q26" t="b">
        <v>1</v>
      </c>
    </row>
    <row r="27" spans="1:17" x14ac:dyDescent="0.25">
      <c r="A27" t="s">
        <v>565</v>
      </c>
      <c r="B27" t="s">
        <v>560</v>
      </c>
      <c r="C27" t="s">
        <v>33</v>
      </c>
      <c r="D27" t="s">
        <v>43</v>
      </c>
      <c r="E27">
        <v>0</v>
      </c>
      <c r="F27">
        <v>11</v>
      </c>
      <c r="G27">
        <v>26</v>
      </c>
      <c r="H27">
        <v>6</v>
      </c>
      <c r="J27">
        <v>6</v>
      </c>
      <c r="Q27" t="b">
        <v>1</v>
      </c>
    </row>
    <row r="28" spans="1:17" x14ac:dyDescent="0.25">
      <c r="A28" t="s">
        <v>565</v>
      </c>
      <c r="B28" t="s">
        <v>561</v>
      </c>
      <c r="C28" t="s">
        <v>33</v>
      </c>
      <c r="D28" t="s">
        <v>544</v>
      </c>
      <c r="E28">
        <v>2</v>
      </c>
      <c r="F28">
        <v>6</v>
      </c>
      <c r="G28">
        <v>3</v>
      </c>
      <c r="H28">
        <v>3</v>
      </c>
      <c r="J28">
        <v>6</v>
      </c>
      <c r="K28" t="b">
        <v>1</v>
      </c>
      <c r="P28">
        <v>1</v>
      </c>
    </row>
    <row r="29" spans="1:17" x14ac:dyDescent="0.25">
      <c r="A29" t="s">
        <v>565</v>
      </c>
      <c r="B29" t="s">
        <v>503</v>
      </c>
      <c r="C29" t="s">
        <v>174</v>
      </c>
      <c r="D29" t="s">
        <v>544</v>
      </c>
      <c r="E29">
        <v>6</v>
      </c>
      <c r="F29">
        <v>5</v>
      </c>
      <c r="G29">
        <v>15</v>
      </c>
      <c r="H29">
        <v>17</v>
      </c>
    </row>
    <row r="30" spans="1:17" x14ac:dyDescent="0.25">
      <c r="A30" t="s">
        <v>565</v>
      </c>
      <c r="B30" t="s">
        <v>562</v>
      </c>
      <c r="C30" t="s">
        <v>174</v>
      </c>
      <c r="D30" t="s">
        <v>544</v>
      </c>
      <c r="E30">
        <v>2</v>
      </c>
      <c r="F30">
        <v>10</v>
      </c>
      <c r="G30">
        <v>3</v>
      </c>
      <c r="H30">
        <v>3</v>
      </c>
    </row>
    <row r="31" spans="1:17" x14ac:dyDescent="0.25">
      <c r="A31" t="s">
        <v>565</v>
      </c>
      <c r="B31" t="s">
        <v>563</v>
      </c>
      <c r="C31" t="s">
        <v>33</v>
      </c>
      <c r="D31" t="s">
        <v>544</v>
      </c>
      <c r="E31">
        <v>2</v>
      </c>
      <c r="F31">
        <v>7</v>
      </c>
      <c r="G31">
        <v>6</v>
      </c>
      <c r="H31">
        <v>7</v>
      </c>
      <c r="I31" s="26" t="s">
        <v>872</v>
      </c>
      <c r="K31" t="b">
        <v>1</v>
      </c>
      <c r="P31">
        <v>1</v>
      </c>
    </row>
    <row r="32" spans="1:17" x14ac:dyDescent="0.25">
      <c r="A32" t="s">
        <v>565</v>
      </c>
      <c r="B32" t="s">
        <v>579</v>
      </c>
      <c r="C32" t="s">
        <v>33</v>
      </c>
      <c r="D32" t="s">
        <v>42</v>
      </c>
      <c r="E32">
        <v>2</v>
      </c>
      <c r="F32">
        <v>18</v>
      </c>
      <c r="G32">
        <v>7</v>
      </c>
      <c r="H32">
        <v>8</v>
      </c>
      <c r="K32" t="b">
        <v>1</v>
      </c>
      <c r="P32">
        <v>1</v>
      </c>
    </row>
    <row r="33" spans="1:17" x14ac:dyDescent="0.25">
      <c r="A33" t="s">
        <v>565</v>
      </c>
      <c r="B33" t="s">
        <v>580</v>
      </c>
      <c r="C33" t="s">
        <v>33</v>
      </c>
      <c r="D33" t="s">
        <v>42</v>
      </c>
      <c r="E33">
        <v>11</v>
      </c>
      <c r="F33">
        <v>18</v>
      </c>
      <c r="G33">
        <v>6</v>
      </c>
      <c r="H33">
        <v>8</v>
      </c>
      <c r="K33" t="b">
        <v>1</v>
      </c>
      <c r="P33">
        <v>1</v>
      </c>
    </row>
    <row r="34" spans="1:17" x14ac:dyDescent="0.25">
      <c r="A34" t="s">
        <v>565</v>
      </c>
      <c r="B34" t="s">
        <v>581</v>
      </c>
      <c r="C34" t="s">
        <v>33</v>
      </c>
      <c r="D34" t="s">
        <v>42</v>
      </c>
      <c r="E34">
        <v>18</v>
      </c>
      <c r="F34">
        <v>18</v>
      </c>
      <c r="G34">
        <v>7</v>
      </c>
      <c r="H34">
        <v>8</v>
      </c>
      <c r="K34" t="b">
        <v>1</v>
      </c>
      <c r="P34">
        <v>1</v>
      </c>
    </row>
    <row r="35" spans="1:17" x14ac:dyDescent="0.25">
      <c r="A35" t="s">
        <v>565</v>
      </c>
      <c r="B35" t="s">
        <v>564</v>
      </c>
      <c r="C35" t="s">
        <v>33</v>
      </c>
      <c r="D35" t="s">
        <v>42</v>
      </c>
      <c r="E35">
        <v>20</v>
      </c>
      <c r="F35">
        <v>7</v>
      </c>
      <c r="G35">
        <v>6</v>
      </c>
      <c r="H35">
        <v>7</v>
      </c>
      <c r="K35" t="b">
        <v>1</v>
      </c>
      <c r="P35">
        <v>1</v>
      </c>
    </row>
    <row r="36" spans="1:17" x14ac:dyDescent="0.25">
      <c r="A36" t="s">
        <v>565</v>
      </c>
      <c r="B36" t="s">
        <v>582</v>
      </c>
      <c r="C36" t="s">
        <v>33</v>
      </c>
      <c r="D36" t="s">
        <v>43</v>
      </c>
      <c r="E36">
        <v>2</v>
      </c>
      <c r="F36">
        <v>18</v>
      </c>
      <c r="G36">
        <v>7</v>
      </c>
      <c r="H36">
        <v>8</v>
      </c>
      <c r="K36" t="b">
        <v>1</v>
      </c>
      <c r="P36">
        <v>1</v>
      </c>
    </row>
    <row r="37" spans="1:17" x14ac:dyDescent="0.25">
      <c r="A37" t="s">
        <v>565</v>
      </c>
      <c r="B37" t="s">
        <v>583</v>
      </c>
      <c r="C37" t="s">
        <v>33</v>
      </c>
      <c r="D37" t="s">
        <v>43</v>
      </c>
      <c r="E37">
        <v>11</v>
      </c>
      <c r="F37">
        <v>18</v>
      </c>
      <c r="G37">
        <v>6</v>
      </c>
      <c r="H37">
        <v>8</v>
      </c>
      <c r="K37" t="b">
        <v>1</v>
      </c>
      <c r="P37">
        <v>1</v>
      </c>
    </row>
    <row r="38" spans="1:17" x14ac:dyDescent="0.25">
      <c r="A38" t="s">
        <v>565</v>
      </c>
      <c r="B38" t="s">
        <v>584</v>
      </c>
      <c r="C38" t="s">
        <v>33</v>
      </c>
      <c r="D38" t="s">
        <v>43</v>
      </c>
      <c r="E38">
        <v>18</v>
      </c>
      <c r="F38">
        <v>18</v>
      </c>
      <c r="G38">
        <v>7</v>
      </c>
      <c r="H38">
        <v>8</v>
      </c>
      <c r="K38" t="b">
        <v>1</v>
      </c>
      <c r="P38">
        <v>1</v>
      </c>
    </row>
    <row r="39" spans="1:17" x14ac:dyDescent="0.25">
      <c r="A39" s="27" t="s">
        <v>624</v>
      </c>
      <c r="B39" s="27" t="s">
        <v>39</v>
      </c>
      <c r="C39" s="27" t="s">
        <v>33</v>
      </c>
      <c r="D39" s="27" t="s">
        <v>42</v>
      </c>
      <c r="E39">
        <v>0</v>
      </c>
      <c r="F39">
        <v>0</v>
      </c>
      <c r="G39">
        <v>26</v>
      </c>
      <c r="H39">
        <v>13</v>
      </c>
      <c r="Q39" t="b">
        <v>1</v>
      </c>
    </row>
    <row r="40" spans="1:17" x14ac:dyDescent="0.25">
      <c r="A40" s="27" t="s">
        <v>624</v>
      </c>
      <c r="B40" s="27" t="s">
        <v>625</v>
      </c>
      <c r="C40" s="27" t="s">
        <v>33</v>
      </c>
      <c r="D40" s="27" t="s">
        <v>42</v>
      </c>
      <c r="E40">
        <v>0</v>
      </c>
      <c r="F40">
        <v>13</v>
      </c>
      <c r="G40">
        <v>26</v>
      </c>
      <c r="H40">
        <v>13</v>
      </c>
    </row>
    <row r="41" spans="1:17" x14ac:dyDescent="0.25">
      <c r="A41" t="s">
        <v>638</v>
      </c>
      <c r="B41" t="s">
        <v>24</v>
      </c>
      <c r="C41" t="s">
        <v>33</v>
      </c>
      <c r="D41" t="s">
        <v>544</v>
      </c>
      <c r="E41">
        <v>8</v>
      </c>
      <c r="F41">
        <v>0</v>
      </c>
      <c r="G41">
        <v>18</v>
      </c>
      <c r="H41">
        <v>6</v>
      </c>
      <c r="I41" t="s">
        <v>645</v>
      </c>
      <c r="J41">
        <v>80</v>
      </c>
      <c r="K41" t="b">
        <v>1</v>
      </c>
      <c r="O41" t="s">
        <v>553</v>
      </c>
      <c r="Q41" t="b">
        <v>1</v>
      </c>
    </row>
    <row r="42" spans="1:17" x14ac:dyDescent="0.25">
      <c r="A42" t="s">
        <v>638</v>
      </c>
      <c r="B42" t="s">
        <v>560</v>
      </c>
      <c r="C42" t="s">
        <v>33</v>
      </c>
      <c r="D42" t="s">
        <v>43</v>
      </c>
      <c r="E42">
        <v>0</v>
      </c>
      <c r="F42">
        <v>11</v>
      </c>
      <c r="G42">
        <v>26</v>
      </c>
      <c r="H42">
        <v>6</v>
      </c>
      <c r="J42">
        <v>6</v>
      </c>
      <c r="Q42" t="b">
        <v>1</v>
      </c>
    </row>
    <row r="43" spans="1:17" x14ac:dyDescent="0.25">
      <c r="A43" t="s">
        <v>638</v>
      </c>
      <c r="B43" t="s">
        <v>561</v>
      </c>
      <c r="C43" t="s">
        <v>33</v>
      </c>
      <c r="D43" t="s">
        <v>544</v>
      </c>
      <c r="E43">
        <v>2</v>
      </c>
      <c r="F43">
        <v>6</v>
      </c>
      <c r="G43">
        <v>3</v>
      </c>
      <c r="H43">
        <v>3</v>
      </c>
      <c r="J43">
        <v>6</v>
      </c>
      <c r="K43" t="b">
        <v>1</v>
      </c>
      <c r="P43">
        <v>1</v>
      </c>
    </row>
    <row r="44" spans="1:17" x14ac:dyDescent="0.25">
      <c r="A44" t="s">
        <v>638</v>
      </c>
      <c r="B44" t="s">
        <v>503</v>
      </c>
      <c r="C44" t="s">
        <v>174</v>
      </c>
      <c r="D44" t="s">
        <v>544</v>
      </c>
      <c r="E44">
        <v>3</v>
      </c>
      <c r="F44">
        <v>7</v>
      </c>
      <c r="G44">
        <v>20</v>
      </c>
      <c r="H44">
        <v>12</v>
      </c>
    </row>
    <row r="45" spans="1:17" x14ac:dyDescent="0.25">
      <c r="A45" t="s">
        <v>638</v>
      </c>
      <c r="B45" t="s">
        <v>562</v>
      </c>
      <c r="C45" t="s">
        <v>174</v>
      </c>
      <c r="D45" t="s">
        <v>544</v>
      </c>
      <c r="E45">
        <v>2</v>
      </c>
      <c r="F45">
        <v>10</v>
      </c>
      <c r="G45">
        <v>3</v>
      </c>
      <c r="H45">
        <v>3</v>
      </c>
    </row>
    <row r="46" spans="1:17" x14ac:dyDescent="0.25">
      <c r="A46" t="s">
        <v>638</v>
      </c>
      <c r="B46" t="s">
        <v>563</v>
      </c>
      <c r="C46" t="s">
        <v>33</v>
      </c>
      <c r="D46" t="s">
        <v>544</v>
      </c>
      <c r="E46">
        <v>2</v>
      </c>
      <c r="F46">
        <v>10</v>
      </c>
      <c r="G46">
        <v>6</v>
      </c>
      <c r="H46">
        <v>6</v>
      </c>
      <c r="J46">
        <v>6</v>
      </c>
      <c r="K46" t="b">
        <v>1</v>
      </c>
      <c r="P46">
        <v>1</v>
      </c>
    </row>
    <row r="47" spans="1:17" x14ac:dyDescent="0.25">
      <c r="A47" t="s">
        <v>638</v>
      </c>
      <c r="B47" t="s">
        <v>579</v>
      </c>
      <c r="C47" t="s">
        <v>33</v>
      </c>
      <c r="D47" t="s">
        <v>42</v>
      </c>
      <c r="E47">
        <v>2</v>
      </c>
      <c r="F47">
        <v>18</v>
      </c>
      <c r="G47">
        <v>8</v>
      </c>
      <c r="H47">
        <v>7</v>
      </c>
      <c r="J47">
        <v>6</v>
      </c>
      <c r="K47" t="b">
        <v>1</v>
      </c>
      <c r="P47">
        <v>1</v>
      </c>
    </row>
    <row r="48" spans="1:17" x14ac:dyDescent="0.25">
      <c r="A48" t="s">
        <v>638</v>
      </c>
      <c r="B48" t="s">
        <v>580</v>
      </c>
      <c r="C48" t="s">
        <v>33</v>
      </c>
      <c r="D48" t="s">
        <v>42</v>
      </c>
      <c r="E48">
        <v>11</v>
      </c>
      <c r="F48">
        <v>18</v>
      </c>
      <c r="G48">
        <v>6</v>
      </c>
      <c r="H48">
        <v>8</v>
      </c>
      <c r="K48" t="b">
        <v>1</v>
      </c>
      <c r="P48">
        <v>1</v>
      </c>
    </row>
    <row r="49" spans="1:17" x14ac:dyDescent="0.25">
      <c r="A49" t="s">
        <v>638</v>
      </c>
      <c r="B49" t="s">
        <v>581</v>
      </c>
      <c r="C49" t="s">
        <v>33</v>
      </c>
      <c r="D49" t="s">
        <v>42</v>
      </c>
      <c r="E49">
        <v>18</v>
      </c>
      <c r="F49">
        <v>18</v>
      </c>
      <c r="G49">
        <v>7</v>
      </c>
      <c r="H49">
        <v>8</v>
      </c>
      <c r="K49" t="b">
        <v>1</v>
      </c>
      <c r="P49">
        <v>1</v>
      </c>
    </row>
    <row r="50" spans="1:17" x14ac:dyDescent="0.25">
      <c r="A50" t="s">
        <v>638</v>
      </c>
      <c r="B50" t="s">
        <v>564</v>
      </c>
      <c r="C50" t="s">
        <v>33</v>
      </c>
      <c r="D50" t="s">
        <v>42</v>
      </c>
      <c r="E50">
        <v>0</v>
      </c>
      <c r="F50">
        <v>0</v>
      </c>
      <c r="G50">
        <v>8</v>
      </c>
      <c r="H50">
        <v>5</v>
      </c>
      <c r="J50">
        <v>4</v>
      </c>
      <c r="K50" t="b">
        <v>1</v>
      </c>
      <c r="P50">
        <v>1</v>
      </c>
    </row>
    <row r="51" spans="1:17" x14ac:dyDescent="0.25">
      <c r="A51" t="s">
        <v>638</v>
      </c>
      <c r="B51" t="s">
        <v>582</v>
      </c>
      <c r="C51" t="s">
        <v>33</v>
      </c>
      <c r="D51" t="s">
        <v>43</v>
      </c>
      <c r="E51">
        <v>2</v>
      </c>
      <c r="F51">
        <v>18</v>
      </c>
      <c r="G51">
        <v>7</v>
      </c>
      <c r="H51">
        <v>8</v>
      </c>
      <c r="K51" t="b">
        <v>1</v>
      </c>
      <c r="P51">
        <v>1</v>
      </c>
    </row>
    <row r="52" spans="1:17" x14ac:dyDescent="0.25">
      <c r="A52" t="s">
        <v>638</v>
      </c>
      <c r="B52" t="s">
        <v>583</v>
      </c>
      <c r="C52" t="s">
        <v>33</v>
      </c>
      <c r="D52" t="s">
        <v>43</v>
      </c>
      <c r="E52">
        <v>11</v>
      </c>
      <c r="F52">
        <v>18</v>
      </c>
      <c r="G52">
        <v>6</v>
      </c>
      <c r="H52">
        <v>8</v>
      </c>
      <c r="K52" t="b">
        <v>1</v>
      </c>
      <c r="P52">
        <v>1</v>
      </c>
    </row>
    <row r="53" spans="1:17" x14ac:dyDescent="0.25">
      <c r="A53" t="s">
        <v>638</v>
      </c>
      <c r="B53" t="s">
        <v>584</v>
      </c>
      <c r="C53" t="s">
        <v>33</v>
      </c>
      <c r="D53" t="s">
        <v>43</v>
      </c>
      <c r="E53">
        <v>18</v>
      </c>
      <c r="F53">
        <v>18</v>
      </c>
      <c r="G53">
        <v>7</v>
      </c>
      <c r="H53">
        <v>8</v>
      </c>
      <c r="K53" t="b">
        <v>1</v>
      </c>
      <c r="P53">
        <v>1</v>
      </c>
    </row>
    <row r="54" spans="1:17" x14ac:dyDescent="0.25">
      <c r="A54" s="26" t="s">
        <v>656</v>
      </c>
      <c r="B54" t="s">
        <v>24</v>
      </c>
      <c r="C54" t="s">
        <v>33</v>
      </c>
      <c r="D54" t="s">
        <v>544</v>
      </c>
      <c r="E54">
        <v>8</v>
      </c>
      <c r="F54">
        <v>0</v>
      </c>
      <c r="G54">
        <v>18</v>
      </c>
      <c r="H54">
        <v>6</v>
      </c>
      <c r="I54" t="s">
        <v>645</v>
      </c>
      <c r="J54">
        <v>80</v>
      </c>
      <c r="K54" t="b">
        <v>1</v>
      </c>
      <c r="O54" t="s">
        <v>553</v>
      </c>
      <c r="Q54" t="b">
        <v>1</v>
      </c>
    </row>
    <row r="55" spans="1:17" x14ac:dyDescent="0.25">
      <c r="A55" s="26" t="s">
        <v>656</v>
      </c>
      <c r="B55" t="s">
        <v>560</v>
      </c>
      <c r="C55" t="s">
        <v>33</v>
      </c>
      <c r="D55" t="s">
        <v>43</v>
      </c>
      <c r="E55">
        <v>0</v>
      </c>
      <c r="F55">
        <v>11</v>
      </c>
      <c r="G55">
        <v>26</v>
      </c>
      <c r="H55">
        <v>6</v>
      </c>
      <c r="J55">
        <v>6</v>
      </c>
      <c r="Q55" t="b">
        <v>1</v>
      </c>
    </row>
    <row r="56" spans="1:17" x14ac:dyDescent="0.25">
      <c r="A56" s="26" t="s">
        <v>656</v>
      </c>
      <c r="B56" t="s">
        <v>561</v>
      </c>
      <c r="C56" t="s">
        <v>33</v>
      </c>
      <c r="D56" t="s">
        <v>544</v>
      </c>
      <c r="E56">
        <v>2</v>
      </c>
      <c r="F56">
        <v>6</v>
      </c>
      <c r="G56">
        <v>3</v>
      </c>
      <c r="H56">
        <v>3</v>
      </c>
      <c r="J56">
        <v>6</v>
      </c>
      <c r="K56" t="b">
        <v>1</v>
      </c>
      <c r="P56">
        <v>1</v>
      </c>
    </row>
    <row r="57" spans="1:17" x14ac:dyDescent="0.25">
      <c r="A57" s="26" t="s">
        <v>656</v>
      </c>
      <c r="B57" t="s">
        <v>503</v>
      </c>
      <c r="C57" t="s">
        <v>174</v>
      </c>
      <c r="D57" t="s">
        <v>544</v>
      </c>
      <c r="E57">
        <v>2</v>
      </c>
      <c r="F57">
        <v>9</v>
      </c>
      <c r="G57">
        <v>16</v>
      </c>
      <c r="H57">
        <v>10</v>
      </c>
    </row>
    <row r="58" spans="1:17" x14ac:dyDescent="0.25">
      <c r="A58" s="26" t="s">
        <v>656</v>
      </c>
      <c r="B58" t="s">
        <v>562</v>
      </c>
      <c r="C58" t="s">
        <v>174</v>
      </c>
      <c r="D58" t="s">
        <v>544</v>
      </c>
      <c r="E58">
        <v>14</v>
      </c>
      <c r="F58">
        <v>5</v>
      </c>
      <c r="G58">
        <v>12</v>
      </c>
      <c r="H58">
        <v>12</v>
      </c>
    </row>
    <row r="59" spans="1:17" x14ac:dyDescent="0.25">
      <c r="A59" s="26" t="s">
        <v>656</v>
      </c>
      <c r="B59" t="s">
        <v>563</v>
      </c>
      <c r="C59" t="s">
        <v>33</v>
      </c>
      <c r="D59" t="s">
        <v>544</v>
      </c>
      <c r="E59">
        <v>2</v>
      </c>
      <c r="F59">
        <v>14</v>
      </c>
      <c r="G59">
        <v>3</v>
      </c>
      <c r="H59">
        <v>3</v>
      </c>
      <c r="J59">
        <v>6</v>
      </c>
      <c r="K59" t="b">
        <v>1</v>
      </c>
      <c r="P59">
        <v>1</v>
      </c>
    </row>
    <row r="60" spans="1:17" x14ac:dyDescent="0.25">
      <c r="A60" s="26" t="s">
        <v>656</v>
      </c>
      <c r="B60" t="s">
        <v>579</v>
      </c>
      <c r="C60" t="s">
        <v>33</v>
      </c>
      <c r="D60" t="s">
        <v>42</v>
      </c>
      <c r="E60">
        <v>2</v>
      </c>
      <c r="F60">
        <v>18</v>
      </c>
      <c r="G60">
        <v>8</v>
      </c>
      <c r="H60">
        <v>7</v>
      </c>
      <c r="J60">
        <v>6</v>
      </c>
      <c r="K60" t="b">
        <v>1</v>
      </c>
      <c r="P60">
        <v>1</v>
      </c>
    </row>
    <row r="61" spans="1:17" x14ac:dyDescent="0.25">
      <c r="A61" s="26" t="s">
        <v>656</v>
      </c>
      <c r="B61" t="s">
        <v>580</v>
      </c>
      <c r="C61" t="s">
        <v>33</v>
      </c>
      <c r="D61" t="s">
        <v>42</v>
      </c>
      <c r="E61">
        <v>11</v>
      </c>
      <c r="F61">
        <v>18</v>
      </c>
      <c r="G61">
        <v>6</v>
      </c>
      <c r="H61">
        <v>8</v>
      </c>
      <c r="K61" t="b">
        <v>1</v>
      </c>
      <c r="P61">
        <v>1</v>
      </c>
    </row>
    <row r="62" spans="1:17" x14ac:dyDescent="0.25">
      <c r="A62" s="26" t="s">
        <v>656</v>
      </c>
      <c r="B62" t="s">
        <v>581</v>
      </c>
      <c r="C62" t="s">
        <v>33</v>
      </c>
      <c r="D62" t="s">
        <v>42</v>
      </c>
      <c r="E62">
        <v>18</v>
      </c>
      <c r="F62">
        <v>18</v>
      </c>
      <c r="G62">
        <v>7</v>
      </c>
      <c r="H62">
        <v>8</v>
      </c>
      <c r="K62" t="b">
        <v>1</v>
      </c>
      <c r="P62">
        <v>1</v>
      </c>
    </row>
    <row r="63" spans="1:17" x14ac:dyDescent="0.25">
      <c r="A63" s="26" t="s">
        <v>656</v>
      </c>
      <c r="B63" t="s">
        <v>564</v>
      </c>
      <c r="C63" t="s">
        <v>33</v>
      </c>
      <c r="D63" t="s">
        <v>42</v>
      </c>
      <c r="E63">
        <v>0</v>
      </c>
      <c r="F63">
        <v>0</v>
      </c>
      <c r="G63">
        <v>8</v>
      </c>
      <c r="H63">
        <v>5</v>
      </c>
      <c r="J63">
        <v>4</v>
      </c>
      <c r="K63" t="b">
        <v>1</v>
      </c>
      <c r="P63">
        <v>1</v>
      </c>
    </row>
    <row r="64" spans="1:17" x14ac:dyDescent="0.25">
      <c r="A64" s="26" t="s">
        <v>656</v>
      </c>
      <c r="B64" t="s">
        <v>582</v>
      </c>
      <c r="C64" t="s">
        <v>33</v>
      </c>
      <c r="D64" t="s">
        <v>43</v>
      </c>
      <c r="E64">
        <v>2</v>
      </c>
      <c r="F64">
        <v>18</v>
      </c>
      <c r="G64">
        <v>7</v>
      </c>
      <c r="H64">
        <v>8</v>
      </c>
      <c r="K64" t="b">
        <v>1</v>
      </c>
      <c r="P64">
        <v>1</v>
      </c>
    </row>
    <row r="65" spans="1:17" x14ac:dyDescent="0.25">
      <c r="A65" s="26" t="s">
        <v>656</v>
      </c>
      <c r="B65" t="s">
        <v>583</v>
      </c>
      <c r="C65" t="s">
        <v>33</v>
      </c>
      <c r="D65" t="s">
        <v>43</v>
      </c>
      <c r="E65">
        <v>11</v>
      </c>
      <c r="F65">
        <v>18</v>
      </c>
      <c r="G65">
        <v>6</v>
      </c>
      <c r="H65">
        <v>8</v>
      </c>
      <c r="K65" t="b">
        <v>1</v>
      </c>
      <c r="P65">
        <v>1</v>
      </c>
    </row>
    <row r="66" spans="1:17" x14ac:dyDescent="0.25">
      <c r="A66" t="s">
        <v>656</v>
      </c>
      <c r="B66" t="s">
        <v>584</v>
      </c>
      <c r="C66" t="s">
        <v>33</v>
      </c>
      <c r="D66" t="s">
        <v>43</v>
      </c>
      <c r="E66">
        <v>18</v>
      </c>
      <c r="F66">
        <v>18</v>
      </c>
      <c r="G66">
        <v>7</v>
      </c>
      <c r="H66">
        <v>8</v>
      </c>
      <c r="K66" t="b">
        <v>1</v>
      </c>
      <c r="P66">
        <v>1</v>
      </c>
    </row>
    <row r="67" spans="1:17" x14ac:dyDescent="0.25">
      <c r="A67" t="s">
        <v>774</v>
      </c>
      <c r="B67" t="s">
        <v>24</v>
      </c>
      <c r="C67" t="s">
        <v>33</v>
      </c>
      <c r="D67" t="s">
        <v>42</v>
      </c>
      <c r="E67">
        <v>0</v>
      </c>
      <c r="F67">
        <v>0</v>
      </c>
      <c r="G67">
        <v>26</v>
      </c>
      <c r="H67">
        <v>19</v>
      </c>
      <c r="I67" t="s">
        <v>775</v>
      </c>
      <c r="J67">
        <v>30</v>
      </c>
      <c r="K67" t="b">
        <v>1</v>
      </c>
      <c r="L67" t="b">
        <v>1</v>
      </c>
      <c r="O67" s="26" t="s">
        <v>694</v>
      </c>
      <c r="P67">
        <v>1</v>
      </c>
      <c r="Q67" t="b">
        <v>1</v>
      </c>
    </row>
    <row r="68" spans="1:17" x14ac:dyDescent="0.25">
      <c r="A68" t="s">
        <v>774</v>
      </c>
      <c r="B68" t="s">
        <v>38</v>
      </c>
      <c r="C68" t="s">
        <v>33</v>
      </c>
      <c r="D68" t="s">
        <v>42</v>
      </c>
      <c r="E68">
        <v>3</v>
      </c>
      <c r="F68">
        <v>18</v>
      </c>
      <c r="G68">
        <v>6</v>
      </c>
      <c r="H68">
        <v>8</v>
      </c>
      <c r="K68" t="b">
        <v>1</v>
      </c>
      <c r="P68">
        <v>1</v>
      </c>
      <c r="Q68" t="b">
        <v>1</v>
      </c>
    </row>
    <row r="69" spans="1:17" x14ac:dyDescent="0.25">
      <c r="A69" t="s">
        <v>774</v>
      </c>
      <c r="B69" t="s">
        <v>553</v>
      </c>
      <c r="C69" t="s">
        <v>33</v>
      </c>
      <c r="D69" t="s">
        <v>42</v>
      </c>
      <c r="E69">
        <v>19</v>
      </c>
      <c r="F69">
        <v>18</v>
      </c>
      <c r="G69">
        <v>6</v>
      </c>
      <c r="H69">
        <v>8</v>
      </c>
      <c r="K69" t="b">
        <v>1</v>
      </c>
      <c r="P69">
        <v>1</v>
      </c>
      <c r="Q69" t="b">
        <v>1</v>
      </c>
    </row>
    <row r="70" spans="1:17" x14ac:dyDescent="0.25">
      <c r="A70" t="s">
        <v>782</v>
      </c>
      <c r="B70" t="s">
        <v>24</v>
      </c>
      <c r="C70" t="s">
        <v>33</v>
      </c>
      <c r="D70" t="s">
        <v>42</v>
      </c>
      <c r="E70">
        <v>0</v>
      </c>
      <c r="F70">
        <v>0</v>
      </c>
      <c r="G70">
        <v>26</v>
      </c>
      <c r="H70">
        <v>26</v>
      </c>
      <c r="I70" t="s">
        <v>775</v>
      </c>
      <c r="J70">
        <v>40</v>
      </c>
      <c r="K70" t="b">
        <v>1</v>
      </c>
      <c r="L70" t="b">
        <v>1</v>
      </c>
      <c r="O70" s="26" t="s">
        <v>694</v>
      </c>
      <c r="Q70" t="b">
        <v>1</v>
      </c>
    </row>
    <row r="71" spans="1:17" x14ac:dyDescent="0.25">
      <c r="A71" t="s">
        <v>783</v>
      </c>
      <c r="B71" t="s">
        <v>24</v>
      </c>
      <c r="C71" t="s">
        <v>33</v>
      </c>
      <c r="D71" t="s">
        <v>42</v>
      </c>
      <c r="E71">
        <v>0</v>
      </c>
      <c r="F71">
        <v>0</v>
      </c>
      <c r="G71">
        <v>26</v>
      </c>
      <c r="H71">
        <v>26</v>
      </c>
      <c r="I71" t="s">
        <v>775</v>
      </c>
      <c r="J71">
        <v>30</v>
      </c>
      <c r="K71" t="b">
        <v>1</v>
      </c>
      <c r="L71" t="b">
        <v>1</v>
      </c>
      <c r="O71" s="26" t="s">
        <v>694</v>
      </c>
      <c r="Q71" t="b">
        <v>1</v>
      </c>
    </row>
    <row r="72" spans="1:17" x14ac:dyDescent="0.25">
      <c r="A72" t="s">
        <v>784</v>
      </c>
      <c r="B72" t="s">
        <v>24</v>
      </c>
      <c r="C72" t="s">
        <v>33</v>
      </c>
      <c r="D72" t="s">
        <v>42</v>
      </c>
      <c r="E72">
        <v>0</v>
      </c>
      <c r="F72">
        <v>0</v>
      </c>
      <c r="G72">
        <v>26</v>
      </c>
      <c r="H72">
        <v>26</v>
      </c>
      <c r="I72" t="s">
        <v>775</v>
      </c>
      <c r="J72">
        <v>25</v>
      </c>
      <c r="K72" t="b">
        <v>1</v>
      </c>
      <c r="L72" t="b">
        <v>1</v>
      </c>
      <c r="O72" s="26" t="s">
        <v>694</v>
      </c>
      <c r="Q72" t="b">
        <v>1</v>
      </c>
    </row>
    <row r="73" spans="1:17" x14ac:dyDescent="0.25">
      <c r="A73" t="s">
        <v>785</v>
      </c>
      <c r="B73" t="s">
        <v>24</v>
      </c>
      <c r="C73" t="s">
        <v>33</v>
      </c>
      <c r="D73" t="s">
        <v>42</v>
      </c>
      <c r="E73">
        <v>0</v>
      </c>
      <c r="F73">
        <v>0</v>
      </c>
      <c r="G73">
        <v>26</v>
      </c>
      <c r="H73">
        <v>26</v>
      </c>
      <c r="I73" t="s">
        <v>775</v>
      </c>
      <c r="J73">
        <v>20</v>
      </c>
      <c r="K73" t="b">
        <v>1</v>
      </c>
      <c r="L73" t="b">
        <v>1</v>
      </c>
      <c r="O73" s="26" t="s">
        <v>694</v>
      </c>
      <c r="Q73" t="b">
        <v>1</v>
      </c>
    </row>
  </sheetData>
  <autoFilter ref="A1:U53"/>
  <conditionalFormatting sqref="A2:XFD2">
    <cfRule type="expression" dxfId="7" priority="8">
      <formula>($A2&lt;&gt;$A4)</formula>
    </cfRule>
  </conditionalFormatting>
  <conditionalFormatting sqref="A58:D58 I58:XFD58 A59:XFD65 U67:XFD68 A67:T69 A4:XFD55">
    <cfRule type="expression" dxfId="6" priority="7">
      <formula>($A4&lt;&gt;$A5)</formula>
    </cfRule>
  </conditionalFormatting>
  <conditionalFormatting sqref="A3:XFD3">
    <cfRule type="expression" dxfId="5" priority="6">
      <formula>($A3&lt;&gt;$A4)</formula>
    </cfRule>
  </conditionalFormatting>
  <conditionalFormatting sqref="A56:XFD56">
    <cfRule type="expression" dxfId="4" priority="9">
      <formula>($A56&lt;&gt;#REF!)</formula>
    </cfRule>
  </conditionalFormatting>
  <conditionalFormatting sqref="A57:XFD57">
    <cfRule type="expression" dxfId="3" priority="11">
      <formula>($A57&lt;&gt;#REF!)</formula>
    </cfRule>
  </conditionalFormatting>
  <conditionalFormatting sqref="E58:H58">
    <cfRule type="expression" dxfId="2" priority="4">
      <formula>($A58&lt;&gt;#REF!)</formula>
    </cfRule>
  </conditionalFormatting>
  <conditionalFormatting sqref="A66:T66">
    <cfRule type="expression" dxfId="1" priority="2">
      <formula>($A66&lt;&gt;$A67)</formula>
    </cfRule>
  </conditionalFormatting>
  <conditionalFormatting sqref="A70:Q73">
    <cfRule type="expression" dxfId="0" priority="1">
      <formula>($A70&lt;&gt;$A71)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1"/>
  <sheetViews>
    <sheetView workbookViewId="0">
      <selection activeCell="E29" sqref="E29"/>
    </sheetView>
  </sheetViews>
  <sheetFormatPr defaultColWidth="9.109375" defaultRowHeight="13.2" x14ac:dyDescent="0.25"/>
  <sheetData>
    <row r="1" spans="1:2" x14ac:dyDescent="0.25">
      <c r="A1" s="2" t="s">
        <v>0</v>
      </c>
      <c r="B1" s="2" t="s">
        <v>335</v>
      </c>
    </row>
    <row r="2" spans="1:2" x14ac:dyDescent="0.25">
      <c r="A2" t="s">
        <v>555</v>
      </c>
    </row>
    <row r="3" spans="1:2" x14ac:dyDescent="0.25">
      <c r="A3" t="s">
        <v>622</v>
      </c>
    </row>
    <row r="4" spans="1:2" x14ac:dyDescent="0.25">
      <c r="A4" s="1" t="s">
        <v>621</v>
      </c>
    </row>
    <row r="5" spans="1:2" x14ac:dyDescent="0.25">
      <c r="A5" s="26" t="s">
        <v>624</v>
      </c>
    </row>
    <row r="6" spans="1:2" x14ac:dyDescent="0.25">
      <c r="A6" t="s">
        <v>644</v>
      </c>
    </row>
    <row r="7" spans="1:2" x14ac:dyDescent="0.25">
      <c r="A7" t="s">
        <v>642</v>
      </c>
    </row>
    <row r="8" spans="1:2" x14ac:dyDescent="0.25">
      <c r="A8" s="1" t="s">
        <v>643</v>
      </c>
    </row>
    <row r="9" spans="1:2" x14ac:dyDescent="0.25">
      <c r="A9" t="s">
        <v>675</v>
      </c>
    </row>
    <row r="10" spans="1:2" x14ac:dyDescent="0.25">
      <c r="A10" t="s">
        <v>676</v>
      </c>
    </row>
    <row r="11" spans="1:2" x14ac:dyDescent="0.25">
      <c r="A11" t="s">
        <v>684</v>
      </c>
    </row>
    <row r="12" spans="1:2" x14ac:dyDescent="0.25">
      <c r="A12" t="s">
        <v>685</v>
      </c>
    </row>
    <row r="13" spans="1:2" x14ac:dyDescent="0.25">
      <c r="A13" t="s">
        <v>686</v>
      </c>
    </row>
    <row r="14" spans="1:2" x14ac:dyDescent="0.25">
      <c r="A14" t="s">
        <v>689</v>
      </c>
    </row>
    <row r="15" spans="1:2" x14ac:dyDescent="0.25">
      <c r="A15" t="s">
        <v>687</v>
      </c>
    </row>
    <row r="16" spans="1:2" x14ac:dyDescent="0.25">
      <c r="A16" t="s">
        <v>677</v>
      </c>
    </row>
    <row r="17" spans="1:1" x14ac:dyDescent="0.25">
      <c r="A17" t="s">
        <v>688</v>
      </c>
    </row>
    <row r="18" spans="1:1" x14ac:dyDescent="0.25">
      <c r="A18" t="s">
        <v>776</v>
      </c>
    </row>
    <row r="19" spans="1:1" x14ac:dyDescent="0.25">
      <c r="A19" t="s">
        <v>777</v>
      </c>
    </row>
    <row r="20" spans="1:1" x14ac:dyDescent="0.25">
      <c r="A20" t="s">
        <v>778</v>
      </c>
    </row>
    <row r="21" spans="1:1" x14ac:dyDescent="0.25">
      <c r="A21" t="s">
        <v>779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92"/>
  <sheetViews>
    <sheetView workbookViewId="0">
      <pane ySplit="1" topLeftCell="A2" activePane="bottomLeft" state="frozen"/>
      <selection activeCell="B31" activeCellId="1" sqref="A1 B31"/>
      <selection pane="bottomLeft" activeCell="C133" sqref="C133"/>
    </sheetView>
  </sheetViews>
  <sheetFormatPr defaultColWidth="9.109375" defaultRowHeight="13.2" x14ac:dyDescent="0.25"/>
  <cols>
    <col min="1" max="1" width="13.44140625" bestFit="1" customWidth="1"/>
    <col min="3" max="3" width="12.77734375" bestFit="1" customWidth="1"/>
  </cols>
  <sheetData>
    <row r="1" spans="1:7" x14ac:dyDescent="0.25">
      <c r="A1" s="2" t="s">
        <v>34</v>
      </c>
      <c r="B1" s="2" t="s">
        <v>332</v>
      </c>
      <c r="C1" s="3" t="s">
        <v>35</v>
      </c>
      <c r="D1" s="3" t="s">
        <v>36</v>
      </c>
      <c r="E1" s="3" t="s">
        <v>53</v>
      </c>
      <c r="F1" s="3" t="s">
        <v>67</v>
      </c>
      <c r="G1" s="3" t="s">
        <v>68</v>
      </c>
    </row>
    <row r="2" spans="1:7" x14ac:dyDescent="0.25">
      <c r="A2" t="s">
        <v>555</v>
      </c>
      <c r="B2" t="s">
        <v>191</v>
      </c>
      <c r="C2" s="4" t="s">
        <v>1</v>
      </c>
      <c r="D2" s="4" t="s">
        <v>1</v>
      </c>
    </row>
    <row r="3" spans="1:7" x14ac:dyDescent="0.25">
      <c r="A3" t="s">
        <v>555</v>
      </c>
      <c r="B3" t="s">
        <v>192</v>
      </c>
      <c r="C3" s="4" t="s">
        <v>1</v>
      </c>
      <c r="D3" s="4" t="s">
        <v>1</v>
      </c>
    </row>
    <row r="4" spans="1:7" x14ac:dyDescent="0.25">
      <c r="A4" t="s">
        <v>555</v>
      </c>
      <c r="B4" t="s">
        <v>550</v>
      </c>
    </row>
    <row r="5" spans="1:7" x14ac:dyDescent="0.25">
      <c r="A5" t="s">
        <v>555</v>
      </c>
      <c r="B5" t="s">
        <v>560</v>
      </c>
      <c r="C5" s="4" t="s">
        <v>545</v>
      </c>
      <c r="D5" s="4" t="s">
        <v>545</v>
      </c>
    </row>
    <row r="6" spans="1:7" x14ac:dyDescent="0.25">
      <c r="A6" t="s">
        <v>555</v>
      </c>
      <c r="B6" t="s">
        <v>24</v>
      </c>
      <c r="C6" s="4" t="s">
        <v>505</v>
      </c>
      <c r="D6" s="4" t="s">
        <v>585</v>
      </c>
    </row>
    <row r="7" spans="1:7" x14ac:dyDescent="0.25">
      <c r="A7" t="s">
        <v>555</v>
      </c>
      <c r="B7" t="s">
        <v>551</v>
      </c>
    </row>
    <row r="8" spans="1:7" x14ac:dyDescent="0.25">
      <c r="A8" t="s">
        <v>555</v>
      </c>
      <c r="B8" t="s">
        <v>38</v>
      </c>
      <c r="C8" s="4" t="s">
        <v>334</v>
      </c>
      <c r="D8" s="4" t="s">
        <v>545</v>
      </c>
    </row>
    <row r="9" spans="1:7" x14ac:dyDescent="0.25">
      <c r="A9" t="s">
        <v>555</v>
      </c>
      <c r="B9" t="s">
        <v>552</v>
      </c>
      <c r="C9" s="4" t="s">
        <v>329</v>
      </c>
      <c r="D9" s="4" t="s">
        <v>545</v>
      </c>
    </row>
    <row r="10" spans="1:7" x14ac:dyDescent="0.25">
      <c r="A10" t="s">
        <v>555</v>
      </c>
      <c r="B10" t="s">
        <v>553</v>
      </c>
      <c r="C10" s="4" t="s">
        <v>334</v>
      </c>
      <c r="D10" s="4" t="s">
        <v>545</v>
      </c>
    </row>
    <row r="11" spans="1:7" x14ac:dyDescent="0.25">
      <c r="A11" s="1" t="s">
        <v>621</v>
      </c>
      <c r="B11" t="s">
        <v>191</v>
      </c>
      <c r="C11" s="25" t="s">
        <v>763</v>
      </c>
      <c r="D11" s="25" t="s">
        <v>763</v>
      </c>
    </row>
    <row r="12" spans="1:7" x14ac:dyDescent="0.25">
      <c r="A12" s="1" t="s">
        <v>621</v>
      </c>
      <c r="B12" t="s">
        <v>192</v>
      </c>
      <c r="C12" s="25" t="s">
        <v>763</v>
      </c>
      <c r="D12" s="25" t="s">
        <v>763</v>
      </c>
    </row>
    <row r="13" spans="1:7" x14ac:dyDescent="0.25">
      <c r="A13" s="1" t="s">
        <v>621</v>
      </c>
      <c r="B13" t="s">
        <v>550</v>
      </c>
      <c r="C13" s="4" t="s">
        <v>758</v>
      </c>
      <c r="D13" s="25" t="s">
        <v>763</v>
      </c>
    </row>
    <row r="14" spans="1:7" x14ac:dyDescent="0.25">
      <c r="A14" s="1" t="s">
        <v>621</v>
      </c>
      <c r="B14" t="s">
        <v>24</v>
      </c>
      <c r="C14" s="4" t="s">
        <v>334</v>
      </c>
      <c r="D14" s="4" t="s">
        <v>587</v>
      </c>
    </row>
    <row r="15" spans="1:7" x14ac:dyDescent="0.25">
      <c r="A15" s="1" t="s">
        <v>621</v>
      </c>
      <c r="B15" t="s">
        <v>38</v>
      </c>
      <c r="C15" s="4" t="s">
        <v>334</v>
      </c>
      <c r="D15" s="4" t="s">
        <v>545</v>
      </c>
    </row>
    <row r="16" spans="1:7" x14ac:dyDescent="0.25">
      <c r="A16" s="1" t="s">
        <v>621</v>
      </c>
      <c r="B16" t="s">
        <v>553</v>
      </c>
      <c r="C16" s="4" t="s">
        <v>334</v>
      </c>
      <c r="D16" s="4" t="s">
        <v>545</v>
      </c>
    </row>
    <row r="17" spans="1:4" x14ac:dyDescent="0.25">
      <c r="A17" t="s">
        <v>622</v>
      </c>
      <c r="B17" t="s">
        <v>191</v>
      </c>
      <c r="C17" s="4" t="s">
        <v>1</v>
      </c>
      <c r="D17" s="4" t="s">
        <v>1</v>
      </c>
    </row>
    <row r="18" spans="1:4" x14ac:dyDescent="0.25">
      <c r="A18" t="s">
        <v>622</v>
      </c>
      <c r="B18" t="s">
        <v>192</v>
      </c>
      <c r="C18" s="4" t="s">
        <v>1</v>
      </c>
      <c r="D18" s="4" t="s">
        <v>1</v>
      </c>
    </row>
    <row r="19" spans="1:4" x14ac:dyDescent="0.25">
      <c r="A19" t="s">
        <v>622</v>
      </c>
      <c r="B19" t="s">
        <v>24</v>
      </c>
      <c r="C19" s="4" t="s">
        <v>505</v>
      </c>
      <c r="D19" s="4" t="s">
        <v>620</v>
      </c>
    </row>
    <row r="20" spans="1:4" x14ac:dyDescent="0.25">
      <c r="A20" t="s">
        <v>622</v>
      </c>
      <c r="B20" t="s">
        <v>560</v>
      </c>
      <c r="C20" s="4" t="s">
        <v>588</v>
      </c>
      <c r="D20" s="4" t="s">
        <v>588</v>
      </c>
    </row>
    <row r="21" spans="1:4" x14ac:dyDescent="0.25">
      <c r="A21" t="s">
        <v>622</v>
      </c>
      <c r="B21" t="s">
        <v>561</v>
      </c>
      <c r="C21" s="4" t="s">
        <v>334</v>
      </c>
    </row>
    <row r="22" spans="1:4" x14ac:dyDescent="0.25">
      <c r="A22" t="s">
        <v>622</v>
      </c>
      <c r="B22" t="s">
        <v>503</v>
      </c>
    </row>
    <row r="23" spans="1:4" x14ac:dyDescent="0.25">
      <c r="A23" t="s">
        <v>622</v>
      </c>
      <c r="B23" t="s">
        <v>562</v>
      </c>
    </row>
    <row r="24" spans="1:4" x14ac:dyDescent="0.25">
      <c r="A24" t="s">
        <v>622</v>
      </c>
      <c r="B24" t="s">
        <v>563</v>
      </c>
      <c r="C24" s="25" t="s">
        <v>851</v>
      </c>
    </row>
    <row r="25" spans="1:4" x14ac:dyDescent="0.25">
      <c r="A25" t="s">
        <v>622</v>
      </c>
      <c r="B25" t="s">
        <v>579</v>
      </c>
      <c r="C25" s="4" t="s">
        <v>334</v>
      </c>
    </row>
    <row r="26" spans="1:4" x14ac:dyDescent="0.25">
      <c r="A26" t="s">
        <v>622</v>
      </c>
      <c r="B26" t="s">
        <v>580</v>
      </c>
      <c r="C26" s="4" t="s">
        <v>585</v>
      </c>
    </row>
    <row r="27" spans="1:4" x14ac:dyDescent="0.25">
      <c r="A27" t="s">
        <v>622</v>
      </c>
      <c r="B27" t="s">
        <v>581</v>
      </c>
      <c r="C27" s="4" t="s">
        <v>334</v>
      </c>
    </row>
    <row r="28" spans="1:4" x14ac:dyDescent="0.25">
      <c r="A28" t="s">
        <v>622</v>
      </c>
      <c r="B28" t="s">
        <v>564</v>
      </c>
      <c r="C28" s="4" t="s">
        <v>334</v>
      </c>
    </row>
    <row r="29" spans="1:4" x14ac:dyDescent="0.25">
      <c r="A29" t="s">
        <v>622</v>
      </c>
      <c r="B29" t="s">
        <v>582</v>
      </c>
      <c r="C29" s="4" t="s">
        <v>334</v>
      </c>
    </row>
    <row r="30" spans="1:4" x14ac:dyDescent="0.25">
      <c r="A30" t="s">
        <v>622</v>
      </c>
      <c r="B30" t="s">
        <v>583</v>
      </c>
      <c r="C30" s="4" t="s">
        <v>585</v>
      </c>
    </row>
    <row r="31" spans="1:4" x14ac:dyDescent="0.25">
      <c r="A31" t="s">
        <v>622</v>
      </c>
      <c r="B31" t="s">
        <v>584</v>
      </c>
      <c r="C31" s="4" t="s">
        <v>334</v>
      </c>
    </row>
    <row r="32" spans="1:4" x14ac:dyDescent="0.25">
      <c r="A32" s="26" t="s">
        <v>624</v>
      </c>
      <c r="B32" s="26" t="s">
        <v>191</v>
      </c>
      <c r="C32" s="28" t="s">
        <v>626</v>
      </c>
      <c r="D32" s="26" t="s">
        <v>627</v>
      </c>
    </row>
    <row r="33" spans="1:4" x14ac:dyDescent="0.25">
      <c r="A33" s="26" t="s">
        <v>624</v>
      </c>
      <c r="B33" s="26" t="s">
        <v>192</v>
      </c>
      <c r="C33" s="28" t="s">
        <v>334</v>
      </c>
      <c r="D33" s="26" t="s">
        <v>628</v>
      </c>
    </row>
    <row r="34" spans="1:4" x14ac:dyDescent="0.25">
      <c r="A34" s="26" t="s">
        <v>624</v>
      </c>
      <c r="B34" s="26" t="s">
        <v>39</v>
      </c>
      <c r="C34" s="28" t="s">
        <v>629</v>
      </c>
      <c r="D34" s="26" t="s">
        <v>630</v>
      </c>
    </row>
    <row r="35" spans="1:4" x14ac:dyDescent="0.25">
      <c r="A35" s="26" t="s">
        <v>624</v>
      </c>
      <c r="B35" s="26" t="s">
        <v>625</v>
      </c>
      <c r="C35" s="28" t="s">
        <v>631</v>
      </c>
      <c r="D35" s="26" t="s">
        <v>632</v>
      </c>
    </row>
    <row r="36" spans="1:4" x14ac:dyDescent="0.25">
      <c r="A36" t="s">
        <v>644</v>
      </c>
      <c r="B36" t="s">
        <v>191</v>
      </c>
      <c r="C36" s="25" t="s">
        <v>648</v>
      </c>
      <c r="D36" s="25" t="s">
        <v>648</v>
      </c>
    </row>
    <row r="37" spans="1:4" x14ac:dyDescent="0.25">
      <c r="A37" t="s">
        <v>644</v>
      </c>
      <c r="B37" t="s">
        <v>192</v>
      </c>
      <c r="C37" s="25" t="s">
        <v>648</v>
      </c>
      <c r="D37" s="25" t="s">
        <v>648</v>
      </c>
    </row>
    <row r="38" spans="1:4" x14ac:dyDescent="0.25">
      <c r="A38" t="s">
        <v>644</v>
      </c>
      <c r="B38" t="s">
        <v>550</v>
      </c>
    </row>
    <row r="39" spans="1:4" x14ac:dyDescent="0.25">
      <c r="A39" t="s">
        <v>644</v>
      </c>
      <c r="B39" t="s">
        <v>560</v>
      </c>
      <c r="C39" s="4" t="s">
        <v>588</v>
      </c>
      <c r="D39" s="4" t="s">
        <v>588</v>
      </c>
    </row>
    <row r="40" spans="1:4" x14ac:dyDescent="0.25">
      <c r="A40" t="s">
        <v>644</v>
      </c>
      <c r="B40" t="s">
        <v>24</v>
      </c>
      <c r="C40" s="4" t="s">
        <v>505</v>
      </c>
      <c r="D40" s="4" t="s">
        <v>585</v>
      </c>
    </row>
    <row r="41" spans="1:4" x14ac:dyDescent="0.25">
      <c r="A41" t="s">
        <v>644</v>
      </c>
      <c r="B41" t="s">
        <v>551</v>
      </c>
    </row>
    <row r="42" spans="1:4" x14ac:dyDescent="0.25">
      <c r="A42" t="s">
        <v>644</v>
      </c>
      <c r="B42" t="s">
        <v>38</v>
      </c>
      <c r="C42" s="4" t="s">
        <v>334</v>
      </c>
      <c r="D42" s="4" t="s">
        <v>545</v>
      </c>
    </row>
    <row r="43" spans="1:4" x14ac:dyDescent="0.25">
      <c r="A43" t="s">
        <v>644</v>
      </c>
      <c r="B43" t="s">
        <v>552</v>
      </c>
      <c r="C43" s="4" t="s">
        <v>329</v>
      </c>
      <c r="D43" s="4" t="s">
        <v>545</v>
      </c>
    </row>
    <row r="44" spans="1:4" x14ac:dyDescent="0.25">
      <c r="A44" t="s">
        <v>644</v>
      </c>
      <c r="B44" t="s">
        <v>553</v>
      </c>
      <c r="C44" s="4" t="s">
        <v>334</v>
      </c>
      <c r="D44" s="4" t="s">
        <v>545</v>
      </c>
    </row>
    <row r="45" spans="1:4" x14ac:dyDescent="0.25">
      <c r="A45" s="1" t="s">
        <v>643</v>
      </c>
      <c r="B45" t="s">
        <v>191</v>
      </c>
      <c r="C45" s="25" t="s">
        <v>648</v>
      </c>
      <c r="D45" s="25" t="s">
        <v>648</v>
      </c>
    </row>
    <row r="46" spans="1:4" x14ac:dyDescent="0.25">
      <c r="A46" s="1" t="s">
        <v>643</v>
      </c>
      <c r="B46" t="s">
        <v>192</v>
      </c>
      <c r="C46" s="25" t="s">
        <v>648</v>
      </c>
      <c r="D46" s="25" t="s">
        <v>648</v>
      </c>
    </row>
    <row r="47" spans="1:4" x14ac:dyDescent="0.25">
      <c r="A47" s="1" t="s">
        <v>643</v>
      </c>
      <c r="B47" t="s">
        <v>550</v>
      </c>
    </row>
    <row r="48" spans="1:4" x14ac:dyDescent="0.25">
      <c r="A48" s="1" t="s">
        <v>643</v>
      </c>
      <c r="B48" t="s">
        <v>24</v>
      </c>
      <c r="C48" s="4" t="s">
        <v>334</v>
      </c>
      <c r="D48" s="4" t="s">
        <v>587</v>
      </c>
    </row>
    <row r="49" spans="1:4" x14ac:dyDescent="0.25">
      <c r="A49" s="1" t="s">
        <v>643</v>
      </c>
      <c r="B49" t="s">
        <v>38</v>
      </c>
      <c r="C49" s="4" t="s">
        <v>334</v>
      </c>
      <c r="D49" s="4" t="s">
        <v>545</v>
      </c>
    </row>
    <row r="50" spans="1:4" x14ac:dyDescent="0.25">
      <c r="A50" s="1" t="s">
        <v>643</v>
      </c>
      <c r="B50" t="s">
        <v>553</v>
      </c>
      <c r="C50" s="4" t="s">
        <v>334</v>
      </c>
      <c r="D50" s="4" t="s">
        <v>545</v>
      </c>
    </row>
    <row r="51" spans="1:4" x14ac:dyDescent="0.25">
      <c r="A51" t="s">
        <v>642</v>
      </c>
      <c r="B51" t="s">
        <v>191</v>
      </c>
      <c r="C51" s="25" t="s">
        <v>648</v>
      </c>
      <c r="D51" s="25" t="s">
        <v>648</v>
      </c>
    </row>
    <row r="52" spans="1:4" x14ac:dyDescent="0.25">
      <c r="A52" t="s">
        <v>642</v>
      </c>
      <c r="B52" t="s">
        <v>192</v>
      </c>
      <c r="C52" s="25" t="s">
        <v>648</v>
      </c>
      <c r="D52" s="25" t="s">
        <v>648</v>
      </c>
    </row>
    <row r="53" spans="1:4" x14ac:dyDescent="0.25">
      <c r="A53" t="s">
        <v>642</v>
      </c>
      <c r="B53" t="s">
        <v>24</v>
      </c>
      <c r="C53" s="4" t="s">
        <v>505</v>
      </c>
      <c r="D53" s="4" t="s">
        <v>620</v>
      </c>
    </row>
    <row r="54" spans="1:4" x14ac:dyDescent="0.25">
      <c r="A54" t="s">
        <v>642</v>
      </c>
      <c r="B54" t="s">
        <v>560</v>
      </c>
      <c r="C54" s="4" t="s">
        <v>588</v>
      </c>
      <c r="D54" s="4" t="s">
        <v>588</v>
      </c>
    </row>
    <row r="55" spans="1:4" x14ac:dyDescent="0.25">
      <c r="A55" t="s">
        <v>642</v>
      </c>
      <c r="B55" t="s">
        <v>561</v>
      </c>
      <c r="C55" s="4" t="s">
        <v>334</v>
      </c>
    </row>
    <row r="56" spans="1:4" x14ac:dyDescent="0.25">
      <c r="A56" t="s">
        <v>642</v>
      </c>
      <c r="B56" t="s">
        <v>503</v>
      </c>
    </row>
    <row r="57" spans="1:4" x14ac:dyDescent="0.25">
      <c r="A57" t="s">
        <v>642</v>
      </c>
      <c r="B57" t="s">
        <v>562</v>
      </c>
    </row>
    <row r="58" spans="1:4" x14ac:dyDescent="0.25">
      <c r="A58" t="s">
        <v>642</v>
      </c>
      <c r="B58" t="s">
        <v>563</v>
      </c>
      <c r="C58" s="25" t="s">
        <v>851</v>
      </c>
    </row>
    <row r="59" spans="1:4" x14ac:dyDescent="0.25">
      <c r="A59" t="s">
        <v>642</v>
      </c>
      <c r="B59" t="s">
        <v>579</v>
      </c>
      <c r="C59" s="4" t="s">
        <v>334</v>
      </c>
    </row>
    <row r="60" spans="1:4" x14ac:dyDescent="0.25">
      <c r="A60" t="s">
        <v>642</v>
      </c>
      <c r="B60" t="s">
        <v>580</v>
      </c>
      <c r="C60" s="4" t="s">
        <v>585</v>
      </c>
    </row>
    <row r="61" spans="1:4" x14ac:dyDescent="0.25">
      <c r="A61" t="s">
        <v>642</v>
      </c>
      <c r="B61" t="s">
        <v>581</v>
      </c>
      <c r="C61" s="4" t="s">
        <v>334</v>
      </c>
    </row>
    <row r="62" spans="1:4" x14ac:dyDescent="0.25">
      <c r="A62" t="s">
        <v>642</v>
      </c>
      <c r="B62" t="s">
        <v>564</v>
      </c>
      <c r="C62" s="4" t="s">
        <v>334</v>
      </c>
    </row>
    <row r="63" spans="1:4" x14ac:dyDescent="0.25">
      <c r="A63" t="s">
        <v>642</v>
      </c>
      <c r="B63" t="s">
        <v>582</v>
      </c>
      <c r="C63" s="4" t="s">
        <v>334</v>
      </c>
    </row>
    <row r="64" spans="1:4" x14ac:dyDescent="0.25">
      <c r="A64" t="s">
        <v>642</v>
      </c>
      <c r="B64" t="s">
        <v>583</v>
      </c>
      <c r="C64" s="4" t="s">
        <v>585</v>
      </c>
    </row>
    <row r="65" spans="1:4" x14ac:dyDescent="0.25">
      <c r="A65" t="s">
        <v>642</v>
      </c>
      <c r="B65" t="s">
        <v>584</v>
      </c>
      <c r="C65" s="4" t="s">
        <v>334</v>
      </c>
    </row>
    <row r="66" spans="1:4" x14ac:dyDescent="0.25">
      <c r="A66" s="26" t="s">
        <v>675</v>
      </c>
      <c r="B66" t="s">
        <v>191</v>
      </c>
      <c r="C66" s="25" t="s">
        <v>683</v>
      </c>
      <c r="D66" s="25" t="s">
        <v>683</v>
      </c>
    </row>
    <row r="67" spans="1:4" x14ac:dyDescent="0.25">
      <c r="A67" s="26" t="s">
        <v>675</v>
      </c>
      <c r="B67" t="s">
        <v>192</v>
      </c>
      <c r="C67" s="25" t="s">
        <v>683</v>
      </c>
      <c r="D67" s="25" t="s">
        <v>683</v>
      </c>
    </row>
    <row r="68" spans="1:4" x14ac:dyDescent="0.25">
      <c r="A68" s="26" t="s">
        <v>675</v>
      </c>
      <c r="B68" t="s">
        <v>550</v>
      </c>
    </row>
    <row r="69" spans="1:4" x14ac:dyDescent="0.25">
      <c r="A69" s="26" t="s">
        <v>675</v>
      </c>
      <c r="B69" t="s">
        <v>560</v>
      </c>
      <c r="C69" s="4" t="s">
        <v>588</v>
      </c>
      <c r="D69" s="4" t="s">
        <v>588</v>
      </c>
    </row>
    <row r="70" spans="1:4" x14ac:dyDescent="0.25">
      <c r="A70" s="26" t="s">
        <v>675</v>
      </c>
      <c r="B70" t="s">
        <v>24</v>
      </c>
      <c r="C70" s="4" t="s">
        <v>505</v>
      </c>
      <c r="D70" s="4" t="s">
        <v>585</v>
      </c>
    </row>
    <row r="71" spans="1:4" x14ac:dyDescent="0.25">
      <c r="A71" s="26" t="s">
        <v>675</v>
      </c>
      <c r="B71" t="s">
        <v>551</v>
      </c>
    </row>
    <row r="72" spans="1:4" x14ac:dyDescent="0.25">
      <c r="A72" s="26" t="s">
        <v>675</v>
      </c>
      <c r="B72" t="s">
        <v>38</v>
      </c>
      <c r="C72" s="4" t="s">
        <v>334</v>
      </c>
      <c r="D72" s="4" t="s">
        <v>545</v>
      </c>
    </row>
    <row r="73" spans="1:4" x14ac:dyDescent="0.25">
      <c r="A73" s="26" t="s">
        <v>675</v>
      </c>
      <c r="B73" t="s">
        <v>552</v>
      </c>
      <c r="C73" s="4" t="s">
        <v>329</v>
      </c>
      <c r="D73" s="4" t="s">
        <v>545</v>
      </c>
    </row>
    <row r="74" spans="1:4" x14ac:dyDescent="0.25">
      <c r="A74" s="26" t="s">
        <v>675</v>
      </c>
      <c r="B74" t="s">
        <v>553</v>
      </c>
      <c r="C74" s="4" t="s">
        <v>334</v>
      </c>
      <c r="D74" s="4" t="s">
        <v>545</v>
      </c>
    </row>
    <row r="75" spans="1:4" x14ac:dyDescent="0.25">
      <c r="A75" s="31" t="s">
        <v>676</v>
      </c>
      <c r="B75" t="s">
        <v>191</v>
      </c>
      <c r="C75" s="25" t="s">
        <v>718</v>
      </c>
      <c r="D75" s="25" t="s">
        <v>721</v>
      </c>
    </row>
    <row r="76" spans="1:4" x14ac:dyDescent="0.25">
      <c r="A76" s="31" t="s">
        <v>676</v>
      </c>
      <c r="B76" t="s">
        <v>192</v>
      </c>
      <c r="C76" s="25" t="s">
        <v>718</v>
      </c>
      <c r="D76" s="25" t="s">
        <v>721</v>
      </c>
    </row>
    <row r="77" spans="1:4" x14ac:dyDescent="0.25">
      <c r="A77" s="31" t="s">
        <v>676</v>
      </c>
      <c r="B77" t="s">
        <v>550</v>
      </c>
      <c r="C77" s="25" t="s">
        <v>709</v>
      </c>
      <c r="D77" s="25" t="s">
        <v>721</v>
      </c>
    </row>
    <row r="78" spans="1:4" x14ac:dyDescent="0.25">
      <c r="A78" s="31" t="s">
        <v>676</v>
      </c>
      <c r="B78" t="s">
        <v>24</v>
      </c>
      <c r="C78" s="4" t="s">
        <v>334</v>
      </c>
      <c r="D78" s="4" t="s">
        <v>587</v>
      </c>
    </row>
    <row r="79" spans="1:4" x14ac:dyDescent="0.25">
      <c r="A79" s="31" t="s">
        <v>676</v>
      </c>
      <c r="B79" t="s">
        <v>38</v>
      </c>
      <c r="C79" s="4" t="s">
        <v>334</v>
      </c>
      <c r="D79" s="4" t="s">
        <v>545</v>
      </c>
    </row>
    <row r="80" spans="1:4" x14ac:dyDescent="0.25">
      <c r="A80" s="31" t="s">
        <v>676</v>
      </c>
      <c r="B80" t="s">
        <v>553</v>
      </c>
      <c r="C80" s="4" t="s">
        <v>334</v>
      </c>
      <c r="D80" s="4" t="s">
        <v>545</v>
      </c>
    </row>
    <row r="81" spans="1:9" x14ac:dyDescent="0.25">
      <c r="A81" s="26" t="s">
        <v>684</v>
      </c>
      <c r="B81" t="s">
        <v>191</v>
      </c>
      <c r="C81" s="25" t="s">
        <v>683</v>
      </c>
      <c r="D81" s="25" t="s">
        <v>683</v>
      </c>
    </row>
    <row r="82" spans="1:9" x14ac:dyDescent="0.25">
      <c r="A82" s="26" t="s">
        <v>684</v>
      </c>
      <c r="B82" t="s">
        <v>192</v>
      </c>
      <c r="C82" s="25" t="s">
        <v>683</v>
      </c>
      <c r="D82" s="25" t="s">
        <v>683</v>
      </c>
    </row>
    <row r="83" spans="1:9" x14ac:dyDescent="0.25">
      <c r="A83" s="26" t="s">
        <v>684</v>
      </c>
      <c r="B83" t="s">
        <v>24</v>
      </c>
      <c r="C83" s="4" t="s">
        <v>505</v>
      </c>
      <c r="D83" s="4" t="s">
        <v>620</v>
      </c>
    </row>
    <row r="84" spans="1:9" x14ac:dyDescent="0.25">
      <c r="A84" s="26" t="s">
        <v>684</v>
      </c>
      <c r="B84" t="s">
        <v>560</v>
      </c>
      <c r="C84" s="4" t="s">
        <v>588</v>
      </c>
      <c r="D84" s="4" t="s">
        <v>588</v>
      </c>
    </row>
    <row r="85" spans="1:9" x14ac:dyDescent="0.25">
      <c r="A85" s="26" t="s">
        <v>684</v>
      </c>
      <c r="B85" t="s">
        <v>561</v>
      </c>
      <c r="C85" s="4" t="s">
        <v>334</v>
      </c>
    </row>
    <row r="86" spans="1:9" x14ac:dyDescent="0.25">
      <c r="A86" s="26" t="s">
        <v>684</v>
      </c>
      <c r="B86" t="s">
        <v>503</v>
      </c>
    </row>
    <row r="87" spans="1:9" x14ac:dyDescent="0.25">
      <c r="A87" s="26" t="s">
        <v>684</v>
      </c>
      <c r="B87" t="s">
        <v>562</v>
      </c>
    </row>
    <row r="88" spans="1:9" x14ac:dyDescent="0.25">
      <c r="A88" s="26" t="s">
        <v>684</v>
      </c>
      <c r="B88" t="s">
        <v>563</v>
      </c>
      <c r="C88" s="25" t="s">
        <v>851</v>
      </c>
    </row>
    <row r="89" spans="1:9" x14ac:dyDescent="0.25">
      <c r="A89" s="26" t="s">
        <v>684</v>
      </c>
      <c r="B89" t="s">
        <v>579</v>
      </c>
      <c r="C89" s="4" t="s">
        <v>334</v>
      </c>
    </row>
    <row r="90" spans="1:9" x14ac:dyDescent="0.25">
      <c r="A90" s="26" t="s">
        <v>684</v>
      </c>
      <c r="B90" t="s">
        <v>580</v>
      </c>
      <c r="C90" s="4" t="s">
        <v>585</v>
      </c>
    </row>
    <row r="91" spans="1:9" x14ac:dyDescent="0.25">
      <c r="A91" s="26" t="s">
        <v>684</v>
      </c>
      <c r="B91" t="s">
        <v>581</v>
      </c>
      <c r="C91" s="4" t="s">
        <v>334</v>
      </c>
    </row>
    <row r="92" spans="1:9" x14ac:dyDescent="0.25">
      <c r="A92" s="26" t="s">
        <v>684</v>
      </c>
      <c r="B92" t="s">
        <v>564</v>
      </c>
      <c r="C92" s="4" t="s">
        <v>334</v>
      </c>
    </row>
    <row r="93" spans="1:9" x14ac:dyDescent="0.25">
      <c r="A93" s="26" t="s">
        <v>684</v>
      </c>
      <c r="B93" t="s">
        <v>582</v>
      </c>
      <c r="C93" s="4" t="s">
        <v>334</v>
      </c>
    </row>
    <row r="94" spans="1:9" x14ac:dyDescent="0.25">
      <c r="A94" s="26" t="s">
        <v>684</v>
      </c>
      <c r="B94" t="s">
        <v>583</v>
      </c>
      <c r="C94" s="4" t="s">
        <v>585</v>
      </c>
    </row>
    <row r="95" spans="1:9" x14ac:dyDescent="0.25">
      <c r="A95" s="26" t="s">
        <v>684</v>
      </c>
      <c r="B95" t="s">
        <v>584</v>
      </c>
      <c r="C95" s="4" t="s">
        <v>334</v>
      </c>
    </row>
    <row r="96" spans="1:9" x14ac:dyDescent="0.25">
      <c r="A96" s="26" t="s">
        <v>685</v>
      </c>
      <c r="B96" t="s">
        <v>191</v>
      </c>
      <c r="C96" s="25" t="s">
        <v>752</v>
      </c>
      <c r="D96" s="25" t="s">
        <v>752</v>
      </c>
      <c r="H96" s="25" t="s">
        <v>690</v>
      </c>
      <c r="I96" s="25" t="s">
        <v>690</v>
      </c>
    </row>
    <row r="97" spans="1:9" x14ac:dyDescent="0.25">
      <c r="A97" s="26" t="s">
        <v>685</v>
      </c>
      <c r="B97" t="s">
        <v>192</v>
      </c>
      <c r="C97" s="25" t="s">
        <v>752</v>
      </c>
      <c r="D97" s="25" t="s">
        <v>752</v>
      </c>
      <c r="H97" s="25" t="s">
        <v>690</v>
      </c>
      <c r="I97" s="25" t="s">
        <v>690</v>
      </c>
    </row>
    <row r="98" spans="1:9" x14ac:dyDescent="0.25">
      <c r="A98" s="26" t="s">
        <v>685</v>
      </c>
      <c r="B98" t="s">
        <v>24</v>
      </c>
      <c r="C98" s="4" t="s">
        <v>505</v>
      </c>
      <c r="D98" s="4" t="s">
        <v>620</v>
      </c>
    </row>
    <row r="99" spans="1:9" x14ac:dyDescent="0.25">
      <c r="A99" s="26" t="s">
        <v>685</v>
      </c>
      <c r="B99" t="s">
        <v>560</v>
      </c>
      <c r="C99" s="4" t="s">
        <v>588</v>
      </c>
      <c r="D99" s="4" t="s">
        <v>588</v>
      </c>
    </row>
    <row r="100" spans="1:9" x14ac:dyDescent="0.25">
      <c r="A100" s="26" t="s">
        <v>685</v>
      </c>
      <c r="B100" t="s">
        <v>561</v>
      </c>
      <c r="C100" s="4" t="s">
        <v>334</v>
      </c>
    </row>
    <row r="101" spans="1:9" x14ac:dyDescent="0.25">
      <c r="A101" s="26" t="s">
        <v>685</v>
      </c>
      <c r="B101" t="s">
        <v>503</v>
      </c>
    </row>
    <row r="102" spans="1:9" x14ac:dyDescent="0.25">
      <c r="A102" s="26" t="s">
        <v>685</v>
      </c>
      <c r="B102" t="s">
        <v>562</v>
      </c>
    </row>
    <row r="103" spans="1:9" x14ac:dyDescent="0.25">
      <c r="A103" s="26" t="s">
        <v>685</v>
      </c>
      <c r="B103" t="s">
        <v>563</v>
      </c>
      <c r="C103" s="25" t="s">
        <v>851</v>
      </c>
    </row>
    <row r="104" spans="1:9" x14ac:dyDescent="0.25">
      <c r="A104" s="26" t="s">
        <v>685</v>
      </c>
      <c r="B104" t="s">
        <v>579</v>
      </c>
      <c r="C104" s="4" t="s">
        <v>334</v>
      </c>
    </row>
    <row r="105" spans="1:9" x14ac:dyDescent="0.25">
      <c r="A105" s="26" t="s">
        <v>685</v>
      </c>
      <c r="B105" t="s">
        <v>580</v>
      </c>
      <c r="C105" s="4" t="s">
        <v>585</v>
      </c>
    </row>
    <row r="106" spans="1:9" x14ac:dyDescent="0.25">
      <c r="A106" s="26" t="s">
        <v>685</v>
      </c>
      <c r="B106" t="s">
        <v>581</v>
      </c>
      <c r="C106" s="4" t="s">
        <v>334</v>
      </c>
    </row>
    <row r="107" spans="1:9" x14ac:dyDescent="0.25">
      <c r="A107" s="26" t="s">
        <v>685</v>
      </c>
      <c r="B107" t="s">
        <v>564</v>
      </c>
      <c r="C107" s="4" t="s">
        <v>334</v>
      </c>
    </row>
    <row r="108" spans="1:9" x14ac:dyDescent="0.25">
      <c r="A108" s="26" t="s">
        <v>685</v>
      </c>
      <c r="B108" t="s">
        <v>582</v>
      </c>
      <c r="C108" s="4" t="s">
        <v>334</v>
      </c>
    </row>
    <row r="109" spans="1:9" x14ac:dyDescent="0.25">
      <c r="A109" s="26" t="s">
        <v>685</v>
      </c>
      <c r="B109" t="s">
        <v>583</v>
      </c>
      <c r="C109" s="4" t="s">
        <v>585</v>
      </c>
    </row>
    <row r="110" spans="1:9" x14ac:dyDescent="0.25">
      <c r="A110" s="26" t="s">
        <v>685</v>
      </c>
      <c r="B110" t="s">
        <v>584</v>
      </c>
      <c r="C110" s="4" t="s">
        <v>334</v>
      </c>
    </row>
    <row r="111" spans="1:9" x14ac:dyDescent="0.25">
      <c r="A111" s="26" t="s">
        <v>686</v>
      </c>
      <c r="B111" t="s">
        <v>191</v>
      </c>
      <c r="C111" s="25" t="s">
        <v>620</v>
      </c>
      <c r="D111" s="25" t="s">
        <v>620</v>
      </c>
    </row>
    <row r="112" spans="1:9" x14ac:dyDescent="0.25">
      <c r="A112" s="26" t="s">
        <v>686</v>
      </c>
      <c r="B112" t="s">
        <v>192</v>
      </c>
      <c r="C112" s="25" t="s">
        <v>620</v>
      </c>
      <c r="D112" s="25" t="s">
        <v>620</v>
      </c>
    </row>
    <row r="113" spans="1:4" x14ac:dyDescent="0.25">
      <c r="A113" s="26" t="s">
        <v>686</v>
      </c>
      <c r="B113" t="s">
        <v>24</v>
      </c>
      <c r="C113" s="4" t="s">
        <v>505</v>
      </c>
      <c r="D113" s="25" t="s">
        <v>620</v>
      </c>
    </row>
    <row r="114" spans="1:4" x14ac:dyDescent="0.25">
      <c r="A114" s="26" t="s">
        <v>686</v>
      </c>
      <c r="B114" t="s">
        <v>560</v>
      </c>
      <c r="C114" s="4" t="s">
        <v>588</v>
      </c>
      <c r="D114" s="4" t="s">
        <v>588</v>
      </c>
    </row>
    <row r="115" spans="1:4" x14ac:dyDescent="0.25">
      <c r="A115" s="26" t="s">
        <v>686</v>
      </c>
      <c r="B115" t="s">
        <v>561</v>
      </c>
      <c r="C115" s="4" t="s">
        <v>334</v>
      </c>
    </row>
    <row r="116" spans="1:4" x14ac:dyDescent="0.25">
      <c r="A116" s="26" t="s">
        <v>686</v>
      </c>
      <c r="B116" t="s">
        <v>503</v>
      </c>
    </row>
    <row r="117" spans="1:4" x14ac:dyDescent="0.25">
      <c r="A117" s="26" t="s">
        <v>686</v>
      </c>
      <c r="B117" t="s">
        <v>562</v>
      </c>
    </row>
    <row r="118" spans="1:4" x14ac:dyDescent="0.25">
      <c r="A118" s="26" t="s">
        <v>686</v>
      </c>
      <c r="B118" t="s">
        <v>563</v>
      </c>
      <c r="C118" s="25" t="s">
        <v>851</v>
      </c>
    </row>
    <row r="119" spans="1:4" x14ac:dyDescent="0.25">
      <c r="A119" s="26" t="s">
        <v>686</v>
      </c>
      <c r="B119" t="s">
        <v>579</v>
      </c>
      <c r="C119" s="4" t="s">
        <v>334</v>
      </c>
    </row>
    <row r="120" spans="1:4" x14ac:dyDescent="0.25">
      <c r="A120" s="26" t="s">
        <v>686</v>
      </c>
      <c r="B120" t="s">
        <v>580</v>
      </c>
      <c r="C120" s="4" t="s">
        <v>585</v>
      </c>
    </row>
    <row r="121" spans="1:4" x14ac:dyDescent="0.25">
      <c r="A121" s="26" t="s">
        <v>686</v>
      </c>
      <c r="B121" t="s">
        <v>581</v>
      </c>
      <c r="C121" s="4" t="s">
        <v>334</v>
      </c>
    </row>
    <row r="122" spans="1:4" x14ac:dyDescent="0.25">
      <c r="A122" s="26" t="s">
        <v>686</v>
      </c>
      <c r="B122" t="s">
        <v>564</v>
      </c>
      <c r="C122" s="4" t="s">
        <v>334</v>
      </c>
    </row>
    <row r="123" spans="1:4" x14ac:dyDescent="0.25">
      <c r="A123" s="26" t="s">
        <v>686</v>
      </c>
      <c r="B123" t="s">
        <v>582</v>
      </c>
      <c r="C123" s="4" t="s">
        <v>334</v>
      </c>
    </row>
    <row r="124" spans="1:4" x14ac:dyDescent="0.25">
      <c r="A124" s="26" t="s">
        <v>686</v>
      </c>
      <c r="B124" t="s">
        <v>583</v>
      </c>
      <c r="C124" s="4" t="s">
        <v>585</v>
      </c>
    </row>
    <row r="125" spans="1:4" x14ac:dyDescent="0.25">
      <c r="A125" s="26" t="s">
        <v>686</v>
      </c>
      <c r="B125" t="s">
        <v>584</v>
      </c>
      <c r="C125" s="4" t="s">
        <v>334</v>
      </c>
    </row>
    <row r="126" spans="1:4" x14ac:dyDescent="0.25">
      <c r="A126" s="26" t="s">
        <v>688</v>
      </c>
      <c r="B126" t="s">
        <v>191</v>
      </c>
      <c r="C126" s="25" t="s">
        <v>626</v>
      </c>
      <c r="D126" s="25" t="s">
        <v>626</v>
      </c>
    </row>
    <row r="127" spans="1:4" x14ac:dyDescent="0.25">
      <c r="A127" s="26" t="s">
        <v>688</v>
      </c>
      <c r="B127" t="s">
        <v>192</v>
      </c>
      <c r="C127" s="25" t="s">
        <v>626</v>
      </c>
      <c r="D127" s="25" t="s">
        <v>626</v>
      </c>
    </row>
    <row r="128" spans="1:4" x14ac:dyDescent="0.25">
      <c r="A128" s="26" t="s">
        <v>688</v>
      </c>
      <c r="B128" t="s">
        <v>24</v>
      </c>
      <c r="C128" s="4" t="s">
        <v>505</v>
      </c>
      <c r="D128" s="4" t="s">
        <v>620</v>
      </c>
    </row>
    <row r="129" spans="1:7" x14ac:dyDescent="0.25">
      <c r="A129" s="26" t="s">
        <v>688</v>
      </c>
      <c r="B129" t="s">
        <v>560</v>
      </c>
      <c r="C129" s="4" t="s">
        <v>588</v>
      </c>
      <c r="D129" s="4" t="s">
        <v>588</v>
      </c>
    </row>
    <row r="130" spans="1:7" x14ac:dyDescent="0.25">
      <c r="A130" s="26" t="s">
        <v>688</v>
      </c>
      <c r="B130" t="s">
        <v>561</v>
      </c>
      <c r="C130" s="4" t="s">
        <v>334</v>
      </c>
    </row>
    <row r="131" spans="1:7" x14ac:dyDescent="0.25">
      <c r="A131" s="26" t="s">
        <v>688</v>
      </c>
      <c r="B131" t="s">
        <v>503</v>
      </c>
    </row>
    <row r="132" spans="1:7" x14ac:dyDescent="0.25">
      <c r="A132" s="26" t="s">
        <v>688</v>
      </c>
      <c r="B132" t="s">
        <v>562</v>
      </c>
    </row>
    <row r="133" spans="1:7" x14ac:dyDescent="0.25">
      <c r="A133" s="26" t="s">
        <v>688</v>
      </c>
      <c r="B133" t="s">
        <v>563</v>
      </c>
      <c r="C133" s="25" t="s">
        <v>851</v>
      </c>
    </row>
    <row r="134" spans="1:7" x14ac:dyDescent="0.25">
      <c r="A134" s="26" t="s">
        <v>688</v>
      </c>
      <c r="B134" t="s">
        <v>579</v>
      </c>
      <c r="C134" s="4" t="s">
        <v>334</v>
      </c>
    </row>
    <row r="135" spans="1:7" x14ac:dyDescent="0.25">
      <c r="A135" s="26" t="s">
        <v>688</v>
      </c>
      <c r="B135" t="s">
        <v>580</v>
      </c>
      <c r="C135" s="4" t="s">
        <v>585</v>
      </c>
    </row>
    <row r="136" spans="1:7" x14ac:dyDescent="0.25">
      <c r="A136" s="26" t="s">
        <v>688</v>
      </c>
      <c r="B136" t="s">
        <v>581</v>
      </c>
      <c r="C136" s="4" t="s">
        <v>334</v>
      </c>
    </row>
    <row r="137" spans="1:7" x14ac:dyDescent="0.25">
      <c r="A137" s="26" t="s">
        <v>688</v>
      </c>
      <c r="B137" t="s">
        <v>564</v>
      </c>
      <c r="C137" s="4" t="s">
        <v>334</v>
      </c>
    </row>
    <row r="138" spans="1:7" x14ac:dyDescent="0.25">
      <c r="A138" s="26" t="s">
        <v>688</v>
      </c>
      <c r="B138" t="s">
        <v>582</v>
      </c>
      <c r="C138" s="4" t="s">
        <v>334</v>
      </c>
    </row>
    <row r="139" spans="1:7" x14ac:dyDescent="0.25">
      <c r="A139" s="26" t="s">
        <v>688</v>
      </c>
      <c r="B139" t="s">
        <v>583</v>
      </c>
      <c r="C139" s="4" t="s">
        <v>585</v>
      </c>
    </row>
    <row r="140" spans="1:7" x14ac:dyDescent="0.25">
      <c r="A140" s="26" t="s">
        <v>688</v>
      </c>
      <c r="B140" t="s">
        <v>584</v>
      </c>
      <c r="C140" s="4" t="s">
        <v>334</v>
      </c>
    </row>
    <row r="141" spans="1:7" x14ac:dyDescent="0.25">
      <c r="A141" s="26" t="s">
        <v>689</v>
      </c>
      <c r="B141" t="s">
        <v>191</v>
      </c>
      <c r="C141" s="25" t="s">
        <v>683</v>
      </c>
      <c r="D141" s="25" t="s">
        <v>683</v>
      </c>
      <c r="E141" s="25" t="s">
        <v>752</v>
      </c>
      <c r="F141" s="26" t="s">
        <v>57</v>
      </c>
      <c r="G141">
        <v>1</v>
      </c>
    </row>
    <row r="142" spans="1:7" x14ac:dyDescent="0.25">
      <c r="A142" s="26" t="s">
        <v>689</v>
      </c>
      <c r="B142" t="s">
        <v>192</v>
      </c>
      <c r="C142" s="25" t="s">
        <v>683</v>
      </c>
      <c r="D142" s="25" t="s">
        <v>683</v>
      </c>
      <c r="E142" s="25" t="s">
        <v>752</v>
      </c>
      <c r="F142" s="26" t="s">
        <v>57</v>
      </c>
      <c r="G142">
        <v>1</v>
      </c>
    </row>
    <row r="143" spans="1:7" x14ac:dyDescent="0.25">
      <c r="A143" s="26" t="s">
        <v>689</v>
      </c>
      <c r="B143" t="s">
        <v>24</v>
      </c>
      <c r="C143" s="4" t="s">
        <v>505</v>
      </c>
      <c r="D143" s="4" t="s">
        <v>620</v>
      </c>
    </row>
    <row r="144" spans="1:7" x14ac:dyDescent="0.25">
      <c r="A144" s="26" t="s">
        <v>689</v>
      </c>
      <c r="B144" t="s">
        <v>560</v>
      </c>
      <c r="C144" s="4" t="s">
        <v>588</v>
      </c>
      <c r="D144" s="4" t="s">
        <v>588</v>
      </c>
    </row>
    <row r="145" spans="1:7" x14ac:dyDescent="0.25">
      <c r="A145" s="26" t="s">
        <v>689</v>
      </c>
      <c r="B145" t="s">
        <v>561</v>
      </c>
      <c r="C145" s="4" t="s">
        <v>334</v>
      </c>
    </row>
    <row r="146" spans="1:7" x14ac:dyDescent="0.25">
      <c r="A146" s="26" t="s">
        <v>689</v>
      </c>
      <c r="B146" t="s">
        <v>503</v>
      </c>
    </row>
    <row r="147" spans="1:7" x14ac:dyDescent="0.25">
      <c r="A147" s="26" t="s">
        <v>689</v>
      </c>
      <c r="B147" t="s">
        <v>562</v>
      </c>
    </row>
    <row r="148" spans="1:7" x14ac:dyDescent="0.25">
      <c r="A148" s="26" t="s">
        <v>689</v>
      </c>
      <c r="B148" t="s">
        <v>563</v>
      </c>
      <c r="C148" s="25" t="s">
        <v>851</v>
      </c>
    </row>
    <row r="149" spans="1:7" x14ac:dyDescent="0.25">
      <c r="A149" s="26" t="s">
        <v>689</v>
      </c>
      <c r="B149" t="s">
        <v>579</v>
      </c>
      <c r="C149" s="4" t="s">
        <v>334</v>
      </c>
    </row>
    <row r="150" spans="1:7" x14ac:dyDescent="0.25">
      <c r="A150" s="26" t="s">
        <v>689</v>
      </c>
      <c r="B150" t="s">
        <v>580</v>
      </c>
      <c r="C150" s="4" t="s">
        <v>585</v>
      </c>
    </row>
    <row r="151" spans="1:7" x14ac:dyDescent="0.25">
      <c r="A151" s="26" t="s">
        <v>689</v>
      </c>
      <c r="B151" t="s">
        <v>581</v>
      </c>
      <c r="C151" s="4" t="s">
        <v>334</v>
      </c>
    </row>
    <row r="152" spans="1:7" x14ac:dyDescent="0.25">
      <c r="A152" s="26" t="s">
        <v>689</v>
      </c>
      <c r="B152" t="s">
        <v>564</v>
      </c>
      <c r="C152" s="4" t="s">
        <v>334</v>
      </c>
    </row>
    <row r="153" spans="1:7" x14ac:dyDescent="0.25">
      <c r="A153" s="26" t="s">
        <v>689</v>
      </c>
      <c r="B153" t="s">
        <v>582</v>
      </c>
      <c r="C153" s="4" t="s">
        <v>334</v>
      </c>
    </row>
    <row r="154" spans="1:7" x14ac:dyDescent="0.25">
      <c r="A154" s="26" t="s">
        <v>689</v>
      </c>
      <c r="B154" t="s">
        <v>583</v>
      </c>
      <c r="C154" s="4" t="s">
        <v>585</v>
      </c>
    </row>
    <row r="155" spans="1:7" x14ac:dyDescent="0.25">
      <c r="A155" s="26" t="s">
        <v>689</v>
      </c>
      <c r="B155" t="s">
        <v>584</v>
      </c>
      <c r="C155" s="4" t="s">
        <v>334</v>
      </c>
    </row>
    <row r="156" spans="1:7" x14ac:dyDescent="0.25">
      <c r="A156" s="26" t="s">
        <v>687</v>
      </c>
      <c r="B156" t="s">
        <v>191</v>
      </c>
      <c r="C156" s="25" t="s">
        <v>683</v>
      </c>
      <c r="D156" s="25" t="s">
        <v>683</v>
      </c>
      <c r="E156" s="26" t="s">
        <v>620</v>
      </c>
      <c r="F156" s="26" t="s">
        <v>57</v>
      </c>
      <c r="G156">
        <v>1</v>
      </c>
    </row>
    <row r="157" spans="1:7" x14ac:dyDescent="0.25">
      <c r="A157" s="26" t="s">
        <v>687</v>
      </c>
      <c r="B157" t="s">
        <v>192</v>
      </c>
      <c r="C157" s="25" t="s">
        <v>683</v>
      </c>
      <c r="D157" s="25" t="s">
        <v>683</v>
      </c>
      <c r="E157" s="26" t="s">
        <v>620</v>
      </c>
      <c r="F157" s="26" t="s">
        <v>57</v>
      </c>
      <c r="G157">
        <v>1</v>
      </c>
    </row>
    <row r="158" spans="1:7" x14ac:dyDescent="0.25">
      <c r="A158" s="26" t="s">
        <v>687</v>
      </c>
      <c r="B158" t="s">
        <v>24</v>
      </c>
      <c r="C158" s="4" t="s">
        <v>505</v>
      </c>
      <c r="D158" s="4" t="s">
        <v>620</v>
      </c>
    </row>
    <row r="159" spans="1:7" x14ac:dyDescent="0.25">
      <c r="A159" s="26" t="s">
        <v>687</v>
      </c>
      <c r="B159" t="s">
        <v>560</v>
      </c>
      <c r="C159" s="4" t="s">
        <v>588</v>
      </c>
      <c r="D159" s="4" t="s">
        <v>588</v>
      </c>
    </row>
    <row r="160" spans="1:7" x14ac:dyDescent="0.25">
      <c r="A160" s="26" t="s">
        <v>687</v>
      </c>
      <c r="B160" t="s">
        <v>561</v>
      </c>
      <c r="C160" s="4" t="s">
        <v>334</v>
      </c>
    </row>
    <row r="161" spans="1:4" x14ac:dyDescent="0.25">
      <c r="A161" s="26" t="s">
        <v>687</v>
      </c>
      <c r="B161" t="s">
        <v>503</v>
      </c>
    </row>
    <row r="162" spans="1:4" x14ac:dyDescent="0.25">
      <c r="A162" s="26" t="s">
        <v>687</v>
      </c>
      <c r="B162" t="s">
        <v>562</v>
      </c>
    </row>
    <row r="163" spans="1:4" x14ac:dyDescent="0.25">
      <c r="A163" s="26" t="s">
        <v>687</v>
      </c>
      <c r="B163" t="s">
        <v>563</v>
      </c>
      <c r="C163" s="25" t="s">
        <v>851</v>
      </c>
    </row>
    <row r="164" spans="1:4" x14ac:dyDescent="0.25">
      <c r="A164" s="26" t="s">
        <v>687</v>
      </c>
      <c r="B164" t="s">
        <v>579</v>
      </c>
      <c r="C164" s="4" t="s">
        <v>334</v>
      </c>
    </row>
    <row r="165" spans="1:4" x14ac:dyDescent="0.25">
      <c r="A165" s="26" t="s">
        <v>687</v>
      </c>
      <c r="B165" t="s">
        <v>580</v>
      </c>
      <c r="C165" s="4" t="s">
        <v>585</v>
      </c>
    </row>
    <row r="166" spans="1:4" x14ac:dyDescent="0.25">
      <c r="A166" s="26" t="s">
        <v>687</v>
      </c>
      <c r="B166" t="s">
        <v>581</v>
      </c>
      <c r="C166" s="4" t="s">
        <v>334</v>
      </c>
    </row>
    <row r="167" spans="1:4" x14ac:dyDescent="0.25">
      <c r="A167" s="26" t="s">
        <v>687</v>
      </c>
      <c r="B167" t="s">
        <v>564</v>
      </c>
      <c r="C167" s="4" t="s">
        <v>334</v>
      </c>
    </row>
    <row r="168" spans="1:4" x14ac:dyDescent="0.25">
      <c r="A168" s="26" t="s">
        <v>687</v>
      </c>
      <c r="B168" t="s">
        <v>582</v>
      </c>
      <c r="C168" s="4" t="s">
        <v>334</v>
      </c>
    </row>
    <row r="169" spans="1:4" x14ac:dyDescent="0.25">
      <c r="A169" s="26" t="s">
        <v>687</v>
      </c>
      <c r="B169" t="s">
        <v>583</v>
      </c>
      <c r="C169" s="4" t="s">
        <v>585</v>
      </c>
    </row>
    <row r="170" spans="1:4" x14ac:dyDescent="0.25">
      <c r="A170" s="26" t="s">
        <v>687</v>
      </c>
      <c r="B170" t="s">
        <v>584</v>
      </c>
      <c r="C170" s="4" t="s">
        <v>334</v>
      </c>
    </row>
    <row r="171" spans="1:4" x14ac:dyDescent="0.25">
      <c r="A171" s="31" t="s">
        <v>677</v>
      </c>
      <c r="B171" t="s">
        <v>191</v>
      </c>
      <c r="C171" s="25" t="s">
        <v>716</v>
      </c>
      <c r="D171" s="25" t="s">
        <v>716</v>
      </c>
    </row>
    <row r="172" spans="1:4" x14ac:dyDescent="0.25">
      <c r="A172" s="31" t="s">
        <v>677</v>
      </c>
      <c r="B172" t="s">
        <v>192</v>
      </c>
      <c r="C172" s="25" t="s">
        <v>716</v>
      </c>
      <c r="D172" s="25" t="s">
        <v>716</v>
      </c>
    </row>
    <row r="173" spans="1:4" x14ac:dyDescent="0.25">
      <c r="A173" s="31" t="s">
        <v>677</v>
      </c>
      <c r="B173" t="s">
        <v>550</v>
      </c>
      <c r="C173" s="25" t="s">
        <v>709</v>
      </c>
      <c r="D173" s="25" t="s">
        <v>716</v>
      </c>
    </row>
    <row r="174" spans="1:4" x14ac:dyDescent="0.25">
      <c r="A174" s="31" t="s">
        <v>677</v>
      </c>
      <c r="B174" t="s">
        <v>24</v>
      </c>
      <c r="C174" s="4" t="s">
        <v>334</v>
      </c>
      <c r="D174" s="4" t="s">
        <v>587</v>
      </c>
    </row>
    <row r="175" spans="1:4" x14ac:dyDescent="0.25">
      <c r="A175" s="31" t="s">
        <v>677</v>
      </c>
      <c r="B175" t="s">
        <v>38</v>
      </c>
      <c r="C175" s="4" t="s">
        <v>334</v>
      </c>
      <c r="D175" s="4" t="s">
        <v>545</v>
      </c>
    </row>
    <row r="176" spans="1:4" x14ac:dyDescent="0.25">
      <c r="A176" s="31" t="s">
        <v>677</v>
      </c>
      <c r="B176" t="s">
        <v>553</v>
      </c>
      <c r="C176" s="4" t="s">
        <v>334</v>
      </c>
      <c r="D176" s="4" t="s">
        <v>545</v>
      </c>
    </row>
    <row r="177" spans="1:4" x14ac:dyDescent="0.25">
      <c r="A177" s="31" t="s">
        <v>777</v>
      </c>
      <c r="B177" t="s">
        <v>191</v>
      </c>
      <c r="C177" s="25" t="s">
        <v>718</v>
      </c>
      <c r="D177" s="25" t="s">
        <v>721</v>
      </c>
    </row>
    <row r="178" spans="1:4" x14ac:dyDescent="0.25">
      <c r="A178" s="31" t="s">
        <v>777</v>
      </c>
      <c r="B178" t="s">
        <v>192</v>
      </c>
      <c r="C178" s="25" t="s">
        <v>718</v>
      </c>
      <c r="D178" s="25" t="s">
        <v>721</v>
      </c>
    </row>
    <row r="179" spans="1:4" x14ac:dyDescent="0.25">
      <c r="A179" s="31" t="s">
        <v>777</v>
      </c>
      <c r="B179" t="s">
        <v>24</v>
      </c>
      <c r="C179" s="4" t="s">
        <v>334</v>
      </c>
      <c r="D179" s="25" t="s">
        <v>780</v>
      </c>
    </row>
    <row r="180" spans="1:4" x14ac:dyDescent="0.25">
      <c r="A180" s="31" t="s">
        <v>777</v>
      </c>
      <c r="B180" t="s">
        <v>38</v>
      </c>
      <c r="C180" s="4" t="s">
        <v>334</v>
      </c>
      <c r="D180" s="4" t="s">
        <v>545</v>
      </c>
    </row>
    <row r="181" spans="1:4" x14ac:dyDescent="0.25">
      <c r="A181" s="31" t="s">
        <v>777</v>
      </c>
      <c r="B181" t="s">
        <v>553</v>
      </c>
      <c r="C181" s="4" t="s">
        <v>334</v>
      </c>
      <c r="D181" s="4" t="s">
        <v>545</v>
      </c>
    </row>
    <row r="182" spans="1:4" x14ac:dyDescent="0.25">
      <c r="A182" s="31" t="s">
        <v>776</v>
      </c>
      <c r="B182" t="s">
        <v>191</v>
      </c>
      <c r="C182" s="25" t="s">
        <v>763</v>
      </c>
      <c r="D182" s="25" t="s">
        <v>763</v>
      </c>
    </row>
    <row r="183" spans="1:4" x14ac:dyDescent="0.25">
      <c r="A183" s="31" t="s">
        <v>776</v>
      </c>
      <c r="B183" t="s">
        <v>192</v>
      </c>
      <c r="C183" s="25" t="s">
        <v>763</v>
      </c>
      <c r="D183" s="25" t="s">
        <v>763</v>
      </c>
    </row>
    <row r="184" spans="1:4" x14ac:dyDescent="0.25">
      <c r="A184" s="31" t="s">
        <v>776</v>
      </c>
      <c r="B184" t="s">
        <v>24</v>
      </c>
      <c r="C184" s="4" t="s">
        <v>334</v>
      </c>
      <c r="D184" s="25" t="s">
        <v>763</v>
      </c>
    </row>
    <row r="185" spans="1:4" x14ac:dyDescent="0.25">
      <c r="A185" s="31" t="s">
        <v>776</v>
      </c>
      <c r="B185" t="s">
        <v>38</v>
      </c>
      <c r="C185" s="4" t="s">
        <v>334</v>
      </c>
      <c r="D185" s="4" t="s">
        <v>545</v>
      </c>
    </row>
    <row r="186" spans="1:4" x14ac:dyDescent="0.25">
      <c r="A186" s="31" t="s">
        <v>776</v>
      </c>
      <c r="B186" t="s">
        <v>553</v>
      </c>
      <c r="C186" s="4" t="s">
        <v>334</v>
      </c>
      <c r="D186" s="4" t="s">
        <v>545</v>
      </c>
    </row>
    <row r="187" spans="1:4" x14ac:dyDescent="0.25">
      <c r="A187" s="31" t="s">
        <v>779</v>
      </c>
      <c r="B187" t="s">
        <v>191</v>
      </c>
      <c r="C187" s="4" t="s">
        <v>334</v>
      </c>
      <c r="D187" s="25" t="s">
        <v>721</v>
      </c>
    </row>
    <row r="188" spans="1:4" x14ac:dyDescent="0.25">
      <c r="A188" s="31" t="s">
        <v>779</v>
      </c>
      <c r="B188" t="s">
        <v>192</v>
      </c>
      <c r="C188" s="4" t="s">
        <v>334</v>
      </c>
      <c r="D188" s="25" t="s">
        <v>721</v>
      </c>
    </row>
    <row r="189" spans="1:4" x14ac:dyDescent="0.25">
      <c r="A189" s="31" t="s">
        <v>779</v>
      </c>
      <c r="B189" t="s">
        <v>24</v>
      </c>
      <c r="C189" s="4" t="s">
        <v>334</v>
      </c>
      <c r="D189" s="25" t="s">
        <v>721</v>
      </c>
    </row>
    <row r="190" spans="1:4" x14ac:dyDescent="0.25">
      <c r="A190" s="31" t="s">
        <v>778</v>
      </c>
      <c r="B190" t="s">
        <v>191</v>
      </c>
      <c r="C190" s="4" t="s">
        <v>334</v>
      </c>
      <c r="D190" s="25" t="s">
        <v>763</v>
      </c>
    </row>
    <row r="191" spans="1:4" x14ac:dyDescent="0.25">
      <c r="A191" s="31" t="s">
        <v>778</v>
      </c>
      <c r="B191" t="s">
        <v>192</v>
      </c>
      <c r="C191" s="4" t="s">
        <v>334</v>
      </c>
      <c r="D191" s="25" t="s">
        <v>763</v>
      </c>
    </row>
    <row r="192" spans="1:4" x14ac:dyDescent="0.25">
      <c r="A192" s="31" t="s">
        <v>778</v>
      </c>
      <c r="B192" t="s">
        <v>24</v>
      </c>
      <c r="C192" s="4" t="s">
        <v>334</v>
      </c>
      <c r="D192" s="25" t="s">
        <v>763</v>
      </c>
    </row>
  </sheetData>
  <autoFilter ref="A1:I19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5:C16"/>
  <sheetViews>
    <sheetView workbookViewId="0"/>
  </sheetViews>
  <sheetFormatPr defaultColWidth="9.109375" defaultRowHeight="13.2" x14ac:dyDescent="0.25"/>
  <sheetData>
    <row r="5" spans="2:3" x14ac:dyDescent="0.25">
      <c r="B5" s="13" t="s">
        <v>54</v>
      </c>
    </row>
    <row r="6" spans="2:3" x14ac:dyDescent="0.25">
      <c r="B6" t="s">
        <v>50</v>
      </c>
      <c r="C6" t="s">
        <v>55</v>
      </c>
    </row>
    <row r="7" spans="2:3" x14ac:dyDescent="0.25">
      <c r="B7" t="s">
        <v>20</v>
      </c>
      <c r="C7" t="s">
        <v>56</v>
      </c>
    </row>
    <row r="8" spans="2:3" x14ac:dyDescent="0.25">
      <c r="B8" t="s">
        <v>57</v>
      </c>
      <c r="C8" t="s">
        <v>58</v>
      </c>
    </row>
    <row r="9" spans="2:3" x14ac:dyDescent="0.25">
      <c r="B9" t="s">
        <v>51</v>
      </c>
      <c r="C9" t="s">
        <v>59</v>
      </c>
    </row>
    <row r="10" spans="2:3" x14ac:dyDescent="0.25">
      <c r="B10" t="s">
        <v>60</v>
      </c>
      <c r="C10" t="s">
        <v>61</v>
      </c>
    </row>
    <row r="11" spans="2:3" x14ac:dyDescent="0.25">
      <c r="B11" t="s">
        <v>52</v>
      </c>
      <c r="C11" t="s">
        <v>62</v>
      </c>
    </row>
    <row r="13" spans="2:3" x14ac:dyDescent="0.25">
      <c r="B13" s="13" t="s">
        <v>63</v>
      </c>
    </row>
    <row r="14" spans="2:3" x14ac:dyDescent="0.25">
      <c r="B14" t="s">
        <v>64</v>
      </c>
    </row>
    <row r="16" spans="2:3" x14ac:dyDescent="0.25">
      <c r="B16" t="s">
        <v>65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210"/>
  <sheetViews>
    <sheetView topLeftCell="A15" workbookViewId="0">
      <selection activeCell="F168" sqref="F168"/>
    </sheetView>
  </sheetViews>
  <sheetFormatPr defaultColWidth="9.109375" defaultRowHeight="15" customHeight="1" x14ac:dyDescent="0.25"/>
  <cols>
    <col min="1" max="1" width="18.5546875" bestFit="1" customWidth="1"/>
  </cols>
  <sheetData>
    <row r="1" spans="1:10" ht="15" customHeight="1" x14ac:dyDescent="0.25">
      <c r="A1" s="2" t="s">
        <v>24</v>
      </c>
      <c r="B1" s="5" t="s">
        <v>45</v>
      </c>
      <c r="C1" s="5" t="s">
        <v>46</v>
      </c>
      <c r="D1" s="5" t="s">
        <v>43</v>
      </c>
      <c r="E1" s="2" t="s">
        <v>25</v>
      </c>
      <c r="F1" s="3" t="s">
        <v>195</v>
      </c>
      <c r="G1" s="2" t="s">
        <v>306</v>
      </c>
    </row>
    <row r="2" spans="1:10" ht="15" customHeight="1" x14ac:dyDescent="0.25">
      <c r="A2" t="s">
        <v>360</v>
      </c>
      <c r="B2">
        <v>240</v>
      </c>
      <c r="C2">
        <v>248</v>
      </c>
      <c r="D2">
        <v>255</v>
      </c>
      <c r="E2">
        <v>16775408</v>
      </c>
      <c r="F2" s="4" t="s">
        <v>309</v>
      </c>
      <c r="I2" s="20"/>
      <c r="J2" s="20"/>
    </row>
    <row r="3" spans="1:10" ht="15" customHeight="1" x14ac:dyDescent="0.25">
      <c r="A3" t="s">
        <v>361</v>
      </c>
      <c r="B3">
        <v>250</v>
      </c>
      <c r="C3">
        <v>235</v>
      </c>
      <c r="D3">
        <v>215</v>
      </c>
      <c r="E3">
        <v>14150650</v>
      </c>
      <c r="F3" s="4" t="s">
        <v>310</v>
      </c>
    </row>
    <row r="4" spans="1:10" ht="15" customHeight="1" x14ac:dyDescent="0.25">
      <c r="A4" t="s">
        <v>362</v>
      </c>
      <c r="B4">
        <v>0</v>
      </c>
      <c r="C4">
        <v>255</v>
      </c>
      <c r="D4">
        <v>255</v>
      </c>
      <c r="E4">
        <v>16776960</v>
      </c>
      <c r="F4" s="4" t="s">
        <v>311</v>
      </c>
    </row>
    <row r="5" spans="1:10" ht="15" customHeight="1" x14ac:dyDescent="0.25">
      <c r="A5" t="s">
        <v>363</v>
      </c>
      <c r="B5">
        <v>127</v>
      </c>
      <c r="C5">
        <v>255</v>
      </c>
      <c r="D5">
        <v>212</v>
      </c>
      <c r="E5">
        <v>13959039</v>
      </c>
      <c r="F5" s="4" t="s">
        <v>312</v>
      </c>
    </row>
    <row r="6" spans="1:10" ht="15" customHeight="1" x14ac:dyDescent="0.25">
      <c r="A6" t="s">
        <v>364</v>
      </c>
      <c r="B6">
        <v>240</v>
      </c>
      <c r="C6">
        <v>255</v>
      </c>
      <c r="D6">
        <v>255</v>
      </c>
      <c r="E6">
        <v>16777200</v>
      </c>
      <c r="F6" s="4" t="s">
        <v>313</v>
      </c>
    </row>
    <row r="7" spans="1:10" ht="15" customHeight="1" x14ac:dyDescent="0.25">
      <c r="A7" t="s">
        <v>365</v>
      </c>
      <c r="B7">
        <v>245</v>
      </c>
      <c r="C7">
        <v>245</v>
      </c>
      <c r="D7">
        <v>220</v>
      </c>
      <c r="E7">
        <v>14480885</v>
      </c>
      <c r="F7" s="4" t="s">
        <v>314</v>
      </c>
    </row>
    <row r="8" spans="1:10" ht="15" customHeight="1" x14ac:dyDescent="0.25">
      <c r="A8" t="s">
        <v>366</v>
      </c>
      <c r="B8">
        <v>255</v>
      </c>
      <c r="C8">
        <v>228</v>
      </c>
      <c r="D8">
        <v>196</v>
      </c>
      <c r="E8">
        <v>12903679</v>
      </c>
      <c r="F8" s="4" t="s">
        <v>315</v>
      </c>
    </row>
    <row r="9" spans="1:10" ht="15" customHeight="1" x14ac:dyDescent="0.25">
      <c r="A9" t="s">
        <v>367</v>
      </c>
      <c r="B9">
        <v>0</v>
      </c>
      <c r="C9">
        <v>0</v>
      </c>
      <c r="D9">
        <v>0</v>
      </c>
      <c r="E9">
        <v>0</v>
      </c>
      <c r="F9" s="4" t="s">
        <v>294</v>
      </c>
    </row>
    <row r="10" spans="1:10" ht="15" customHeight="1" x14ac:dyDescent="0.25">
      <c r="A10" t="s">
        <v>368</v>
      </c>
      <c r="B10">
        <v>255</v>
      </c>
      <c r="C10">
        <v>235</v>
      </c>
      <c r="D10">
        <v>205</v>
      </c>
      <c r="E10">
        <v>13495295</v>
      </c>
      <c r="F10" s="4" t="s">
        <v>316</v>
      </c>
    </row>
    <row r="11" spans="1:10" ht="15" customHeight="1" x14ac:dyDescent="0.25">
      <c r="A11" t="s">
        <v>369</v>
      </c>
      <c r="B11">
        <v>0</v>
      </c>
      <c r="C11">
        <v>0</v>
      </c>
      <c r="D11">
        <v>255</v>
      </c>
      <c r="E11">
        <v>16711680</v>
      </c>
      <c r="F11" s="4" t="s">
        <v>308</v>
      </c>
    </row>
    <row r="12" spans="1:10" ht="15" customHeight="1" x14ac:dyDescent="0.25">
      <c r="A12" t="s">
        <v>370</v>
      </c>
      <c r="B12">
        <v>138</v>
      </c>
      <c r="C12">
        <v>43</v>
      </c>
      <c r="D12">
        <v>226</v>
      </c>
      <c r="E12">
        <v>14822282</v>
      </c>
      <c r="F12" s="4" t="s">
        <v>317</v>
      </c>
    </row>
    <row r="13" spans="1:10" ht="15" customHeight="1" x14ac:dyDescent="0.25">
      <c r="A13" t="s">
        <v>371</v>
      </c>
      <c r="B13">
        <v>165</v>
      </c>
      <c r="C13">
        <v>42</v>
      </c>
      <c r="D13">
        <v>42</v>
      </c>
      <c r="E13">
        <v>2763429</v>
      </c>
      <c r="F13" s="4" t="s">
        <v>520</v>
      </c>
    </row>
    <row r="14" spans="1:10" ht="15" customHeight="1" x14ac:dyDescent="0.25">
      <c r="A14" t="s">
        <v>372</v>
      </c>
      <c r="B14">
        <v>222</v>
      </c>
      <c r="C14">
        <v>184</v>
      </c>
      <c r="D14">
        <v>135</v>
      </c>
      <c r="E14">
        <v>8894686</v>
      </c>
      <c r="F14" s="4" t="s">
        <v>318</v>
      </c>
    </row>
    <row r="15" spans="1:10" ht="15" customHeight="1" x14ac:dyDescent="0.25">
      <c r="A15" t="s">
        <v>373</v>
      </c>
      <c r="B15">
        <v>95</v>
      </c>
      <c r="C15">
        <v>158</v>
      </c>
      <c r="D15">
        <v>160</v>
      </c>
      <c r="E15">
        <v>10526303</v>
      </c>
      <c r="F15" s="4" t="s">
        <v>319</v>
      </c>
    </row>
    <row r="16" spans="1:10" ht="15" customHeight="1" x14ac:dyDescent="0.25">
      <c r="A16" t="s">
        <v>374</v>
      </c>
      <c r="B16">
        <v>127</v>
      </c>
      <c r="C16">
        <v>255</v>
      </c>
      <c r="D16">
        <v>0</v>
      </c>
      <c r="E16">
        <v>65407</v>
      </c>
      <c r="F16" s="4" t="s">
        <v>320</v>
      </c>
    </row>
    <row r="17" spans="1:6" ht="15" customHeight="1" x14ac:dyDescent="0.25">
      <c r="A17" t="s">
        <v>375</v>
      </c>
      <c r="B17">
        <v>210</v>
      </c>
      <c r="C17">
        <v>105</v>
      </c>
      <c r="D17">
        <v>30</v>
      </c>
      <c r="E17">
        <v>1993170</v>
      </c>
      <c r="F17" s="4" t="s">
        <v>321</v>
      </c>
    </row>
    <row r="18" spans="1:6" ht="15" customHeight="1" x14ac:dyDescent="0.25">
      <c r="A18" t="s">
        <v>376</v>
      </c>
      <c r="B18">
        <v>255</v>
      </c>
      <c r="C18">
        <v>127</v>
      </c>
      <c r="D18">
        <v>80</v>
      </c>
      <c r="E18">
        <v>5275647</v>
      </c>
      <c r="F18" s="4" t="s">
        <v>322</v>
      </c>
    </row>
    <row r="19" spans="1:6" ht="15" customHeight="1" x14ac:dyDescent="0.25">
      <c r="A19" t="s">
        <v>377</v>
      </c>
      <c r="B19">
        <v>100</v>
      </c>
      <c r="C19">
        <v>149</v>
      </c>
      <c r="D19">
        <v>237</v>
      </c>
      <c r="E19">
        <v>15570276</v>
      </c>
      <c r="F19" s="4" t="s">
        <v>323</v>
      </c>
    </row>
    <row r="20" spans="1:6" ht="15" customHeight="1" x14ac:dyDescent="0.25">
      <c r="A20" t="s">
        <v>378</v>
      </c>
      <c r="B20">
        <v>255</v>
      </c>
      <c r="C20">
        <v>248</v>
      </c>
      <c r="D20">
        <v>220</v>
      </c>
      <c r="E20">
        <v>14481663</v>
      </c>
      <c r="F20" s="4" t="s">
        <v>324</v>
      </c>
    </row>
    <row r="21" spans="1:6" ht="15" customHeight="1" x14ac:dyDescent="0.25">
      <c r="A21" t="s">
        <v>358</v>
      </c>
      <c r="B21">
        <v>220</v>
      </c>
      <c r="C21">
        <v>20</v>
      </c>
      <c r="D21">
        <v>60</v>
      </c>
      <c r="E21">
        <v>3937500</v>
      </c>
      <c r="F21" s="4" t="s">
        <v>325</v>
      </c>
    </row>
    <row r="22" spans="1:6" ht="15" customHeight="1" x14ac:dyDescent="0.25">
      <c r="A22" t="s">
        <v>379</v>
      </c>
      <c r="B22">
        <v>0</v>
      </c>
      <c r="C22">
        <v>255</v>
      </c>
      <c r="D22">
        <v>255</v>
      </c>
      <c r="E22">
        <v>16776960</v>
      </c>
      <c r="F22" s="4" t="s">
        <v>311</v>
      </c>
    </row>
    <row r="23" spans="1:6" ht="15" customHeight="1" x14ac:dyDescent="0.25">
      <c r="A23" t="s">
        <v>380</v>
      </c>
      <c r="B23">
        <v>0</v>
      </c>
      <c r="C23">
        <v>0</v>
      </c>
      <c r="D23">
        <v>139</v>
      </c>
      <c r="E23">
        <v>9109504</v>
      </c>
      <c r="F23" s="4" t="s">
        <v>307</v>
      </c>
    </row>
    <row r="24" spans="1:6" ht="15" customHeight="1" x14ac:dyDescent="0.25">
      <c r="A24" t="s">
        <v>381</v>
      </c>
      <c r="B24">
        <v>0</v>
      </c>
      <c r="C24">
        <v>139</v>
      </c>
      <c r="D24">
        <v>139</v>
      </c>
      <c r="E24">
        <v>9145088</v>
      </c>
      <c r="F24" s="4" t="s">
        <v>198</v>
      </c>
    </row>
    <row r="25" spans="1:6" ht="15" customHeight="1" x14ac:dyDescent="0.25">
      <c r="A25" t="s">
        <v>500</v>
      </c>
      <c r="B25">
        <v>184</v>
      </c>
      <c r="C25">
        <v>134</v>
      </c>
      <c r="D25">
        <v>11</v>
      </c>
      <c r="E25">
        <v>755384</v>
      </c>
      <c r="F25" s="4" t="s">
        <v>199</v>
      </c>
    </row>
    <row r="26" spans="1:6" ht="15" customHeight="1" x14ac:dyDescent="0.25">
      <c r="A26" t="s">
        <v>382</v>
      </c>
      <c r="B26">
        <v>169</v>
      </c>
      <c r="C26">
        <v>169</v>
      </c>
      <c r="D26">
        <v>169</v>
      </c>
      <c r="E26">
        <v>11119017</v>
      </c>
      <c r="F26" s="4" t="s">
        <v>200</v>
      </c>
    </row>
    <row r="27" spans="1:6" ht="15" customHeight="1" x14ac:dyDescent="0.25">
      <c r="A27" t="s">
        <v>497</v>
      </c>
      <c r="B27">
        <v>0</v>
      </c>
      <c r="C27">
        <v>100</v>
      </c>
      <c r="D27">
        <v>0</v>
      </c>
      <c r="E27">
        <v>25600</v>
      </c>
      <c r="F27" s="4" t="s">
        <v>517</v>
      </c>
    </row>
    <row r="28" spans="1:6" ht="15" customHeight="1" x14ac:dyDescent="0.25">
      <c r="A28" t="s">
        <v>383</v>
      </c>
      <c r="B28">
        <v>169</v>
      </c>
      <c r="C28">
        <v>169</v>
      </c>
      <c r="D28">
        <v>169</v>
      </c>
      <c r="E28">
        <v>11119017</v>
      </c>
      <c r="F28" s="4" t="s">
        <v>200</v>
      </c>
    </row>
    <row r="29" spans="1:6" ht="15" customHeight="1" x14ac:dyDescent="0.25">
      <c r="A29" t="s">
        <v>384</v>
      </c>
      <c r="B29">
        <v>189</v>
      </c>
      <c r="C29">
        <v>183</v>
      </c>
      <c r="D29">
        <v>107</v>
      </c>
      <c r="E29">
        <v>7059389</v>
      </c>
      <c r="F29" s="4" t="s">
        <v>201</v>
      </c>
    </row>
    <row r="30" spans="1:6" ht="15" customHeight="1" x14ac:dyDescent="0.25">
      <c r="A30" t="s">
        <v>385</v>
      </c>
      <c r="B30">
        <v>139</v>
      </c>
      <c r="C30">
        <v>0</v>
      </c>
      <c r="D30">
        <v>139</v>
      </c>
      <c r="E30">
        <v>9109643</v>
      </c>
      <c r="F30" s="4" t="s">
        <v>202</v>
      </c>
    </row>
    <row r="31" spans="1:6" ht="15" customHeight="1" x14ac:dyDescent="0.25">
      <c r="A31" t="s">
        <v>386</v>
      </c>
      <c r="B31">
        <v>85</v>
      </c>
      <c r="C31">
        <v>107</v>
      </c>
      <c r="D31">
        <v>47</v>
      </c>
      <c r="E31">
        <v>3107669</v>
      </c>
      <c r="F31" s="4" t="s">
        <v>203</v>
      </c>
    </row>
    <row r="32" spans="1:6" ht="15" customHeight="1" x14ac:dyDescent="0.25">
      <c r="A32" t="s">
        <v>387</v>
      </c>
      <c r="B32">
        <v>255</v>
      </c>
      <c r="C32">
        <v>140</v>
      </c>
      <c r="D32">
        <v>0</v>
      </c>
      <c r="E32">
        <v>36095</v>
      </c>
      <c r="F32" s="4" t="s">
        <v>204</v>
      </c>
    </row>
    <row r="33" spans="1:6" ht="15" customHeight="1" x14ac:dyDescent="0.25">
      <c r="A33" t="s">
        <v>388</v>
      </c>
      <c r="B33">
        <v>153</v>
      </c>
      <c r="C33">
        <v>50</v>
      </c>
      <c r="D33">
        <v>204</v>
      </c>
      <c r="E33">
        <v>13382297</v>
      </c>
      <c r="F33" s="4" t="s">
        <v>205</v>
      </c>
    </row>
    <row r="34" spans="1:6" ht="15" customHeight="1" x14ac:dyDescent="0.25">
      <c r="A34" t="s">
        <v>389</v>
      </c>
      <c r="B34">
        <v>139</v>
      </c>
      <c r="C34">
        <v>0</v>
      </c>
      <c r="D34">
        <v>0</v>
      </c>
      <c r="E34">
        <v>139</v>
      </c>
      <c r="F34" s="4" t="s">
        <v>512</v>
      </c>
    </row>
    <row r="35" spans="1:6" ht="15" customHeight="1" x14ac:dyDescent="0.25">
      <c r="A35" t="s">
        <v>390</v>
      </c>
      <c r="B35">
        <v>233</v>
      </c>
      <c r="C35">
        <v>150</v>
      </c>
      <c r="D35">
        <v>122</v>
      </c>
      <c r="E35">
        <v>8034025</v>
      </c>
      <c r="F35" s="4" t="s">
        <v>206</v>
      </c>
    </row>
    <row r="36" spans="1:6" ht="15" customHeight="1" x14ac:dyDescent="0.25">
      <c r="A36" t="s">
        <v>391</v>
      </c>
      <c r="B36">
        <v>143</v>
      </c>
      <c r="C36">
        <v>188</v>
      </c>
      <c r="D36">
        <v>143</v>
      </c>
      <c r="E36">
        <v>9419919</v>
      </c>
      <c r="F36" s="4" t="s">
        <v>207</v>
      </c>
    </row>
    <row r="37" spans="1:6" ht="15" customHeight="1" x14ac:dyDescent="0.25">
      <c r="A37" t="s">
        <v>392</v>
      </c>
      <c r="B37">
        <v>72</v>
      </c>
      <c r="C37">
        <v>61</v>
      </c>
      <c r="D37">
        <v>139</v>
      </c>
      <c r="E37">
        <v>9125192</v>
      </c>
      <c r="F37" s="4" t="s">
        <v>208</v>
      </c>
    </row>
    <row r="38" spans="1:6" ht="15" customHeight="1" x14ac:dyDescent="0.25">
      <c r="A38" t="s">
        <v>393</v>
      </c>
      <c r="B38">
        <v>47</v>
      </c>
      <c r="C38">
        <v>79</v>
      </c>
      <c r="D38">
        <v>79</v>
      </c>
      <c r="E38">
        <v>5197615</v>
      </c>
      <c r="F38" s="4" t="s">
        <v>209</v>
      </c>
    </row>
    <row r="39" spans="1:6" ht="15" customHeight="1" x14ac:dyDescent="0.25">
      <c r="A39" t="s">
        <v>394</v>
      </c>
      <c r="B39">
        <v>47</v>
      </c>
      <c r="C39">
        <v>79</v>
      </c>
      <c r="D39">
        <v>79</v>
      </c>
      <c r="E39">
        <v>5197615</v>
      </c>
      <c r="F39" s="4" t="s">
        <v>209</v>
      </c>
    </row>
    <row r="40" spans="1:6" ht="15" customHeight="1" x14ac:dyDescent="0.25">
      <c r="A40" t="s">
        <v>395</v>
      </c>
      <c r="B40">
        <v>0</v>
      </c>
      <c r="C40">
        <v>206</v>
      </c>
      <c r="D40">
        <v>209</v>
      </c>
      <c r="E40">
        <v>13749760</v>
      </c>
      <c r="F40" s="4" t="s">
        <v>210</v>
      </c>
    </row>
    <row r="41" spans="1:6" ht="15" customHeight="1" x14ac:dyDescent="0.25">
      <c r="A41" t="s">
        <v>396</v>
      </c>
      <c r="B41">
        <v>148</v>
      </c>
      <c r="C41">
        <v>0</v>
      </c>
      <c r="D41">
        <v>211</v>
      </c>
      <c r="E41">
        <v>13828244</v>
      </c>
      <c r="F41" s="4" t="s">
        <v>211</v>
      </c>
    </row>
    <row r="42" spans="1:6" ht="15" customHeight="1" x14ac:dyDescent="0.25">
      <c r="A42" t="s">
        <v>397</v>
      </c>
      <c r="B42">
        <v>255</v>
      </c>
      <c r="C42">
        <v>20</v>
      </c>
      <c r="D42">
        <v>147</v>
      </c>
      <c r="E42">
        <v>9639167</v>
      </c>
      <c r="F42" s="4" t="s">
        <v>212</v>
      </c>
    </row>
    <row r="43" spans="1:6" ht="15" customHeight="1" x14ac:dyDescent="0.25">
      <c r="A43" t="s">
        <v>398</v>
      </c>
      <c r="B43">
        <v>0</v>
      </c>
      <c r="C43">
        <v>191</v>
      </c>
      <c r="D43">
        <v>255</v>
      </c>
      <c r="E43">
        <v>16760576</v>
      </c>
      <c r="F43" s="4" t="s">
        <v>213</v>
      </c>
    </row>
    <row r="44" spans="1:6" ht="15" customHeight="1" x14ac:dyDescent="0.25">
      <c r="A44" t="s">
        <v>399</v>
      </c>
      <c r="B44">
        <v>105</v>
      </c>
      <c r="C44">
        <v>105</v>
      </c>
      <c r="D44">
        <v>105</v>
      </c>
      <c r="E44">
        <v>6908265</v>
      </c>
      <c r="F44" s="4" t="s">
        <v>298</v>
      </c>
    </row>
    <row r="45" spans="1:6" ht="15" customHeight="1" x14ac:dyDescent="0.25">
      <c r="A45" t="s">
        <v>400</v>
      </c>
      <c r="B45">
        <v>105</v>
      </c>
      <c r="C45">
        <v>105</v>
      </c>
      <c r="D45">
        <v>105</v>
      </c>
      <c r="E45">
        <v>6908265</v>
      </c>
      <c r="F45" s="4" t="s">
        <v>298</v>
      </c>
    </row>
    <row r="46" spans="1:6" ht="15" customHeight="1" x14ac:dyDescent="0.25">
      <c r="A46" t="s">
        <v>401</v>
      </c>
      <c r="B46">
        <v>30</v>
      </c>
      <c r="C46">
        <v>144</v>
      </c>
      <c r="D46">
        <v>255</v>
      </c>
      <c r="E46">
        <v>16748574</v>
      </c>
      <c r="F46" s="4" t="s">
        <v>214</v>
      </c>
    </row>
    <row r="47" spans="1:6" ht="15" customHeight="1" x14ac:dyDescent="0.25">
      <c r="A47" t="s">
        <v>402</v>
      </c>
      <c r="B47">
        <v>178</v>
      </c>
      <c r="C47">
        <v>34</v>
      </c>
      <c r="D47">
        <v>34</v>
      </c>
      <c r="E47">
        <v>2237106</v>
      </c>
      <c r="F47" s="4" t="s">
        <v>215</v>
      </c>
    </row>
    <row r="48" spans="1:6" ht="15" customHeight="1" x14ac:dyDescent="0.25">
      <c r="A48" t="s">
        <v>403</v>
      </c>
      <c r="B48">
        <v>255</v>
      </c>
      <c r="C48">
        <v>250</v>
      </c>
      <c r="D48">
        <v>240</v>
      </c>
      <c r="E48">
        <v>15792895</v>
      </c>
      <c r="F48" s="4" t="s">
        <v>216</v>
      </c>
    </row>
    <row r="49" spans="1:6" ht="15" customHeight="1" x14ac:dyDescent="0.25">
      <c r="A49" t="s">
        <v>404</v>
      </c>
      <c r="B49">
        <v>34</v>
      </c>
      <c r="C49">
        <v>139</v>
      </c>
      <c r="D49">
        <v>34</v>
      </c>
      <c r="E49">
        <v>2263842</v>
      </c>
      <c r="F49" s="4" t="s">
        <v>217</v>
      </c>
    </row>
    <row r="50" spans="1:6" ht="15" customHeight="1" x14ac:dyDescent="0.25">
      <c r="A50" t="s">
        <v>405</v>
      </c>
      <c r="B50">
        <v>255</v>
      </c>
      <c r="C50">
        <v>0</v>
      </c>
      <c r="D50">
        <v>255</v>
      </c>
      <c r="E50">
        <v>16711935</v>
      </c>
      <c r="F50" s="4" t="s">
        <v>197</v>
      </c>
    </row>
    <row r="51" spans="1:6" ht="15" customHeight="1" x14ac:dyDescent="0.25">
      <c r="A51" t="s">
        <v>406</v>
      </c>
      <c r="B51">
        <v>220</v>
      </c>
      <c r="C51">
        <v>220</v>
      </c>
      <c r="D51">
        <v>220</v>
      </c>
      <c r="E51">
        <v>14474460</v>
      </c>
      <c r="F51" s="4" t="s">
        <v>218</v>
      </c>
    </row>
    <row r="52" spans="1:6" ht="15" customHeight="1" x14ac:dyDescent="0.25">
      <c r="A52" t="s">
        <v>407</v>
      </c>
      <c r="B52">
        <v>248</v>
      </c>
      <c r="C52">
        <v>248</v>
      </c>
      <c r="D52">
        <v>255</v>
      </c>
      <c r="E52">
        <v>16775416</v>
      </c>
      <c r="F52" s="4" t="s">
        <v>219</v>
      </c>
    </row>
    <row r="53" spans="1:6" ht="15" customHeight="1" x14ac:dyDescent="0.25">
      <c r="A53" t="s">
        <v>408</v>
      </c>
      <c r="B53">
        <v>255</v>
      </c>
      <c r="C53">
        <v>215</v>
      </c>
      <c r="D53">
        <v>0</v>
      </c>
      <c r="E53">
        <v>55295</v>
      </c>
      <c r="F53" s="4" t="s">
        <v>220</v>
      </c>
    </row>
    <row r="54" spans="1:6" ht="15" customHeight="1" x14ac:dyDescent="0.25">
      <c r="A54" t="s">
        <v>499</v>
      </c>
      <c r="B54">
        <v>218</v>
      </c>
      <c r="C54">
        <v>165</v>
      </c>
      <c r="D54">
        <v>32</v>
      </c>
      <c r="E54">
        <v>2139610</v>
      </c>
      <c r="F54" s="4" t="s">
        <v>221</v>
      </c>
    </row>
    <row r="55" spans="1:6" ht="15" customHeight="1" x14ac:dyDescent="0.25">
      <c r="A55" t="s">
        <v>409</v>
      </c>
      <c r="B55">
        <v>128</v>
      </c>
      <c r="C55">
        <v>128</v>
      </c>
      <c r="D55">
        <v>128</v>
      </c>
      <c r="E55">
        <v>8421504</v>
      </c>
      <c r="F55" s="4" t="s">
        <v>299</v>
      </c>
    </row>
    <row r="56" spans="1:6" ht="15" customHeight="1" x14ac:dyDescent="0.25">
      <c r="A56" t="s">
        <v>529</v>
      </c>
      <c r="B56" s="6">
        <v>229</v>
      </c>
      <c r="C56" s="6">
        <v>229</v>
      </c>
      <c r="D56" s="6">
        <v>229</v>
      </c>
      <c r="E56">
        <v>15066597</v>
      </c>
      <c r="F56" s="4" t="s">
        <v>345</v>
      </c>
    </row>
    <row r="57" spans="1:6" ht="15" customHeight="1" x14ac:dyDescent="0.25">
      <c r="A57" t="s">
        <v>530</v>
      </c>
      <c r="B57" s="6">
        <v>204</v>
      </c>
      <c r="C57" s="6">
        <v>204</v>
      </c>
      <c r="D57" s="6">
        <v>204</v>
      </c>
      <c r="E57">
        <v>13421772</v>
      </c>
      <c r="F57" s="4" t="s">
        <v>344</v>
      </c>
    </row>
    <row r="58" spans="1:6" ht="15" customHeight="1" x14ac:dyDescent="0.25">
      <c r="A58" t="s">
        <v>522</v>
      </c>
      <c r="B58" s="6">
        <v>179</v>
      </c>
      <c r="C58" s="6">
        <v>179</v>
      </c>
      <c r="D58" s="6">
        <v>179</v>
      </c>
      <c r="E58">
        <v>11776947</v>
      </c>
      <c r="F58" s="4" t="s">
        <v>355</v>
      </c>
    </row>
    <row r="59" spans="1:6" ht="15" customHeight="1" x14ac:dyDescent="0.25">
      <c r="A59" t="s">
        <v>523</v>
      </c>
      <c r="B59" s="6">
        <v>153</v>
      </c>
      <c r="C59" s="6">
        <v>153</v>
      </c>
      <c r="D59" s="6">
        <v>153</v>
      </c>
      <c r="E59">
        <v>10066329</v>
      </c>
      <c r="F59" s="4" t="s">
        <v>343</v>
      </c>
    </row>
    <row r="60" spans="1:6" ht="15" customHeight="1" x14ac:dyDescent="0.25">
      <c r="A60" t="s">
        <v>524</v>
      </c>
      <c r="B60">
        <v>128</v>
      </c>
      <c r="C60">
        <v>128</v>
      </c>
      <c r="D60">
        <v>128</v>
      </c>
      <c r="E60">
        <v>8421504</v>
      </c>
      <c r="F60" s="4" t="s">
        <v>299</v>
      </c>
    </row>
    <row r="61" spans="1:6" ht="15" customHeight="1" x14ac:dyDescent="0.25">
      <c r="A61" t="s">
        <v>525</v>
      </c>
      <c r="B61" s="6">
        <v>102</v>
      </c>
      <c r="C61" s="6">
        <v>102</v>
      </c>
      <c r="D61" s="6">
        <v>102</v>
      </c>
      <c r="E61">
        <v>6710886</v>
      </c>
      <c r="F61" s="4" t="s">
        <v>342</v>
      </c>
    </row>
    <row r="62" spans="1:6" ht="15" customHeight="1" x14ac:dyDescent="0.25">
      <c r="A62" t="s">
        <v>526</v>
      </c>
      <c r="B62">
        <v>76</v>
      </c>
      <c r="C62">
        <v>76</v>
      </c>
      <c r="D62">
        <v>76</v>
      </c>
      <c r="E62">
        <v>5000268</v>
      </c>
      <c r="F62" s="4" t="s">
        <v>356</v>
      </c>
    </row>
    <row r="63" spans="1:6" ht="15" customHeight="1" x14ac:dyDescent="0.25">
      <c r="A63" t="s">
        <v>527</v>
      </c>
      <c r="B63" s="6">
        <v>51</v>
      </c>
      <c r="C63" s="6">
        <v>51</v>
      </c>
      <c r="D63" s="6">
        <v>51</v>
      </c>
      <c r="E63">
        <v>3355443</v>
      </c>
      <c r="F63" s="4" t="s">
        <v>341</v>
      </c>
    </row>
    <row r="64" spans="1:6" ht="15" customHeight="1" x14ac:dyDescent="0.25">
      <c r="A64" t="s">
        <v>528</v>
      </c>
      <c r="B64">
        <v>26</v>
      </c>
      <c r="C64">
        <v>26</v>
      </c>
      <c r="D64">
        <v>26</v>
      </c>
      <c r="E64">
        <v>1710618</v>
      </c>
      <c r="F64" s="4" t="s">
        <v>357</v>
      </c>
    </row>
    <row r="65" spans="1:6" ht="15" customHeight="1" x14ac:dyDescent="0.25">
      <c r="A65" t="s">
        <v>410</v>
      </c>
      <c r="B65">
        <v>0</v>
      </c>
      <c r="C65">
        <v>128</v>
      </c>
      <c r="D65">
        <v>0</v>
      </c>
      <c r="E65">
        <v>32768</v>
      </c>
      <c r="F65" s="4" t="s">
        <v>295</v>
      </c>
    </row>
    <row r="66" spans="1:6" ht="15" customHeight="1" x14ac:dyDescent="0.25">
      <c r="A66" t="s">
        <v>411</v>
      </c>
      <c r="B66">
        <v>173</v>
      </c>
      <c r="C66">
        <v>255</v>
      </c>
      <c r="D66">
        <v>47</v>
      </c>
      <c r="E66">
        <v>3145645</v>
      </c>
      <c r="F66" s="4" t="s">
        <v>222</v>
      </c>
    </row>
    <row r="67" spans="1:6" ht="15" customHeight="1" x14ac:dyDescent="0.25">
      <c r="A67" t="s">
        <v>521</v>
      </c>
      <c r="B67">
        <v>128</v>
      </c>
      <c r="C67">
        <v>128</v>
      </c>
      <c r="D67">
        <v>128</v>
      </c>
      <c r="E67">
        <v>8421504</v>
      </c>
      <c r="F67" s="4" t="s">
        <v>299</v>
      </c>
    </row>
    <row r="68" spans="1:6" ht="15" customHeight="1" x14ac:dyDescent="0.25">
      <c r="A68" t="s">
        <v>346</v>
      </c>
      <c r="B68" s="6">
        <v>229</v>
      </c>
      <c r="C68" s="6">
        <v>229</v>
      </c>
      <c r="D68" s="6">
        <v>229</v>
      </c>
      <c r="E68">
        <v>15066597</v>
      </c>
      <c r="F68" s="4" t="s">
        <v>345</v>
      </c>
    </row>
    <row r="69" spans="1:6" ht="15" customHeight="1" x14ac:dyDescent="0.25">
      <c r="A69" t="s">
        <v>347</v>
      </c>
      <c r="B69" s="6">
        <v>204</v>
      </c>
      <c r="C69" s="6">
        <v>204</v>
      </c>
      <c r="D69" s="6">
        <v>204</v>
      </c>
      <c r="E69">
        <v>13421772</v>
      </c>
      <c r="F69" s="4" t="s">
        <v>344</v>
      </c>
    </row>
    <row r="70" spans="1:6" ht="15" customHeight="1" x14ac:dyDescent="0.25">
      <c r="A70" t="s">
        <v>352</v>
      </c>
      <c r="B70" s="6">
        <v>179</v>
      </c>
      <c r="C70" s="6">
        <v>179</v>
      </c>
      <c r="D70" s="6">
        <v>179</v>
      </c>
      <c r="E70">
        <v>11776947</v>
      </c>
      <c r="F70" s="4" t="s">
        <v>355</v>
      </c>
    </row>
    <row r="71" spans="1:6" ht="15" customHeight="1" x14ac:dyDescent="0.25">
      <c r="A71" t="s">
        <v>348</v>
      </c>
      <c r="B71" s="6">
        <v>153</v>
      </c>
      <c r="C71" s="6">
        <v>153</v>
      </c>
      <c r="D71" s="6">
        <v>153</v>
      </c>
      <c r="E71">
        <v>10066329</v>
      </c>
      <c r="F71" s="4" t="s">
        <v>343</v>
      </c>
    </row>
    <row r="72" spans="1:6" ht="15" customHeight="1" x14ac:dyDescent="0.25">
      <c r="A72" t="s">
        <v>351</v>
      </c>
      <c r="B72">
        <v>128</v>
      </c>
      <c r="C72">
        <v>128</v>
      </c>
      <c r="D72">
        <v>128</v>
      </c>
      <c r="E72">
        <v>8421504</v>
      </c>
      <c r="F72" s="4" t="s">
        <v>299</v>
      </c>
    </row>
    <row r="73" spans="1:6" ht="15" customHeight="1" x14ac:dyDescent="0.25">
      <c r="A73" t="s">
        <v>349</v>
      </c>
      <c r="B73" s="6">
        <v>102</v>
      </c>
      <c r="C73" s="6">
        <v>102</v>
      </c>
      <c r="D73" s="6">
        <v>102</v>
      </c>
      <c r="E73">
        <v>6710886</v>
      </c>
      <c r="F73" s="4" t="s">
        <v>342</v>
      </c>
    </row>
    <row r="74" spans="1:6" ht="15" customHeight="1" x14ac:dyDescent="0.25">
      <c r="A74" t="s">
        <v>353</v>
      </c>
      <c r="B74">
        <v>76</v>
      </c>
      <c r="C74">
        <v>76</v>
      </c>
      <c r="D74">
        <v>76</v>
      </c>
      <c r="E74">
        <v>5000268</v>
      </c>
      <c r="F74" s="4" t="s">
        <v>356</v>
      </c>
    </row>
    <row r="75" spans="1:6" ht="15" customHeight="1" x14ac:dyDescent="0.25">
      <c r="A75" t="s">
        <v>350</v>
      </c>
      <c r="B75" s="6">
        <v>51</v>
      </c>
      <c r="C75" s="6">
        <v>51</v>
      </c>
      <c r="D75" s="6">
        <v>51</v>
      </c>
      <c r="E75">
        <v>3355443</v>
      </c>
      <c r="F75" s="4" t="s">
        <v>341</v>
      </c>
    </row>
    <row r="76" spans="1:6" ht="15" customHeight="1" x14ac:dyDescent="0.25">
      <c r="A76" t="s">
        <v>354</v>
      </c>
      <c r="B76">
        <v>26</v>
      </c>
      <c r="C76">
        <v>26</v>
      </c>
      <c r="D76">
        <v>26</v>
      </c>
      <c r="E76">
        <v>1710618</v>
      </c>
      <c r="F76" s="4" t="s">
        <v>357</v>
      </c>
    </row>
    <row r="77" spans="1:6" ht="15" customHeight="1" x14ac:dyDescent="0.25">
      <c r="A77" t="s">
        <v>501</v>
      </c>
      <c r="B77">
        <v>240</v>
      </c>
      <c r="C77">
        <v>255</v>
      </c>
      <c r="D77">
        <v>240</v>
      </c>
      <c r="E77">
        <v>15794160</v>
      </c>
      <c r="F77" s="4" t="s">
        <v>223</v>
      </c>
    </row>
    <row r="78" spans="1:6" ht="15" customHeight="1" x14ac:dyDescent="0.25">
      <c r="A78" t="s">
        <v>412</v>
      </c>
      <c r="B78">
        <v>255</v>
      </c>
      <c r="C78">
        <v>105</v>
      </c>
      <c r="D78">
        <v>180</v>
      </c>
      <c r="E78">
        <v>11823615</v>
      </c>
      <c r="F78" s="4" t="s">
        <v>224</v>
      </c>
    </row>
    <row r="79" spans="1:6" ht="15" customHeight="1" x14ac:dyDescent="0.25">
      <c r="A79" t="s">
        <v>413</v>
      </c>
      <c r="B79">
        <v>205</v>
      </c>
      <c r="C79">
        <v>92</v>
      </c>
      <c r="D79">
        <v>92</v>
      </c>
      <c r="E79">
        <v>6053069</v>
      </c>
      <c r="F79" s="4" t="s">
        <v>225</v>
      </c>
    </row>
    <row r="80" spans="1:6" ht="15" customHeight="1" x14ac:dyDescent="0.25">
      <c r="A80" t="s">
        <v>414</v>
      </c>
      <c r="B80">
        <v>75</v>
      </c>
      <c r="C80">
        <v>0</v>
      </c>
      <c r="D80">
        <v>130</v>
      </c>
      <c r="E80">
        <v>8519755</v>
      </c>
      <c r="F80" s="4" t="s">
        <v>226</v>
      </c>
    </row>
    <row r="81" spans="1:6" ht="15" customHeight="1" x14ac:dyDescent="0.25">
      <c r="A81" t="s">
        <v>415</v>
      </c>
      <c r="B81">
        <v>255</v>
      </c>
      <c r="C81">
        <v>255</v>
      </c>
      <c r="D81">
        <v>240</v>
      </c>
      <c r="E81">
        <v>15794175</v>
      </c>
      <c r="F81" s="4" t="s">
        <v>227</v>
      </c>
    </row>
    <row r="82" spans="1:6" ht="15" customHeight="1" x14ac:dyDescent="0.25">
      <c r="A82" t="s">
        <v>416</v>
      </c>
      <c r="B82">
        <v>240</v>
      </c>
      <c r="C82">
        <v>230</v>
      </c>
      <c r="D82">
        <v>140</v>
      </c>
      <c r="E82">
        <v>9234160</v>
      </c>
      <c r="F82" s="4" t="s">
        <v>228</v>
      </c>
    </row>
    <row r="83" spans="1:6" ht="15" customHeight="1" x14ac:dyDescent="0.25">
      <c r="A83" t="s">
        <v>417</v>
      </c>
      <c r="B83">
        <v>230</v>
      </c>
      <c r="C83">
        <v>230</v>
      </c>
      <c r="D83">
        <v>250</v>
      </c>
      <c r="E83">
        <v>16443110</v>
      </c>
      <c r="F83" s="4" t="s">
        <v>514</v>
      </c>
    </row>
    <row r="84" spans="1:6" ht="15" customHeight="1" x14ac:dyDescent="0.25">
      <c r="A84" t="s">
        <v>418</v>
      </c>
      <c r="B84">
        <v>255</v>
      </c>
      <c r="C84">
        <v>240</v>
      </c>
      <c r="D84">
        <v>245</v>
      </c>
      <c r="E84">
        <v>16118015</v>
      </c>
      <c r="F84" s="4" t="s">
        <v>229</v>
      </c>
    </row>
    <row r="85" spans="1:6" ht="15" customHeight="1" x14ac:dyDescent="0.25">
      <c r="A85" t="s">
        <v>419</v>
      </c>
      <c r="B85">
        <v>124</v>
      </c>
      <c r="C85">
        <v>252</v>
      </c>
      <c r="D85">
        <v>0</v>
      </c>
      <c r="E85">
        <v>64636</v>
      </c>
      <c r="F85" s="4" t="s">
        <v>230</v>
      </c>
    </row>
    <row r="86" spans="1:6" ht="15" customHeight="1" x14ac:dyDescent="0.25">
      <c r="A86" t="s">
        <v>420</v>
      </c>
      <c r="B86">
        <v>255</v>
      </c>
      <c r="C86">
        <v>250</v>
      </c>
      <c r="D86">
        <v>205</v>
      </c>
      <c r="E86">
        <v>13499135</v>
      </c>
      <c r="F86" s="4" t="s">
        <v>231</v>
      </c>
    </row>
    <row r="87" spans="1:6" ht="15" customHeight="1" x14ac:dyDescent="0.25">
      <c r="A87" t="s">
        <v>421</v>
      </c>
      <c r="B87">
        <v>173</v>
      </c>
      <c r="C87">
        <v>216</v>
      </c>
      <c r="D87">
        <v>230</v>
      </c>
      <c r="E87">
        <v>15128749</v>
      </c>
      <c r="F87" s="4" t="s">
        <v>519</v>
      </c>
    </row>
    <row r="88" spans="1:6" ht="15" customHeight="1" x14ac:dyDescent="0.25">
      <c r="A88" t="s">
        <v>422</v>
      </c>
      <c r="B88">
        <v>240</v>
      </c>
      <c r="C88">
        <v>128</v>
      </c>
      <c r="D88">
        <v>128</v>
      </c>
      <c r="E88">
        <v>8421616</v>
      </c>
      <c r="F88" s="4" t="s">
        <v>232</v>
      </c>
    </row>
    <row r="89" spans="1:6" ht="15" customHeight="1" x14ac:dyDescent="0.25">
      <c r="A89" t="s">
        <v>423</v>
      </c>
      <c r="B89">
        <v>224</v>
      </c>
      <c r="C89">
        <v>255</v>
      </c>
      <c r="D89">
        <v>255</v>
      </c>
      <c r="E89">
        <v>16777184</v>
      </c>
      <c r="F89" s="4" t="s">
        <v>233</v>
      </c>
    </row>
    <row r="90" spans="1:6" ht="15" customHeight="1" x14ac:dyDescent="0.25">
      <c r="A90" t="s">
        <v>495</v>
      </c>
      <c r="B90">
        <v>250</v>
      </c>
      <c r="C90">
        <v>250</v>
      </c>
      <c r="D90">
        <v>210</v>
      </c>
      <c r="E90">
        <v>13826810</v>
      </c>
      <c r="F90" s="4" t="s">
        <v>234</v>
      </c>
    </row>
    <row r="91" spans="1:6" ht="15" customHeight="1" x14ac:dyDescent="0.25">
      <c r="A91" t="s">
        <v>424</v>
      </c>
      <c r="B91">
        <v>211</v>
      </c>
      <c r="C91">
        <v>211</v>
      </c>
      <c r="D91">
        <v>211</v>
      </c>
      <c r="E91">
        <v>13882323</v>
      </c>
      <c r="F91" s="4" t="s">
        <v>235</v>
      </c>
    </row>
    <row r="92" spans="1:6" ht="15" customHeight="1" x14ac:dyDescent="0.25">
      <c r="A92" t="s">
        <v>425</v>
      </c>
      <c r="B92">
        <v>144</v>
      </c>
      <c r="C92">
        <v>238</v>
      </c>
      <c r="D92">
        <v>144</v>
      </c>
      <c r="E92">
        <v>9498256</v>
      </c>
      <c r="F92" s="4" t="s">
        <v>236</v>
      </c>
    </row>
    <row r="93" spans="1:6" ht="15" customHeight="1" x14ac:dyDescent="0.25">
      <c r="A93" t="s">
        <v>426</v>
      </c>
      <c r="B93">
        <v>211</v>
      </c>
      <c r="C93">
        <v>211</v>
      </c>
      <c r="D93">
        <v>211</v>
      </c>
      <c r="E93">
        <v>13882323</v>
      </c>
      <c r="F93" s="4" t="s">
        <v>235</v>
      </c>
    </row>
    <row r="94" spans="1:6" ht="15" customHeight="1" x14ac:dyDescent="0.25">
      <c r="A94" t="s">
        <v>427</v>
      </c>
      <c r="B94">
        <v>255</v>
      </c>
      <c r="C94">
        <v>182</v>
      </c>
      <c r="D94">
        <v>193</v>
      </c>
      <c r="E94">
        <v>12695295</v>
      </c>
      <c r="F94" s="4" t="s">
        <v>237</v>
      </c>
    </row>
    <row r="95" spans="1:6" ht="15" customHeight="1" x14ac:dyDescent="0.25">
      <c r="A95" t="s">
        <v>428</v>
      </c>
      <c r="B95">
        <v>255</v>
      </c>
      <c r="C95">
        <v>160</v>
      </c>
      <c r="D95">
        <v>122</v>
      </c>
      <c r="E95">
        <v>8036607</v>
      </c>
      <c r="F95" s="4" t="s">
        <v>238</v>
      </c>
    </row>
    <row r="96" spans="1:6" ht="15" customHeight="1" x14ac:dyDescent="0.25">
      <c r="A96" t="s">
        <v>428</v>
      </c>
      <c r="B96">
        <v>255</v>
      </c>
      <c r="C96">
        <v>160</v>
      </c>
      <c r="D96">
        <v>122</v>
      </c>
      <c r="E96">
        <v>8036607</v>
      </c>
      <c r="F96" s="4" t="s">
        <v>238</v>
      </c>
    </row>
    <row r="97" spans="1:6" ht="15" customHeight="1" x14ac:dyDescent="0.25">
      <c r="A97" t="s">
        <v>429</v>
      </c>
      <c r="B97">
        <v>32</v>
      </c>
      <c r="C97">
        <v>178</v>
      </c>
      <c r="D97">
        <v>170</v>
      </c>
      <c r="E97">
        <v>11186720</v>
      </c>
      <c r="F97" s="4" t="s">
        <v>239</v>
      </c>
    </row>
    <row r="98" spans="1:6" ht="15" customHeight="1" x14ac:dyDescent="0.25">
      <c r="A98" t="s">
        <v>430</v>
      </c>
      <c r="B98">
        <v>135</v>
      </c>
      <c r="C98">
        <v>206</v>
      </c>
      <c r="D98">
        <v>250</v>
      </c>
      <c r="E98">
        <v>16436871</v>
      </c>
      <c r="F98" s="4" t="s">
        <v>240</v>
      </c>
    </row>
    <row r="99" spans="1:6" ht="15" customHeight="1" x14ac:dyDescent="0.25">
      <c r="A99" t="s">
        <v>431</v>
      </c>
      <c r="B99">
        <v>119</v>
      </c>
      <c r="C99">
        <v>136</v>
      </c>
      <c r="D99">
        <v>153</v>
      </c>
      <c r="E99">
        <v>10061943</v>
      </c>
      <c r="F99" s="4" t="s">
        <v>300</v>
      </c>
    </row>
    <row r="100" spans="1:6" ht="15" customHeight="1" x14ac:dyDescent="0.25">
      <c r="A100" t="s">
        <v>432</v>
      </c>
      <c r="B100">
        <v>119</v>
      </c>
      <c r="C100">
        <v>136</v>
      </c>
      <c r="D100">
        <v>153</v>
      </c>
      <c r="E100">
        <v>10061943</v>
      </c>
      <c r="F100" s="4" t="s">
        <v>300</v>
      </c>
    </row>
    <row r="101" spans="1:6" ht="15" customHeight="1" x14ac:dyDescent="0.25">
      <c r="A101" t="s">
        <v>433</v>
      </c>
      <c r="B101">
        <v>176</v>
      </c>
      <c r="C101">
        <v>196</v>
      </c>
      <c r="D101">
        <v>222</v>
      </c>
      <c r="E101">
        <v>14599344</v>
      </c>
      <c r="F101" s="4" t="s">
        <v>241</v>
      </c>
    </row>
    <row r="102" spans="1:6" ht="15" customHeight="1" x14ac:dyDescent="0.25">
      <c r="A102" t="s">
        <v>434</v>
      </c>
      <c r="B102">
        <v>255</v>
      </c>
      <c r="C102">
        <v>255</v>
      </c>
      <c r="D102">
        <v>224</v>
      </c>
      <c r="E102">
        <v>14745599</v>
      </c>
      <c r="F102" s="4" t="s">
        <v>242</v>
      </c>
    </row>
    <row r="103" spans="1:6" ht="15" customHeight="1" x14ac:dyDescent="0.25">
      <c r="A103" t="s">
        <v>435</v>
      </c>
      <c r="B103">
        <v>0</v>
      </c>
      <c r="C103">
        <v>255</v>
      </c>
      <c r="D103">
        <v>0</v>
      </c>
      <c r="E103">
        <v>65280</v>
      </c>
      <c r="F103" s="4" t="s">
        <v>196</v>
      </c>
    </row>
    <row r="104" spans="1:6" ht="15" customHeight="1" x14ac:dyDescent="0.25">
      <c r="A104" t="s">
        <v>436</v>
      </c>
      <c r="B104">
        <v>50</v>
      </c>
      <c r="C104">
        <v>205</v>
      </c>
      <c r="D104">
        <v>50</v>
      </c>
      <c r="E104">
        <v>3329330</v>
      </c>
      <c r="F104" s="4" t="s">
        <v>243</v>
      </c>
    </row>
    <row r="105" spans="1:6" ht="15" customHeight="1" x14ac:dyDescent="0.25">
      <c r="A105" t="s">
        <v>437</v>
      </c>
      <c r="B105">
        <v>250</v>
      </c>
      <c r="C105">
        <v>240</v>
      </c>
      <c r="D105">
        <v>230</v>
      </c>
      <c r="E105">
        <v>15134970</v>
      </c>
      <c r="F105" s="4" t="s">
        <v>244</v>
      </c>
    </row>
    <row r="106" spans="1:6" ht="15" customHeight="1" x14ac:dyDescent="0.25">
      <c r="A106" t="s">
        <v>438</v>
      </c>
      <c r="B106">
        <v>255</v>
      </c>
      <c r="C106">
        <v>0</v>
      </c>
      <c r="D106">
        <v>255</v>
      </c>
      <c r="E106">
        <v>16711935</v>
      </c>
      <c r="F106" s="4" t="s">
        <v>197</v>
      </c>
    </row>
    <row r="107" spans="1:6" ht="15" customHeight="1" x14ac:dyDescent="0.25">
      <c r="A107" t="s">
        <v>439</v>
      </c>
      <c r="B107">
        <v>128</v>
      </c>
      <c r="C107">
        <v>0</v>
      </c>
      <c r="D107">
        <v>0</v>
      </c>
      <c r="E107">
        <v>128</v>
      </c>
      <c r="F107" s="4" t="s">
        <v>301</v>
      </c>
    </row>
    <row r="108" spans="1:6" ht="15" customHeight="1" x14ac:dyDescent="0.25">
      <c r="A108" t="s">
        <v>498</v>
      </c>
      <c r="B108">
        <v>102</v>
      </c>
      <c r="C108">
        <v>205</v>
      </c>
      <c r="D108">
        <v>170</v>
      </c>
      <c r="E108">
        <v>11193702</v>
      </c>
      <c r="F108" s="4" t="s">
        <v>245</v>
      </c>
    </row>
    <row r="109" spans="1:6" ht="15" customHeight="1" x14ac:dyDescent="0.25">
      <c r="A109" t="s">
        <v>440</v>
      </c>
      <c r="B109">
        <v>0</v>
      </c>
      <c r="C109">
        <v>0</v>
      </c>
      <c r="D109">
        <v>205</v>
      </c>
      <c r="E109">
        <v>13434880</v>
      </c>
      <c r="F109" s="4" t="s">
        <v>246</v>
      </c>
    </row>
    <row r="110" spans="1:6" ht="15" customHeight="1" x14ac:dyDescent="0.25">
      <c r="A110" t="s">
        <v>441</v>
      </c>
      <c r="B110">
        <v>186</v>
      </c>
      <c r="C110">
        <v>85</v>
      </c>
      <c r="D110">
        <v>211</v>
      </c>
      <c r="E110">
        <v>13850042</v>
      </c>
      <c r="F110" s="4" t="s">
        <v>247</v>
      </c>
    </row>
    <row r="111" spans="1:6" ht="15" customHeight="1" x14ac:dyDescent="0.25">
      <c r="A111" t="s">
        <v>442</v>
      </c>
      <c r="B111">
        <v>147</v>
      </c>
      <c r="C111">
        <v>112</v>
      </c>
      <c r="D111">
        <v>219</v>
      </c>
      <c r="E111">
        <v>14381203</v>
      </c>
      <c r="F111" s="4" t="s">
        <v>516</v>
      </c>
    </row>
    <row r="112" spans="1:6" ht="15" customHeight="1" x14ac:dyDescent="0.25">
      <c r="A112" t="s">
        <v>443</v>
      </c>
      <c r="B112">
        <v>60</v>
      </c>
      <c r="C112">
        <v>179</v>
      </c>
      <c r="D112">
        <v>113</v>
      </c>
      <c r="E112">
        <v>7451452</v>
      </c>
      <c r="F112" s="4" t="s">
        <v>248</v>
      </c>
    </row>
    <row r="113" spans="1:6" ht="15" customHeight="1" x14ac:dyDescent="0.25">
      <c r="A113" t="s">
        <v>444</v>
      </c>
      <c r="B113">
        <v>123</v>
      </c>
      <c r="C113">
        <v>104</v>
      </c>
      <c r="D113">
        <v>238</v>
      </c>
      <c r="E113">
        <v>15624315</v>
      </c>
      <c r="F113" s="4" t="s">
        <v>249</v>
      </c>
    </row>
    <row r="114" spans="1:6" ht="15" customHeight="1" x14ac:dyDescent="0.25">
      <c r="A114" t="s">
        <v>445</v>
      </c>
      <c r="B114">
        <v>0</v>
      </c>
      <c r="C114">
        <v>250</v>
      </c>
      <c r="D114">
        <v>154</v>
      </c>
      <c r="E114">
        <v>10156544</v>
      </c>
      <c r="F114" s="4" t="s">
        <v>250</v>
      </c>
    </row>
    <row r="115" spans="1:6" ht="15" customHeight="1" x14ac:dyDescent="0.25">
      <c r="A115" t="s">
        <v>446</v>
      </c>
      <c r="B115">
        <v>72</v>
      </c>
      <c r="C115">
        <v>209</v>
      </c>
      <c r="D115">
        <v>204</v>
      </c>
      <c r="E115">
        <v>13422920</v>
      </c>
      <c r="F115" s="4" t="s">
        <v>251</v>
      </c>
    </row>
    <row r="116" spans="1:6" ht="15" customHeight="1" x14ac:dyDescent="0.25">
      <c r="A116" t="s">
        <v>447</v>
      </c>
      <c r="B116">
        <v>199</v>
      </c>
      <c r="C116">
        <v>21</v>
      </c>
      <c r="D116">
        <v>133</v>
      </c>
      <c r="E116">
        <v>8721863</v>
      </c>
      <c r="F116" s="4" t="s">
        <v>252</v>
      </c>
    </row>
    <row r="117" spans="1:6" ht="15" customHeight="1" x14ac:dyDescent="0.25">
      <c r="A117" t="s">
        <v>448</v>
      </c>
      <c r="B117">
        <v>25</v>
      </c>
      <c r="C117">
        <v>25</v>
      </c>
      <c r="D117">
        <v>112</v>
      </c>
      <c r="E117">
        <v>7346457</v>
      </c>
      <c r="F117" s="4" t="s">
        <v>302</v>
      </c>
    </row>
    <row r="118" spans="1:6" ht="15" customHeight="1" x14ac:dyDescent="0.25">
      <c r="A118" t="s">
        <v>449</v>
      </c>
      <c r="B118">
        <v>245</v>
      </c>
      <c r="C118">
        <v>255</v>
      </c>
      <c r="D118">
        <v>250</v>
      </c>
      <c r="E118">
        <v>16449525</v>
      </c>
      <c r="F118" s="4" t="s">
        <v>253</v>
      </c>
    </row>
    <row r="119" spans="1:6" ht="15" customHeight="1" x14ac:dyDescent="0.25">
      <c r="A119" t="s">
        <v>450</v>
      </c>
      <c r="B119">
        <v>255</v>
      </c>
      <c r="C119">
        <v>228</v>
      </c>
      <c r="D119">
        <v>225</v>
      </c>
      <c r="E119">
        <v>14804223</v>
      </c>
      <c r="F119" s="4" t="s">
        <v>254</v>
      </c>
    </row>
    <row r="120" spans="1:6" ht="15" customHeight="1" x14ac:dyDescent="0.25">
      <c r="A120" t="s">
        <v>451</v>
      </c>
      <c r="B120">
        <v>255</v>
      </c>
      <c r="C120">
        <v>228</v>
      </c>
      <c r="D120">
        <v>181</v>
      </c>
      <c r="E120">
        <v>11920639</v>
      </c>
      <c r="F120" s="4" t="s">
        <v>255</v>
      </c>
    </row>
    <row r="121" spans="1:6" ht="15" customHeight="1" x14ac:dyDescent="0.25">
      <c r="A121" t="s">
        <v>452</v>
      </c>
      <c r="B121">
        <v>255</v>
      </c>
      <c r="C121">
        <v>222</v>
      </c>
      <c r="D121">
        <v>173</v>
      </c>
      <c r="E121">
        <v>11394815</v>
      </c>
      <c r="F121" s="4" t="s">
        <v>256</v>
      </c>
    </row>
    <row r="122" spans="1:6" ht="15" customHeight="1" x14ac:dyDescent="0.25">
      <c r="A122" t="s">
        <v>453</v>
      </c>
      <c r="B122">
        <v>0</v>
      </c>
      <c r="C122">
        <v>0</v>
      </c>
      <c r="D122">
        <v>128</v>
      </c>
      <c r="E122">
        <v>8388608</v>
      </c>
      <c r="F122" s="4" t="s">
        <v>296</v>
      </c>
    </row>
    <row r="123" spans="1:6" ht="15" customHeight="1" x14ac:dyDescent="0.25">
      <c r="A123" t="s">
        <v>454</v>
      </c>
      <c r="B123">
        <v>253</v>
      </c>
      <c r="C123">
        <v>245</v>
      </c>
      <c r="D123">
        <v>230</v>
      </c>
      <c r="E123">
        <v>15136253</v>
      </c>
      <c r="F123" s="4" t="s">
        <v>257</v>
      </c>
    </row>
    <row r="124" spans="1:6" ht="15" customHeight="1" x14ac:dyDescent="0.25">
      <c r="A124" t="s">
        <v>455</v>
      </c>
      <c r="B124">
        <v>128</v>
      </c>
      <c r="C124">
        <v>128</v>
      </c>
      <c r="D124">
        <v>0</v>
      </c>
      <c r="E124">
        <v>32896</v>
      </c>
      <c r="F124" s="4" t="s">
        <v>303</v>
      </c>
    </row>
    <row r="125" spans="1:6" ht="15" customHeight="1" x14ac:dyDescent="0.25">
      <c r="A125" t="s">
        <v>456</v>
      </c>
      <c r="B125">
        <v>107</v>
      </c>
      <c r="C125">
        <v>142</v>
      </c>
      <c r="D125">
        <v>35</v>
      </c>
      <c r="E125">
        <v>2330219</v>
      </c>
      <c r="F125" s="4" t="s">
        <v>258</v>
      </c>
    </row>
    <row r="126" spans="1:6" ht="15" customHeight="1" x14ac:dyDescent="0.25">
      <c r="A126" t="s">
        <v>457</v>
      </c>
      <c r="B126">
        <v>255</v>
      </c>
      <c r="C126">
        <v>165</v>
      </c>
      <c r="D126">
        <v>0</v>
      </c>
      <c r="E126">
        <v>42495</v>
      </c>
      <c r="F126" s="4" t="s">
        <v>259</v>
      </c>
    </row>
    <row r="127" spans="1:6" ht="15" customHeight="1" x14ac:dyDescent="0.25">
      <c r="A127" t="s">
        <v>458</v>
      </c>
      <c r="B127">
        <v>255</v>
      </c>
      <c r="C127">
        <v>69</v>
      </c>
      <c r="D127">
        <v>0</v>
      </c>
      <c r="E127">
        <v>17919</v>
      </c>
      <c r="F127" s="4" t="s">
        <v>260</v>
      </c>
    </row>
    <row r="128" spans="1:6" ht="15" customHeight="1" x14ac:dyDescent="0.25">
      <c r="A128" t="s">
        <v>459</v>
      </c>
      <c r="B128">
        <v>218</v>
      </c>
      <c r="C128">
        <v>112</v>
      </c>
      <c r="D128">
        <v>214</v>
      </c>
      <c r="E128">
        <v>14053594</v>
      </c>
      <c r="F128" s="4" t="s">
        <v>261</v>
      </c>
    </row>
    <row r="129" spans="1:6" ht="15" customHeight="1" x14ac:dyDescent="0.25">
      <c r="A129" t="s">
        <v>496</v>
      </c>
      <c r="B129">
        <v>238</v>
      </c>
      <c r="C129">
        <v>232</v>
      </c>
      <c r="D129">
        <v>170</v>
      </c>
      <c r="E129">
        <v>11200750</v>
      </c>
      <c r="F129" s="4" t="s">
        <v>262</v>
      </c>
    </row>
    <row r="130" spans="1:6" ht="15" customHeight="1" x14ac:dyDescent="0.25">
      <c r="A130" t="s">
        <v>359</v>
      </c>
      <c r="B130">
        <v>152</v>
      </c>
      <c r="C130">
        <v>251</v>
      </c>
      <c r="D130">
        <v>152</v>
      </c>
      <c r="E130">
        <v>10025880</v>
      </c>
      <c r="F130" s="4" t="s">
        <v>263</v>
      </c>
    </row>
    <row r="131" spans="1:6" ht="15" customHeight="1" x14ac:dyDescent="0.25">
      <c r="A131" t="s">
        <v>460</v>
      </c>
      <c r="B131">
        <v>175</v>
      </c>
      <c r="C131">
        <v>238</v>
      </c>
      <c r="D131">
        <v>238</v>
      </c>
      <c r="E131">
        <v>15658671</v>
      </c>
      <c r="F131" s="4" t="s">
        <v>264</v>
      </c>
    </row>
    <row r="132" spans="1:6" ht="15" customHeight="1" x14ac:dyDescent="0.25">
      <c r="A132" t="s">
        <v>461</v>
      </c>
      <c r="B132">
        <v>219</v>
      </c>
      <c r="C132">
        <v>112</v>
      </c>
      <c r="D132">
        <v>147</v>
      </c>
      <c r="E132">
        <v>9662683</v>
      </c>
      <c r="F132" s="4" t="s">
        <v>513</v>
      </c>
    </row>
    <row r="133" spans="1:6" ht="15" customHeight="1" x14ac:dyDescent="0.25">
      <c r="A133" t="s">
        <v>462</v>
      </c>
      <c r="B133">
        <v>255</v>
      </c>
      <c r="C133">
        <v>239</v>
      </c>
      <c r="D133">
        <v>213</v>
      </c>
      <c r="E133">
        <v>14020607</v>
      </c>
      <c r="F133" s="4" t="s">
        <v>265</v>
      </c>
    </row>
    <row r="134" spans="1:6" ht="15" customHeight="1" x14ac:dyDescent="0.25">
      <c r="A134" t="s">
        <v>463</v>
      </c>
      <c r="B134">
        <v>255</v>
      </c>
      <c r="C134">
        <v>218</v>
      </c>
      <c r="D134">
        <v>185</v>
      </c>
      <c r="E134">
        <v>12180223</v>
      </c>
      <c r="F134" s="4" t="s">
        <v>266</v>
      </c>
    </row>
    <row r="135" spans="1:6" ht="15" customHeight="1" x14ac:dyDescent="0.25">
      <c r="A135" t="s">
        <v>464</v>
      </c>
      <c r="B135">
        <v>205</v>
      </c>
      <c r="C135">
        <v>133</v>
      </c>
      <c r="D135">
        <v>63</v>
      </c>
      <c r="E135">
        <v>4163021</v>
      </c>
      <c r="F135" s="4" t="s">
        <v>267</v>
      </c>
    </row>
    <row r="136" spans="1:6" ht="15" customHeight="1" x14ac:dyDescent="0.25">
      <c r="A136" t="s">
        <v>465</v>
      </c>
      <c r="B136">
        <v>255</v>
      </c>
      <c r="C136">
        <v>192</v>
      </c>
      <c r="D136">
        <v>203</v>
      </c>
      <c r="E136">
        <v>13353215</v>
      </c>
      <c r="F136" s="4" t="s">
        <v>268</v>
      </c>
    </row>
    <row r="137" spans="1:6" ht="15" customHeight="1" x14ac:dyDescent="0.25">
      <c r="A137" t="s">
        <v>466</v>
      </c>
      <c r="B137">
        <v>221</v>
      </c>
      <c r="C137">
        <v>160</v>
      </c>
      <c r="D137">
        <v>221</v>
      </c>
      <c r="E137">
        <v>14524637</v>
      </c>
      <c r="F137" s="4" t="s">
        <v>515</v>
      </c>
    </row>
    <row r="138" spans="1:6" ht="15" customHeight="1" x14ac:dyDescent="0.25">
      <c r="A138" t="s">
        <v>467</v>
      </c>
      <c r="B138">
        <v>176</v>
      </c>
      <c r="C138">
        <v>224</v>
      </c>
      <c r="D138">
        <v>230</v>
      </c>
      <c r="E138">
        <v>15130800</v>
      </c>
      <c r="F138" s="4" t="s">
        <v>269</v>
      </c>
    </row>
    <row r="139" spans="1:6" ht="15" customHeight="1" x14ac:dyDescent="0.25">
      <c r="A139" t="s">
        <v>468</v>
      </c>
      <c r="B139">
        <v>128</v>
      </c>
      <c r="C139">
        <v>0</v>
      </c>
      <c r="D139">
        <v>128</v>
      </c>
      <c r="E139">
        <v>8388736</v>
      </c>
      <c r="F139" s="4" t="s">
        <v>304</v>
      </c>
    </row>
    <row r="140" spans="1:6" ht="15" customHeight="1" x14ac:dyDescent="0.25">
      <c r="A140" t="s">
        <v>190</v>
      </c>
      <c r="B140">
        <v>255</v>
      </c>
      <c r="C140">
        <v>0</v>
      </c>
      <c r="D140">
        <v>0</v>
      </c>
      <c r="E140">
        <v>255</v>
      </c>
      <c r="F140" s="4" t="s">
        <v>270</v>
      </c>
    </row>
    <row r="141" spans="1:6" ht="15" customHeight="1" x14ac:dyDescent="0.25">
      <c r="A141" t="s">
        <v>469</v>
      </c>
      <c r="B141">
        <v>188</v>
      </c>
      <c r="C141">
        <v>143</v>
      </c>
      <c r="D141">
        <v>143</v>
      </c>
      <c r="E141">
        <v>9408444</v>
      </c>
      <c r="F141" s="4" t="s">
        <v>271</v>
      </c>
    </row>
    <row r="142" spans="1:6" ht="15" customHeight="1" x14ac:dyDescent="0.25">
      <c r="A142" t="s">
        <v>470</v>
      </c>
      <c r="B142">
        <v>65</v>
      </c>
      <c r="C142">
        <v>105</v>
      </c>
      <c r="D142">
        <v>225</v>
      </c>
      <c r="E142">
        <v>14772545</v>
      </c>
      <c r="F142" s="4" t="s">
        <v>518</v>
      </c>
    </row>
    <row r="143" spans="1:6" ht="15" customHeight="1" x14ac:dyDescent="0.25">
      <c r="A143" t="s">
        <v>471</v>
      </c>
      <c r="B143">
        <v>139</v>
      </c>
      <c r="C143">
        <v>69</v>
      </c>
      <c r="D143">
        <v>19</v>
      </c>
      <c r="E143">
        <v>1262987</v>
      </c>
      <c r="F143" s="4" t="s">
        <v>272</v>
      </c>
    </row>
    <row r="144" spans="1:6" ht="15" customHeight="1" x14ac:dyDescent="0.25">
      <c r="A144" t="s">
        <v>472</v>
      </c>
      <c r="B144">
        <v>250</v>
      </c>
      <c r="C144">
        <v>128</v>
      </c>
      <c r="D144">
        <v>114</v>
      </c>
      <c r="E144">
        <v>7504122</v>
      </c>
      <c r="F144" s="4" t="s">
        <v>273</v>
      </c>
    </row>
    <row r="145" spans="1:6" ht="15" customHeight="1" x14ac:dyDescent="0.25">
      <c r="A145" t="s">
        <v>473</v>
      </c>
      <c r="B145">
        <v>244</v>
      </c>
      <c r="C145">
        <v>164</v>
      </c>
      <c r="D145">
        <v>96</v>
      </c>
      <c r="E145">
        <v>6333684</v>
      </c>
      <c r="F145" s="4" t="s">
        <v>274</v>
      </c>
    </row>
    <row r="146" spans="1:6" ht="15" customHeight="1" x14ac:dyDescent="0.25">
      <c r="A146" t="s">
        <v>474</v>
      </c>
      <c r="B146">
        <v>46</v>
      </c>
      <c r="C146">
        <v>139</v>
      </c>
      <c r="D146">
        <v>87</v>
      </c>
      <c r="E146">
        <v>5737262</v>
      </c>
      <c r="F146" s="4" t="s">
        <v>275</v>
      </c>
    </row>
    <row r="147" spans="1:6" ht="15" customHeight="1" x14ac:dyDescent="0.25">
      <c r="A147" t="s">
        <v>502</v>
      </c>
      <c r="B147">
        <v>255</v>
      </c>
      <c r="C147">
        <v>245</v>
      </c>
      <c r="D147">
        <v>238</v>
      </c>
      <c r="E147">
        <v>15660543</v>
      </c>
      <c r="F147" s="4" t="s">
        <v>276</v>
      </c>
    </row>
    <row r="148" spans="1:6" ht="15" customHeight="1" x14ac:dyDescent="0.25">
      <c r="A148" t="s">
        <v>475</v>
      </c>
      <c r="B148">
        <v>160</v>
      </c>
      <c r="C148">
        <v>82</v>
      </c>
      <c r="D148">
        <v>45</v>
      </c>
      <c r="E148">
        <v>2970272</v>
      </c>
      <c r="F148" s="4" t="s">
        <v>277</v>
      </c>
    </row>
    <row r="149" spans="1:6" ht="15" customHeight="1" x14ac:dyDescent="0.25">
      <c r="A149" t="s">
        <v>476</v>
      </c>
      <c r="B149">
        <v>192</v>
      </c>
      <c r="C149">
        <v>192</v>
      </c>
      <c r="D149">
        <v>192</v>
      </c>
      <c r="E149">
        <v>12632256</v>
      </c>
      <c r="F149" s="4" t="s">
        <v>278</v>
      </c>
    </row>
    <row r="150" spans="1:6" ht="15" customHeight="1" x14ac:dyDescent="0.25">
      <c r="A150" t="s">
        <v>477</v>
      </c>
      <c r="B150">
        <v>135</v>
      </c>
      <c r="C150">
        <v>206</v>
      </c>
      <c r="D150">
        <v>235</v>
      </c>
      <c r="E150">
        <v>15453831</v>
      </c>
      <c r="F150" s="4" t="s">
        <v>279</v>
      </c>
    </row>
    <row r="151" spans="1:6" ht="15" customHeight="1" x14ac:dyDescent="0.25">
      <c r="A151" t="s">
        <v>478</v>
      </c>
      <c r="B151">
        <v>106</v>
      </c>
      <c r="C151">
        <v>90</v>
      </c>
      <c r="D151">
        <v>205</v>
      </c>
      <c r="E151">
        <v>13458026</v>
      </c>
      <c r="F151" s="4" t="s">
        <v>280</v>
      </c>
    </row>
    <row r="152" spans="1:6" ht="15" customHeight="1" x14ac:dyDescent="0.25">
      <c r="A152" t="s">
        <v>479</v>
      </c>
      <c r="B152">
        <v>112</v>
      </c>
      <c r="C152">
        <v>128</v>
      </c>
      <c r="D152">
        <v>144</v>
      </c>
      <c r="E152">
        <v>9470064</v>
      </c>
      <c r="F152" s="4" t="s">
        <v>305</v>
      </c>
    </row>
    <row r="153" spans="1:6" ht="15" customHeight="1" x14ac:dyDescent="0.25">
      <c r="A153" t="s">
        <v>480</v>
      </c>
      <c r="B153">
        <v>112</v>
      </c>
      <c r="C153">
        <v>128</v>
      </c>
      <c r="D153">
        <v>144</v>
      </c>
      <c r="E153">
        <v>9470064</v>
      </c>
      <c r="F153" s="4" t="s">
        <v>305</v>
      </c>
    </row>
    <row r="154" spans="1:6" ht="15" customHeight="1" x14ac:dyDescent="0.25">
      <c r="A154" t="s">
        <v>481</v>
      </c>
      <c r="B154">
        <v>255</v>
      </c>
      <c r="C154">
        <v>250</v>
      </c>
      <c r="D154">
        <v>250</v>
      </c>
      <c r="E154">
        <v>16448255</v>
      </c>
      <c r="F154" s="4" t="s">
        <v>281</v>
      </c>
    </row>
    <row r="155" spans="1:6" ht="15" customHeight="1" x14ac:dyDescent="0.25">
      <c r="A155" t="s">
        <v>482</v>
      </c>
      <c r="B155">
        <v>0</v>
      </c>
      <c r="C155">
        <v>255</v>
      </c>
      <c r="D155">
        <v>127</v>
      </c>
      <c r="E155">
        <v>8388352</v>
      </c>
      <c r="F155" s="4" t="s">
        <v>282</v>
      </c>
    </row>
    <row r="156" spans="1:6" ht="15" customHeight="1" x14ac:dyDescent="0.25">
      <c r="A156" t="s">
        <v>483</v>
      </c>
      <c r="B156">
        <v>70</v>
      </c>
      <c r="C156">
        <v>130</v>
      </c>
      <c r="D156">
        <v>180</v>
      </c>
      <c r="E156">
        <v>11829830</v>
      </c>
      <c r="F156" s="4" t="s">
        <v>283</v>
      </c>
    </row>
    <row r="157" spans="1:6" ht="15" customHeight="1" x14ac:dyDescent="0.25">
      <c r="A157" t="s">
        <v>484</v>
      </c>
      <c r="B157">
        <v>210</v>
      </c>
      <c r="C157">
        <v>180</v>
      </c>
      <c r="D157">
        <v>140</v>
      </c>
      <c r="E157">
        <v>9221330</v>
      </c>
      <c r="F157" s="4" t="s">
        <v>284</v>
      </c>
    </row>
    <row r="158" spans="1:6" ht="15" customHeight="1" x14ac:dyDescent="0.25">
      <c r="A158" t="s">
        <v>485</v>
      </c>
      <c r="B158">
        <v>0</v>
      </c>
      <c r="C158">
        <v>128</v>
      </c>
      <c r="D158">
        <v>128</v>
      </c>
      <c r="E158">
        <v>8421376</v>
      </c>
      <c r="F158" s="4" t="s">
        <v>297</v>
      </c>
    </row>
    <row r="159" spans="1:6" ht="15" customHeight="1" x14ac:dyDescent="0.25">
      <c r="A159" t="s">
        <v>486</v>
      </c>
      <c r="B159">
        <v>216</v>
      </c>
      <c r="C159">
        <v>191</v>
      </c>
      <c r="D159">
        <v>216</v>
      </c>
      <c r="E159">
        <v>14204888</v>
      </c>
      <c r="F159" s="4" t="s">
        <v>285</v>
      </c>
    </row>
    <row r="160" spans="1:6" ht="15" customHeight="1" x14ac:dyDescent="0.25">
      <c r="A160" t="s">
        <v>487</v>
      </c>
      <c r="B160">
        <v>255</v>
      </c>
      <c r="C160">
        <v>99</v>
      </c>
      <c r="D160">
        <v>71</v>
      </c>
      <c r="E160">
        <v>4678655</v>
      </c>
      <c r="F160" s="4" t="s">
        <v>286</v>
      </c>
    </row>
    <row r="161" spans="1:6" ht="15" customHeight="1" x14ac:dyDescent="0.25">
      <c r="A161" t="s">
        <v>488</v>
      </c>
      <c r="B161">
        <v>64</v>
      </c>
      <c r="C161">
        <v>224</v>
      </c>
      <c r="D161">
        <v>208</v>
      </c>
      <c r="E161">
        <v>13688896</v>
      </c>
      <c r="F161" s="4" t="s">
        <v>287</v>
      </c>
    </row>
    <row r="162" spans="1:6" ht="15" customHeight="1" x14ac:dyDescent="0.25">
      <c r="A162" t="s">
        <v>489</v>
      </c>
      <c r="B162">
        <v>238</v>
      </c>
      <c r="C162">
        <v>130</v>
      </c>
      <c r="D162">
        <v>238</v>
      </c>
      <c r="E162">
        <v>15631086</v>
      </c>
      <c r="F162" s="4" t="s">
        <v>288</v>
      </c>
    </row>
    <row r="163" spans="1:6" ht="15" customHeight="1" x14ac:dyDescent="0.25">
      <c r="A163" t="s">
        <v>490</v>
      </c>
      <c r="B163">
        <v>245</v>
      </c>
      <c r="C163">
        <v>222</v>
      </c>
      <c r="D163">
        <v>179</v>
      </c>
      <c r="E163">
        <v>11788021</v>
      </c>
      <c r="F163" s="4" t="s">
        <v>289</v>
      </c>
    </row>
    <row r="164" spans="1:6" ht="15" customHeight="1" x14ac:dyDescent="0.25">
      <c r="A164" t="s">
        <v>491</v>
      </c>
      <c r="B164">
        <v>255</v>
      </c>
      <c r="C164">
        <v>255</v>
      </c>
      <c r="D164">
        <v>255</v>
      </c>
      <c r="E164">
        <v>16777215</v>
      </c>
      <c r="F164" s="4" t="s">
        <v>290</v>
      </c>
    </row>
    <row r="165" spans="1:6" ht="15" customHeight="1" x14ac:dyDescent="0.25">
      <c r="A165" t="s">
        <v>492</v>
      </c>
      <c r="B165">
        <v>245</v>
      </c>
      <c r="C165">
        <v>245</v>
      </c>
      <c r="D165">
        <v>245</v>
      </c>
      <c r="E165">
        <v>16119285</v>
      </c>
      <c r="F165" s="4" t="s">
        <v>291</v>
      </c>
    </row>
    <row r="166" spans="1:6" ht="15" customHeight="1" x14ac:dyDescent="0.25">
      <c r="A166" t="s">
        <v>493</v>
      </c>
      <c r="B166">
        <v>255</v>
      </c>
      <c r="C166">
        <v>255</v>
      </c>
      <c r="D166">
        <v>0</v>
      </c>
      <c r="E166">
        <v>65535</v>
      </c>
      <c r="F166" s="4" t="s">
        <v>292</v>
      </c>
    </row>
    <row r="167" spans="1:6" ht="15" customHeight="1" x14ac:dyDescent="0.25">
      <c r="A167" t="s">
        <v>494</v>
      </c>
      <c r="B167">
        <v>154</v>
      </c>
      <c r="C167">
        <v>205</v>
      </c>
      <c r="D167">
        <v>50</v>
      </c>
      <c r="E167">
        <v>3329434</v>
      </c>
      <c r="F167" s="4" t="s">
        <v>293</v>
      </c>
    </row>
    <row r="168" spans="1:6" ht="15" customHeight="1" x14ac:dyDescent="0.25">
      <c r="A168" s="26" t="s">
        <v>717</v>
      </c>
      <c r="B168">
        <v>255</v>
      </c>
      <c r="C168">
        <v>106</v>
      </c>
      <c r="D168">
        <v>175</v>
      </c>
      <c r="E168">
        <f>B168+256*C168+256*256*D168</f>
        <v>11496191</v>
      </c>
      <c r="F168" s="4" t="s">
        <v>719</v>
      </c>
    </row>
    <row r="169" spans="1:6" ht="15" customHeight="1" x14ac:dyDescent="0.25">
      <c r="A169" s="26" t="s">
        <v>720</v>
      </c>
      <c r="B169">
        <v>255</v>
      </c>
      <c r="C169">
        <v>163</v>
      </c>
      <c r="D169">
        <v>205</v>
      </c>
      <c r="E169">
        <f t="shared" ref="E169:E199" si="0">B169+256*C169+256*256*D169</f>
        <v>13476863</v>
      </c>
    </row>
    <row r="170" spans="1:6" ht="15" customHeight="1" x14ac:dyDescent="0.25">
      <c r="A170" t="s">
        <v>465</v>
      </c>
      <c r="B170">
        <v>255</v>
      </c>
      <c r="C170">
        <v>192</v>
      </c>
      <c r="D170">
        <v>203</v>
      </c>
      <c r="E170">
        <f t="shared" si="0"/>
        <v>13353215</v>
      </c>
    </row>
    <row r="171" spans="1:6" ht="15" customHeight="1" x14ac:dyDescent="0.25">
      <c r="A171" t="s">
        <v>788</v>
      </c>
      <c r="B171">
        <v>255</v>
      </c>
      <c r="C171">
        <v>190</v>
      </c>
      <c r="D171">
        <v>0</v>
      </c>
      <c r="E171">
        <f t="shared" si="0"/>
        <v>48895</v>
      </c>
    </row>
    <row r="172" spans="1:6" ht="15" customHeight="1" x14ac:dyDescent="0.25">
      <c r="A172" t="s">
        <v>791</v>
      </c>
      <c r="B172">
        <v>255</v>
      </c>
      <c r="C172">
        <v>0</v>
      </c>
      <c r="D172">
        <v>0</v>
      </c>
      <c r="E172">
        <f t="shared" si="0"/>
        <v>255</v>
      </c>
    </row>
    <row r="173" spans="1:6" ht="15" customHeight="1" x14ac:dyDescent="0.25">
      <c r="A173" t="s">
        <v>792</v>
      </c>
      <c r="B173">
        <v>255</v>
      </c>
      <c r="C173">
        <v>15</v>
      </c>
      <c r="D173">
        <v>0</v>
      </c>
      <c r="E173">
        <f t="shared" si="0"/>
        <v>4095</v>
      </c>
    </row>
    <row r="174" spans="1:6" ht="15" customHeight="1" x14ac:dyDescent="0.25">
      <c r="A174" t="s">
        <v>793</v>
      </c>
      <c r="B174">
        <v>255</v>
      </c>
      <c r="C174">
        <v>40</v>
      </c>
      <c r="D174">
        <v>0</v>
      </c>
      <c r="E174">
        <f t="shared" si="0"/>
        <v>10495</v>
      </c>
    </row>
    <row r="175" spans="1:6" ht="15" customHeight="1" x14ac:dyDescent="0.25">
      <c r="A175" t="s">
        <v>794</v>
      </c>
      <c r="B175">
        <v>255</v>
      </c>
      <c r="C175">
        <v>65</v>
      </c>
      <c r="D175">
        <v>0</v>
      </c>
      <c r="E175">
        <f t="shared" si="0"/>
        <v>16895</v>
      </c>
    </row>
    <row r="176" spans="1:6" ht="15" customHeight="1" x14ac:dyDescent="0.25">
      <c r="A176" t="s">
        <v>795</v>
      </c>
      <c r="B176">
        <v>255</v>
      </c>
      <c r="C176">
        <v>90</v>
      </c>
      <c r="D176">
        <v>0</v>
      </c>
      <c r="E176">
        <f t="shared" si="0"/>
        <v>23295</v>
      </c>
    </row>
    <row r="177" spans="1:6" ht="15" customHeight="1" x14ac:dyDescent="0.25">
      <c r="A177" t="s">
        <v>796</v>
      </c>
      <c r="B177">
        <v>255</v>
      </c>
      <c r="C177">
        <v>115</v>
      </c>
      <c r="D177">
        <v>0</v>
      </c>
      <c r="E177">
        <f t="shared" si="0"/>
        <v>29695</v>
      </c>
    </row>
    <row r="178" spans="1:6" ht="15" customHeight="1" x14ac:dyDescent="0.25">
      <c r="A178" t="s">
        <v>797</v>
      </c>
      <c r="B178">
        <v>255</v>
      </c>
      <c r="C178">
        <v>140</v>
      </c>
      <c r="D178">
        <v>0</v>
      </c>
      <c r="E178">
        <f t="shared" si="0"/>
        <v>36095</v>
      </c>
    </row>
    <row r="179" spans="1:6" ht="15" customHeight="1" x14ac:dyDescent="0.25">
      <c r="A179" t="s">
        <v>798</v>
      </c>
      <c r="B179">
        <v>255</v>
      </c>
      <c r="C179">
        <v>165</v>
      </c>
      <c r="D179">
        <v>0</v>
      </c>
      <c r="E179">
        <f t="shared" si="0"/>
        <v>42495</v>
      </c>
    </row>
    <row r="180" spans="1:6" ht="15" customHeight="1" x14ac:dyDescent="0.25">
      <c r="A180" t="s">
        <v>799</v>
      </c>
      <c r="B180">
        <v>255</v>
      </c>
      <c r="C180">
        <v>190</v>
      </c>
      <c r="D180">
        <v>0</v>
      </c>
      <c r="E180">
        <f t="shared" si="0"/>
        <v>48895</v>
      </c>
    </row>
    <row r="181" spans="1:6" ht="15" customHeight="1" x14ac:dyDescent="0.25">
      <c r="A181" t="s">
        <v>800</v>
      </c>
      <c r="B181">
        <v>255</v>
      </c>
      <c r="C181">
        <v>215</v>
      </c>
      <c r="D181">
        <v>0</v>
      </c>
      <c r="E181">
        <f t="shared" si="0"/>
        <v>55295</v>
      </c>
    </row>
    <row r="182" spans="1:6" ht="15" customHeight="1" x14ac:dyDescent="0.25">
      <c r="A182" t="s">
        <v>801</v>
      </c>
      <c r="B182">
        <v>255</v>
      </c>
      <c r="C182">
        <v>240</v>
      </c>
      <c r="D182">
        <v>0</v>
      </c>
      <c r="E182">
        <f t="shared" si="0"/>
        <v>61695</v>
      </c>
    </row>
    <row r="183" spans="1:6" ht="15" customHeight="1" x14ac:dyDescent="0.25">
      <c r="A183" t="s">
        <v>802</v>
      </c>
      <c r="B183">
        <v>255</v>
      </c>
      <c r="C183">
        <v>255</v>
      </c>
      <c r="D183">
        <v>0</v>
      </c>
      <c r="E183">
        <f t="shared" si="0"/>
        <v>65535</v>
      </c>
    </row>
    <row r="184" spans="1:6" ht="15" customHeight="1" x14ac:dyDescent="0.25">
      <c r="A184" t="s">
        <v>816</v>
      </c>
      <c r="B184">
        <v>0</v>
      </c>
      <c r="C184">
        <v>0</v>
      </c>
      <c r="D184">
        <v>0</v>
      </c>
      <c r="E184">
        <f t="shared" si="0"/>
        <v>0</v>
      </c>
    </row>
    <row r="185" spans="1:6" ht="15" customHeight="1" x14ac:dyDescent="0.25">
      <c r="A185" t="s">
        <v>817</v>
      </c>
      <c r="B185">
        <v>255</v>
      </c>
      <c r="C185">
        <v>0</v>
      </c>
      <c r="D185">
        <v>0</v>
      </c>
      <c r="E185">
        <f t="shared" si="0"/>
        <v>255</v>
      </c>
      <c r="F185" t="s">
        <v>45</v>
      </c>
    </row>
    <row r="186" spans="1:6" ht="15" customHeight="1" x14ac:dyDescent="0.25">
      <c r="A186" t="s">
        <v>818</v>
      </c>
      <c r="B186">
        <v>255</v>
      </c>
      <c r="C186">
        <v>127</v>
      </c>
      <c r="D186">
        <v>0</v>
      </c>
      <c r="E186">
        <f t="shared" si="0"/>
        <v>32767</v>
      </c>
    </row>
    <row r="187" spans="1:6" ht="15" customHeight="1" x14ac:dyDescent="0.25">
      <c r="A187" t="s">
        <v>819</v>
      </c>
      <c r="B187">
        <v>255</v>
      </c>
      <c r="C187">
        <v>255</v>
      </c>
      <c r="D187">
        <v>0</v>
      </c>
      <c r="E187">
        <f t="shared" si="0"/>
        <v>65535</v>
      </c>
      <c r="F187" t="s">
        <v>828</v>
      </c>
    </row>
    <row r="188" spans="1:6" ht="15" customHeight="1" x14ac:dyDescent="0.25">
      <c r="A188" t="s">
        <v>820</v>
      </c>
      <c r="B188">
        <v>127</v>
      </c>
      <c r="C188">
        <v>255</v>
      </c>
      <c r="D188">
        <v>0</v>
      </c>
      <c r="E188">
        <f t="shared" si="0"/>
        <v>65407</v>
      </c>
    </row>
    <row r="189" spans="1:6" ht="15" customHeight="1" x14ac:dyDescent="0.25">
      <c r="A189" t="s">
        <v>821</v>
      </c>
      <c r="B189">
        <v>0</v>
      </c>
      <c r="C189">
        <v>255</v>
      </c>
      <c r="D189">
        <v>0</v>
      </c>
      <c r="E189">
        <f t="shared" si="0"/>
        <v>65280</v>
      </c>
      <c r="F189" t="s">
        <v>46</v>
      </c>
    </row>
    <row r="190" spans="1:6" ht="15" customHeight="1" x14ac:dyDescent="0.25">
      <c r="A190" t="s">
        <v>822</v>
      </c>
      <c r="B190">
        <v>0</v>
      </c>
      <c r="C190">
        <v>127</v>
      </c>
      <c r="D190">
        <v>127</v>
      </c>
      <c r="E190">
        <f t="shared" si="0"/>
        <v>8355584</v>
      </c>
    </row>
    <row r="191" spans="1:6" ht="15" customHeight="1" x14ac:dyDescent="0.25">
      <c r="A191" t="s">
        <v>823</v>
      </c>
      <c r="B191">
        <v>0</v>
      </c>
      <c r="C191">
        <v>255</v>
      </c>
      <c r="D191">
        <v>255</v>
      </c>
      <c r="E191">
        <f t="shared" si="0"/>
        <v>16776960</v>
      </c>
      <c r="F191" t="s">
        <v>829</v>
      </c>
    </row>
    <row r="192" spans="1:6" ht="15" customHeight="1" x14ac:dyDescent="0.25">
      <c r="A192" t="s">
        <v>824</v>
      </c>
      <c r="B192">
        <v>0</v>
      </c>
      <c r="C192">
        <v>127</v>
      </c>
      <c r="D192">
        <v>255</v>
      </c>
      <c r="E192">
        <f t="shared" si="0"/>
        <v>16744192</v>
      </c>
    </row>
    <row r="193" spans="1:6" ht="15" customHeight="1" x14ac:dyDescent="0.25">
      <c r="A193" t="s">
        <v>825</v>
      </c>
      <c r="B193">
        <v>0</v>
      </c>
      <c r="C193">
        <v>0</v>
      </c>
      <c r="D193">
        <v>255</v>
      </c>
      <c r="E193">
        <f t="shared" si="0"/>
        <v>16711680</v>
      </c>
      <c r="F193" t="s">
        <v>43</v>
      </c>
    </row>
    <row r="194" spans="1:6" ht="15" customHeight="1" x14ac:dyDescent="0.25">
      <c r="A194" t="s">
        <v>826</v>
      </c>
      <c r="B194">
        <v>127</v>
      </c>
      <c r="C194">
        <v>0</v>
      </c>
      <c r="D194">
        <v>255</v>
      </c>
      <c r="E194">
        <f t="shared" si="0"/>
        <v>16711807</v>
      </c>
    </row>
    <row r="195" spans="1:6" ht="15" customHeight="1" x14ac:dyDescent="0.25">
      <c r="A195" t="s">
        <v>827</v>
      </c>
      <c r="B195">
        <v>255</v>
      </c>
      <c r="C195">
        <v>0</v>
      </c>
      <c r="D195">
        <v>255</v>
      </c>
      <c r="E195">
        <f t="shared" si="0"/>
        <v>16711935</v>
      </c>
      <c r="F195" t="s">
        <v>830</v>
      </c>
    </row>
    <row r="196" spans="1:6" ht="15" customHeight="1" x14ac:dyDescent="0.25">
      <c r="A196" t="s">
        <v>815</v>
      </c>
      <c r="B196">
        <v>255</v>
      </c>
      <c r="C196">
        <v>255</v>
      </c>
      <c r="D196">
        <v>255</v>
      </c>
      <c r="E196">
        <f t="shared" si="0"/>
        <v>16777215</v>
      </c>
    </row>
    <row r="197" spans="1:6" ht="15" customHeight="1" x14ac:dyDescent="0.25">
      <c r="A197" t="s">
        <v>831</v>
      </c>
      <c r="B197">
        <v>165</v>
      </c>
      <c r="C197">
        <v>42</v>
      </c>
      <c r="D197">
        <v>42</v>
      </c>
      <c r="E197">
        <f t="shared" si="0"/>
        <v>2763429</v>
      </c>
    </row>
    <row r="198" spans="1:6" ht="15" customHeight="1" x14ac:dyDescent="0.25">
      <c r="A198" t="s">
        <v>832</v>
      </c>
      <c r="B198">
        <v>139</v>
      </c>
      <c r="C198">
        <v>69</v>
      </c>
      <c r="D198">
        <v>19</v>
      </c>
      <c r="E198">
        <f t="shared" si="0"/>
        <v>1262987</v>
      </c>
    </row>
    <row r="199" spans="1:6" ht="15" customHeight="1" x14ac:dyDescent="0.25">
      <c r="A199" t="s">
        <v>833</v>
      </c>
      <c r="B199">
        <v>244</v>
      </c>
      <c r="C199">
        <v>164</v>
      </c>
      <c r="D199">
        <v>96</v>
      </c>
      <c r="E199">
        <f t="shared" si="0"/>
        <v>6333684</v>
      </c>
    </row>
    <row r="200" spans="1:6" ht="15" customHeight="1" x14ac:dyDescent="0.25">
      <c r="A200" t="s">
        <v>834</v>
      </c>
      <c r="B200">
        <v>255</v>
      </c>
      <c r="C200">
        <v>255</v>
      </c>
      <c r="D200">
        <v>0</v>
      </c>
      <c r="E200">
        <f t="shared" ref="E200:E209" si="1">B200+256*C200+256*256*D200</f>
        <v>65535</v>
      </c>
      <c r="F200" t="s">
        <v>828</v>
      </c>
    </row>
    <row r="201" spans="1:6" ht="15" customHeight="1" x14ac:dyDescent="0.25">
      <c r="A201" t="s">
        <v>835</v>
      </c>
      <c r="B201">
        <v>243</v>
      </c>
      <c r="C201">
        <v>237</v>
      </c>
      <c r="D201">
        <v>2</v>
      </c>
      <c r="E201">
        <f t="shared" si="1"/>
        <v>191987</v>
      </c>
    </row>
    <row r="202" spans="1:6" ht="15" customHeight="1" x14ac:dyDescent="0.25">
      <c r="A202" t="s">
        <v>836</v>
      </c>
      <c r="B202">
        <v>231</v>
      </c>
      <c r="C202">
        <v>219</v>
      </c>
      <c r="D202">
        <v>4</v>
      </c>
      <c r="E202">
        <f t="shared" si="1"/>
        <v>318439</v>
      </c>
    </row>
    <row r="203" spans="1:6" ht="15" customHeight="1" x14ac:dyDescent="0.25">
      <c r="A203" t="s">
        <v>837</v>
      </c>
      <c r="B203">
        <v>219</v>
      </c>
      <c r="C203">
        <v>201</v>
      </c>
      <c r="D203">
        <v>6</v>
      </c>
      <c r="E203">
        <f t="shared" si="1"/>
        <v>444891</v>
      </c>
    </row>
    <row r="204" spans="1:6" ht="15" customHeight="1" x14ac:dyDescent="0.25">
      <c r="A204" t="s">
        <v>838</v>
      </c>
      <c r="B204">
        <v>207</v>
      </c>
      <c r="C204">
        <v>183</v>
      </c>
      <c r="D204">
        <v>8</v>
      </c>
      <c r="E204">
        <f t="shared" si="1"/>
        <v>571343</v>
      </c>
    </row>
    <row r="205" spans="1:6" ht="15" customHeight="1" x14ac:dyDescent="0.25">
      <c r="A205" t="s">
        <v>839</v>
      </c>
      <c r="B205">
        <v>195</v>
      </c>
      <c r="C205">
        <v>165</v>
      </c>
      <c r="D205">
        <v>10</v>
      </c>
      <c r="E205">
        <f t="shared" si="1"/>
        <v>697795</v>
      </c>
    </row>
    <row r="206" spans="1:6" ht="15" customHeight="1" x14ac:dyDescent="0.25">
      <c r="A206" t="s">
        <v>840</v>
      </c>
      <c r="B206">
        <v>183</v>
      </c>
      <c r="C206">
        <v>147</v>
      </c>
      <c r="D206">
        <v>12</v>
      </c>
      <c r="E206">
        <f t="shared" si="1"/>
        <v>824247</v>
      </c>
    </row>
    <row r="207" spans="1:6" ht="15" customHeight="1" x14ac:dyDescent="0.25">
      <c r="A207" t="s">
        <v>841</v>
      </c>
      <c r="B207">
        <v>171</v>
      </c>
      <c r="C207">
        <v>129</v>
      </c>
      <c r="D207">
        <v>14</v>
      </c>
      <c r="E207">
        <f t="shared" si="1"/>
        <v>950699</v>
      </c>
    </row>
    <row r="208" spans="1:6" ht="15" customHeight="1" x14ac:dyDescent="0.25">
      <c r="A208" t="s">
        <v>842</v>
      </c>
      <c r="B208">
        <v>159</v>
      </c>
      <c r="C208">
        <v>111</v>
      </c>
      <c r="D208">
        <v>16</v>
      </c>
      <c r="E208">
        <f t="shared" si="1"/>
        <v>1077151</v>
      </c>
    </row>
    <row r="209" spans="1:5" ht="15" customHeight="1" x14ac:dyDescent="0.25">
      <c r="A209" t="s">
        <v>843</v>
      </c>
      <c r="B209">
        <v>147</v>
      </c>
      <c r="C209">
        <v>93</v>
      </c>
      <c r="D209">
        <v>18</v>
      </c>
      <c r="E209">
        <f t="shared" si="1"/>
        <v>1203603</v>
      </c>
    </row>
    <row r="210" spans="1:5" ht="15" customHeight="1" x14ac:dyDescent="0.25">
      <c r="A210" t="s">
        <v>844</v>
      </c>
      <c r="B210">
        <v>135</v>
      </c>
      <c r="C210">
        <v>75</v>
      </c>
      <c r="D210">
        <v>20</v>
      </c>
      <c r="E210">
        <f t="shared" ref="E210" si="2">B210+256*C210+256*256*D210</f>
        <v>1330055</v>
      </c>
    </row>
  </sheetData>
  <sortState ref="A2:G167">
    <sortCondition ref="A93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66"/>
  <sheetViews>
    <sheetView topLeftCell="A52" workbookViewId="0">
      <selection activeCell="G54" sqref="G54"/>
    </sheetView>
  </sheetViews>
  <sheetFormatPr defaultColWidth="9.109375" defaultRowHeight="15" customHeight="1" x14ac:dyDescent="0.25"/>
  <cols>
    <col min="1" max="1" width="16.77734375" bestFit="1" customWidth="1"/>
  </cols>
  <sheetData>
    <row r="1" spans="1:10" ht="15" customHeight="1" x14ac:dyDescent="0.25">
      <c r="A1" s="2" t="s">
        <v>24</v>
      </c>
      <c r="B1" s="5" t="s">
        <v>45</v>
      </c>
      <c r="C1" s="5" t="s">
        <v>46</v>
      </c>
      <c r="D1" s="5" t="s">
        <v>43</v>
      </c>
      <c r="E1" s="2" t="s">
        <v>25</v>
      </c>
      <c r="F1" s="3" t="s">
        <v>195</v>
      </c>
      <c r="G1" s="2" t="s">
        <v>306</v>
      </c>
    </row>
    <row r="2" spans="1:10" ht="15" customHeight="1" x14ac:dyDescent="0.25">
      <c r="A2" t="s">
        <v>5</v>
      </c>
      <c r="B2" s="6">
        <v>51</v>
      </c>
      <c r="C2" s="6">
        <v>204</v>
      </c>
      <c r="D2" s="6">
        <v>51</v>
      </c>
      <c r="E2">
        <v>3394611</v>
      </c>
      <c r="F2" s="4" t="s">
        <v>531</v>
      </c>
      <c r="I2" s="20"/>
      <c r="J2" s="20"/>
    </row>
    <row r="3" spans="1:10" ht="15" customHeight="1" x14ac:dyDescent="0.25">
      <c r="A3" t="s">
        <v>1</v>
      </c>
      <c r="B3" s="6">
        <v>153</v>
      </c>
      <c r="C3" s="6">
        <v>204</v>
      </c>
      <c r="D3" s="6">
        <v>255</v>
      </c>
      <c r="E3">
        <v>16764057</v>
      </c>
      <c r="F3" s="4" t="s">
        <v>339</v>
      </c>
      <c r="I3">
        <f t="shared" ref="I3:I12" si="0">D3*256*256+C3*256+B3</f>
        <v>16764057</v>
      </c>
      <c r="J3" t="b">
        <f t="shared" ref="J3:J11" si="1">I3=E3</f>
        <v>1</v>
      </c>
    </row>
    <row r="4" spans="1:10" ht="15" customHeight="1" x14ac:dyDescent="0.25">
      <c r="A4" t="s">
        <v>6</v>
      </c>
      <c r="B4" s="6">
        <v>153</v>
      </c>
      <c r="C4" s="6">
        <v>153</v>
      </c>
      <c r="D4" s="6">
        <v>153</v>
      </c>
      <c r="E4">
        <v>10066329</v>
      </c>
      <c r="F4" s="4" t="s">
        <v>343</v>
      </c>
      <c r="I4">
        <f t="shared" si="0"/>
        <v>10066329</v>
      </c>
      <c r="J4" t="b">
        <f t="shared" si="1"/>
        <v>1</v>
      </c>
    </row>
    <row r="5" spans="1:10" ht="15" customHeight="1" x14ac:dyDescent="0.25">
      <c r="A5" t="s">
        <v>7</v>
      </c>
      <c r="B5" s="6">
        <v>255</v>
      </c>
      <c r="C5" s="6">
        <v>255</v>
      </c>
      <c r="D5" s="6">
        <v>102</v>
      </c>
      <c r="E5">
        <v>6750207</v>
      </c>
      <c r="F5" s="4" t="s">
        <v>532</v>
      </c>
      <c r="I5">
        <f t="shared" si="0"/>
        <v>6750207</v>
      </c>
      <c r="J5" t="b">
        <f t="shared" si="1"/>
        <v>1</v>
      </c>
    </row>
    <row r="6" spans="1:10" ht="15" customHeight="1" x14ac:dyDescent="0.25">
      <c r="A6" t="s">
        <v>8</v>
      </c>
      <c r="B6" s="6">
        <v>255</v>
      </c>
      <c r="C6" s="6">
        <v>128</v>
      </c>
      <c r="D6" s="6">
        <v>128</v>
      </c>
      <c r="E6">
        <v>8421631</v>
      </c>
      <c r="F6" s="4" t="s">
        <v>533</v>
      </c>
      <c r="I6">
        <f t="shared" si="0"/>
        <v>8421631</v>
      </c>
      <c r="J6" t="b">
        <f t="shared" si="1"/>
        <v>1</v>
      </c>
    </row>
    <row r="7" spans="1:10" ht="15" customHeight="1" x14ac:dyDescent="0.25">
      <c r="A7" t="s">
        <v>9</v>
      </c>
      <c r="B7" s="6">
        <v>255</v>
      </c>
      <c r="C7" s="6">
        <v>204</v>
      </c>
      <c r="D7" s="6">
        <v>0</v>
      </c>
      <c r="E7">
        <v>52479</v>
      </c>
      <c r="F7" s="4" t="s">
        <v>534</v>
      </c>
      <c r="I7">
        <f t="shared" si="0"/>
        <v>52479</v>
      </c>
      <c r="J7" t="b">
        <f t="shared" si="1"/>
        <v>1</v>
      </c>
    </row>
    <row r="8" spans="1:10" ht="15" customHeight="1" x14ac:dyDescent="0.25">
      <c r="A8" t="s">
        <v>10</v>
      </c>
      <c r="B8" s="6">
        <v>255</v>
      </c>
      <c r="C8" s="6">
        <v>255</v>
      </c>
      <c r="D8" s="6">
        <v>102</v>
      </c>
      <c r="E8">
        <v>6750207</v>
      </c>
      <c r="F8" s="4" t="s">
        <v>532</v>
      </c>
      <c r="I8">
        <f t="shared" si="0"/>
        <v>6750207</v>
      </c>
      <c r="J8" t="b">
        <f t="shared" si="1"/>
        <v>1</v>
      </c>
    </row>
    <row r="9" spans="1:10" ht="15" customHeight="1" x14ac:dyDescent="0.25">
      <c r="A9" t="s">
        <v>11</v>
      </c>
      <c r="B9" s="6">
        <v>153</v>
      </c>
      <c r="C9" s="6">
        <v>255</v>
      </c>
      <c r="D9" s="6">
        <v>51</v>
      </c>
      <c r="E9">
        <v>3407769</v>
      </c>
      <c r="F9" s="4" t="s">
        <v>535</v>
      </c>
      <c r="I9">
        <f t="shared" si="0"/>
        <v>3407769</v>
      </c>
      <c r="J9" t="b">
        <f t="shared" si="1"/>
        <v>1</v>
      </c>
    </row>
    <row r="10" spans="1:10" ht="15" customHeight="1" x14ac:dyDescent="0.25">
      <c r="A10" t="s">
        <v>21</v>
      </c>
      <c r="B10" s="6">
        <v>255</v>
      </c>
      <c r="C10" s="6">
        <v>128</v>
      </c>
      <c r="D10" s="6">
        <v>128</v>
      </c>
      <c r="E10">
        <v>8421631</v>
      </c>
      <c r="F10" s="4" t="s">
        <v>533</v>
      </c>
      <c r="I10">
        <f t="shared" si="0"/>
        <v>8421631</v>
      </c>
      <c r="J10" t="b">
        <f t="shared" si="1"/>
        <v>1</v>
      </c>
    </row>
    <row r="11" spans="1:10" ht="15" customHeight="1" x14ac:dyDescent="0.25">
      <c r="A11" t="s">
        <v>22</v>
      </c>
      <c r="B11" s="6">
        <v>51</v>
      </c>
      <c r="C11" s="6">
        <v>102</v>
      </c>
      <c r="D11" s="6">
        <v>255</v>
      </c>
      <c r="E11">
        <v>16737843</v>
      </c>
      <c r="F11" s="4" t="s">
        <v>338</v>
      </c>
      <c r="I11">
        <f t="shared" si="0"/>
        <v>16737843</v>
      </c>
      <c r="J11" t="b">
        <f t="shared" si="1"/>
        <v>1</v>
      </c>
    </row>
    <row r="12" spans="1:10" ht="15" customHeight="1" x14ac:dyDescent="0.25">
      <c r="A12" t="s">
        <v>23</v>
      </c>
      <c r="B12" s="6">
        <v>204</v>
      </c>
      <c r="C12" s="6">
        <v>153</v>
      </c>
      <c r="D12" s="6">
        <v>255</v>
      </c>
      <c r="E12">
        <v>16751052</v>
      </c>
      <c r="F12" s="4" t="s">
        <v>340</v>
      </c>
      <c r="I12">
        <f t="shared" si="0"/>
        <v>16751052</v>
      </c>
      <c r="J12" t="b">
        <f>I12=E12</f>
        <v>1</v>
      </c>
    </row>
    <row r="13" spans="1:10" ht="15" customHeight="1" x14ac:dyDescent="0.25">
      <c r="A13" t="s">
        <v>648</v>
      </c>
      <c r="B13" s="6">
        <v>102</v>
      </c>
      <c r="C13" s="6">
        <v>255</v>
      </c>
      <c r="D13" s="6">
        <v>102</v>
      </c>
      <c r="E13">
        <v>6750054</v>
      </c>
      <c r="F13" s="4"/>
      <c r="I13">
        <f>D13*256*256+C13*256+B13</f>
        <v>6750054</v>
      </c>
    </row>
    <row r="14" spans="1:10" ht="15" customHeight="1" x14ac:dyDescent="0.25">
      <c r="B14" s="6"/>
      <c r="C14" s="6"/>
      <c r="D14" s="6"/>
    </row>
    <row r="15" spans="1:10" ht="15" customHeight="1" x14ac:dyDescent="0.25">
      <c r="A15" t="s">
        <v>2</v>
      </c>
      <c r="B15" s="6">
        <v>204</v>
      </c>
      <c r="C15" s="6">
        <v>153</v>
      </c>
      <c r="D15" s="6">
        <v>0</v>
      </c>
      <c r="E15">
        <v>39372</v>
      </c>
      <c r="F15" s="4" t="s">
        <v>536</v>
      </c>
    </row>
    <row r="16" spans="1:10" ht="15" customHeight="1" x14ac:dyDescent="0.25">
      <c r="A16" t="s">
        <v>12</v>
      </c>
      <c r="B16" s="6">
        <v>255</v>
      </c>
      <c r="C16" s="6">
        <v>0</v>
      </c>
      <c r="D16" s="6">
        <v>0</v>
      </c>
      <c r="E16">
        <v>255</v>
      </c>
      <c r="F16" s="4" t="s">
        <v>270</v>
      </c>
    </row>
    <row r="17" spans="1:6" ht="15" customHeight="1" x14ac:dyDescent="0.25">
      <c r="A17" t="s">
        <v>13</v>
      </c>
      <c r="B17" s="6">
        <v>128</v>
      </c>
      <c r="C17" s="6">
        <v>153</v>
      </c>
      <c r="D17" s="6">
        <v>0</v>
      </c>
      <c r="E17">
        <v>39296</v>
      </c>
      <c r="F17" s="4" t="s">
        <v>537</v>
      </c>
    </row>
    <row r="18" spans="1:6" ht="15" customHeight="1" x14ac:dyDescent="0.25">
      <c r="A18" t="s">
        <v>14</v>
      </c>
      <c r="B18" s="6">
        <v>153</v>
      </c>
      <c r="C18" s="6">
        <v>204</v>
      </c>
      <c r="D18" s="6">
        <v>0</v>
      </c>
      <c r="E18">
        <v>52377</v>
      </c>
      <c r="F18" s="4" t="s">
        <v>337</v>
      </c>
    </row>
    <row r="19" spans="1:6" ht="15" customHeight="1" x14ac:dyDescent="0.25">
      <c r="A19" t="s">
        <v>15</v>
      </c>
      <c r="B19" s="6">
        <v>204</v>
      </c>
      <c r="C19" s="6">
        <v>204</v>
      </c>
      <c r="D19" s="6">
        <v>0</v>
      </c>
      <c r="E19">
        <v>52428</v>
      </c>
      <c r="F19" s="4" t="s">
        <v>336</v>
      </c>
    </row>
    <row r="20" spans="1:6" ht="15" customHeight="1" x14ac:dyDescent="0.25">
      <c r="A20" t="s">
        <v>3</v>
      </c>
      <c r="B20" s="6">
        <v>153</v>
      </c>
      <c r="C20" s="6">
        <v>153</v>
      </c>
      <c r="D20" s="6">
        <v>153</v>
      </c>
      <c r="E20">
        <v>10066329</v>
      </c>
      <c r="F20" s="4" t="s">
        <v>343</v>
      </c>
    </row>
    <row r="21" spans="1:6" ht="15" customHeight="1" x14ac:dyDescent="0.25">
      <c r="A21" t="s">
        <v>16</v>
      </c>
      <c r="B21" s="6">
        <v>102</v>
      </c>
      <c r="C21" s="6">
        <v>102</v>
      </c>
      <c r="D21" s="6">
        <v>102</v>
      </c>
      <c r="E21">
        <v>6710886</v>
      </c>
      <c r="F21" s="4" t="s">
        <v>342</v>
      </c>
    </row>
    <row r="22" spans="1:6" ht="15" customHeight="1" x14ac:dyDescent="0.25">
      <c r="A22" t="s">
        <v>4</v>
      </c>
      <c r="B22" s="6">
        <v>153</v>
      </c>
      <c r="C22" s="6">
        <v>255</v>
      </c>
      <c r="D22" s="6">
        <v>102</v>
      </c>
      <c r="E22">
        <v>6750105</v>
      </c>
      <c r="F22" s="4" t="s">
        <v>538</v>
      </c>
    </row>
    <row r="23" spans="1:6" ht="15" customHeight="1" x14ac:dyDescent="0.25">
      <c r="A23" t="s">
        <v>17</v>
      </c>
      <c r="B23" s="6">
        <v>102</v>
      </c>
      <c r="C23" s="6">
        <v>153</v>
      </c>
      <c r="D23" s="6">
        <v>255</v>
      </c>
      <c r="E23">
        <v>16750950</v>
      </c>
      <c r="F23" s="4" t="s">
        <v>539</v>
      </c>
    </row>
    <row r="24" spans="1:6" ht="15" customHeight="1" x14ac:dyDescent="0.25">
      <c r="A24" t="s">
        <v>18</v>
      </c>
      <c r="B24" s="6">
        <v>0</v>
      </c>
      <c r="C24" s="6">
        <v>128</v>
      </c>
      <c r="D24" s="6">
        <v>128</v>
      </c>
      <c r="E24">
        <v>8421376</v>
      </c>
      <c r="F24" s="4" t="s">
        <v>297</v>
      </c>
    </row>
    <row r="25" spans="1:6" ht="15" customHeight="1" x14ac:dyDescent="0.25">
      <c r="A25" t="s">
        <v>19</v>
      </c>
      <c r="B25" s="6">
        <v>51</v>
      </c>
      <c r="C25" s="6">
        <v>204</v>
      </c>
      <c r="D25" s="6">
        <v>204</v>
      </c>
      <c r="E25">
        <v>13421619</v>
      </c>
      <c r="F25" s="4" t="s">
        <v>540</v>
      </c>
    </row>
    <row r="27" spans="1:6" ht="15" customHeight="1" x14ac:dyDescent="0.25">
      <c r="A27" s="2" t="s">
        <v>24</v>
      </c>
      <c r="B27" s="5" t="s">
        <v>45</v>
      </c>
      <c r="C27" s="5" t="s">
        <v>46</v>
      </c>
      <c r="D27" s="5" t="s">
        <v>43</v>
      </c>
      <c r="E27" s="2" t="s">
        <v>25</v>
      </c>
    </row>
    <row r="28" spans="1:6" ht="15" customHeight="1" x14ac:dyDescent="0.25">
      <c r="A28" t="s">
        <v>505</v>
      </c>
      <c r="B28" s="6">
        <v>0</v>
      </c>
      <c r="C28" s="6">
        <v>0</v>
      </c>
      <c r="D28" s="6">
        <v>0</v>
      </c>
      <c r="E28">
        <f t="shared" ref="E28:E66" si="2">B28+256*C28+256*256*D28</f>
        <v>0</v>
      </c>
    </row>
    <row r="29" spans="1:6" ht="15" customHeight="1" x14ac:dyDescent="0.25">
      <c r="A29" t="s">
        <v>590</v>
      </c>
      <c r="B29" s="6">
        <v>204</v>
      </c>
      <c r="C29" s="6">
        <v>0</v>
      </c>
      <c r="D29" s="6">
        <v>0</v>
      </c>
      <c r="E29">
        <f t="shared" si="2"/>
        <v>204</v>
      </c>
    </row>
    <row r="30" spans="1:6" ht="15" customHeight="1" x14ac:dyDescent="0.25">
      <c r="A30" t="s">
        <v>585</v>
      </c>
      <c r="B30" s="6">
        <v>255</v>
      </c>
      <c r="C30" s="6">
        <v>0</v>
      </c>
      <c r="D30" s="6">
        <v>0</v>
      </c>
      <c r="E30">
        <f t="shared" si="2"/>
        <v>255</v>
      </c>
    </row>
    <row r="31" spans="1:6" ht="15" customHeight="1" x14ac:dyDescent="0.25">
      <c r="A31" t="s">
        <v>591</v>
      </c>
      <c r="B31" s="6">
        <v>255</v>
      </c>
      <c r="C31" s="6">
        <v>128</v>
      </c>
      <c r="D31" s="6">
        <v>128</v>
      </c>
      <c r="E31">
        <f t="shared" si="2"/>
        <v>8421631</v>
      </c>
    </row>
    <row r="32" spans="1:6" ht="15" customHeight="1" x14ac:dyDescent="0.25">
      <c r="A32" t="s">
        <v>592</v>
      </c>
      <c r="B32" s="6">
        <v>255</v>
      </c>
      <c r="C32" s="6">
        <v>153</v>
      </c>
      <c r="D32" s="6">
        <v>204</v>
      </c>
      <c r="E32">
        <f t="shared" si="2"/>
        <v>13408767</v>
      </c>
    </row>
    <row r="33" spans="1:5" ht="15" customHeight="1" x14ac:dyDescent="0.25">
      <c r="A33" t="s">
        <v>593</v>
      </c>
      <c r="B33" s="6">
        <v>153</v>
      </c>
      <c r="C33" s="6">
        <v>51</v>
      </c>
      <c r="D33" s="6">
        <v>0</v>
      </c>
      <c r="E33">
        <f t="shared" si="2"/>
        <v>13209</v>
      </c>
    </row>
    <row r="34" spans="1:5" ht="15" customHeight="1" x14ac:dyDescent="0.25">
      <c r="A34" t="s">
        <v>594</v>
      </c>
      <c r="B34" s="6">
        <v>255</v>
      </c>
      <c r="C34" s="6">
        <v>102</v>
      </c>
      <c r="D34" s="6">
        <v>0</v>
      </c>
      <c r="E34">
        <f t="shared" si="2"/>
        <v>26367</v>
      </c>
    </row>
    <row r="35" spans="1:5" ht="15" customHeight="1" x14ac:dyDescent="0.25">
      <c r="A35" t="s">
        <v>595</v>
      </c>
      <c r="B35" s="6">
        <v>255</v>
      </c>
      <c r="C35" s="6">
        <v>153</v>
      </c>
      <c r="D35" s="6">
        <v>0</v>
      </c>
      <c r="E35">
        <f t="shared" si="2"/>
        <v>39423</v>
      </c>
    </row>
    <row r="36" spans="1:5" ht="15" customHeight="1" x14ac:dyDescent="0.25">
      <c r="A36" t="s">
        <v>507</v>
      </c>
      <c r="B36" s="6">
        <v>255</v>
      </c>
      <c r="C36" s="6">
        <v>204</v>
      </c>
      <c r="D36" s="6">
        <v>0</v>
      </c>
      <c r="E36">
        <f t="shared" si="2"/>
        <v>52479</v>
      </c>
    </row>
    <row r="37" spans="1:5" ht="15" customHeight="1" x14ac:dyDescent="0.25">
      <c r="A37" t="s">
        <v>596</v>
      </c>
      <c r="B37" s="6">
        <v>255</v>
      </c>
      <c r="C37" s="6">
        <v>204</v>
      </c>
      <c r="D37" s="6">
        <v>102</v>
      </c>
      <c r="E37">
        <f t="shared" si="2"/>
        <v>6737151</v>
      </c>
    </row>
    <row r="38" spans="1:5" ht="15" customHeight="1" x14ac:dyDescent="0.25">
      <c r="A38" t="s">
        <v>597</v>
      </c>
      <c r="B38" s="6">
        <v>51</v>
      </c>
      <c r="C38" s="6">
        <v>51</v>
      </c>
      <c r="D38" s="6">
        <v>0</v>
      </c>
      <c r="E38">
        <f t="shared" si="2"/>
        <v>13107</v>
      </c>
    </row>
    <row r="39" spans="1:5" ht="15" customHeight="1" x14ac:dyDescent="0.25">
      <c r="A39" t="s">
        <v>598</v>
      </c>
      <c r="B39" s="6">
        <v>204</v>
      </c>
      <c r="C39" s="6">
        <v>204</v>
      </c>
      <c r="D39" s="6">
        <v>0</v>
      </c>
      <c r="E39">
        <f t="shared" si="2"/>
        <v>52428</v>
      </c>
    </row>
    <row r="40" spans="1:5" ht="15" customHeight="1" x14ac:dyDescent="0.25">
      <c r="A40" t="s">
        <v>587</v>
      </c>
      <c r="B40" s="6">
        <v>153</v>
      </c>
      <c r="C40" s="6">
        <v>204</v>
      </c>
      <c r="D40" s="6">
        <v>0</v>
      </c>
      <c r="E40">
        <f t="shared" si="2"/>
        <v>52377</v>
      </c>
    </row>
    <row r="41" spans="1:5" ht="15" customHeight="1" x14ac:dyDescent="0.25">
      <c r="A41" t="s">
        <v>508</v>
      </c>
      <c r="B41" s="6">
        <v>255</v>
      </c>
      <c r="C41" s="6">
        <v>255</v>
      </c>
      <c r="D41" s="6">
        <v>0</v>
      </c>
      <c r="E41">
        <f t="shared" si="2"/>
        <v>65535</v>
      </c>
    </row>
    <row r="42" spans="1:5" ht="15" customHeight="1" x14ac:dyDescent="0.25">
      <c r="A42" t="s">
        <v>599</v>
      </c>
      <c r="B42" s="6">
        <v>255</v>
      </c>
      <c r="C42" s="6">
        <v>255</v>
      </c>
      <c r="D42" s="6">
        <v>153</v>
      </c>
      <c r="E42">
        <f t="shared" si="2"/>
        <v>10092543</v>
      </c>
    </row>
    <row r="43" spans="1:5" ht="15" customHeight="1" x14ac:dyDescent="0.25">
      <c r="A43" t="s">
        <v>600</v>
      </c>
      <c r="B43" s="6">
        <v>0</v>
      </c>
      <c r="C43" s="6">
        <v>104</v>
      </c>
      <c r="D43" s="6">
        <v>0</v>
      </c>
      <c r="E43">
        <f t="shared" si="2"/>
        <v>26624</v>
      </c>
    </row>
    <row r="44" spans="1:5" ht="15" customHeight="1" x14ac:dyDescent="0.25">
      <c r="A44" t="s">
        <v>601</v>
      </c>
      <c r="B44" s="6">
        <v>0</v>
      </c>
      <c r="C44" s="6">
        <v>128</v>
      </c>
      <c r="D44" s="6">
        <v>0</v>
      </c>
      <c r="E44">
        <f t="shared" si="2"/>
        <v>32768</v>
      </c>
    </row>
    <row r="45" spans="1:5" ht="15" customHeight="1" x14ac:dyDescent="0.25">
      <c r="A45" t="s">
        <v>602</v>
      </c>
      <c r="B45" s="6">
        <v>51</v>
      </c>
      <c r="C45" s="6">
        <v>153</v>
      </c>
      <c r="D45" s="6">
        <v>102</v>
      </c>
      <c r="E45">
        <f t="shared" si="2"/>
        <v>6723891</v>
      </c>
    </row>
    <row r="46" spans="1:5" ht="15" customHeight="1" x14ac:dyDescent="0.25">
      <c r="A46" t="s">
        <v>603</v>
      </c>
      <c r="B46" s="6">
        <v>0</v>
      </c>
      <c r="C46" s="6">
        <v>255</v>
      </c>
      <c r="D46" s="6">
        <v>0</v>
      </c>
      <c r="E46">
        <f t="shared" si="2"/>
        <v>65280</v>
      </c>
    </row>
    <row r="47" spans="1:5" ht="15" customHeight="1" x14ac:dyDescent="0.25">
      <c r="A47" t="s">
        <v>604</v>
      </c>
      <c r="B47" s="6">
        <v>204</v>
      </c>
      <c r="C47" s="6">
        <v>255</v>
      </c>
      <c r="D47" s="6">
        <v>204</v>
      </c>
      <c r="E47">
        <f t="shared" si="2"/>
        <v>13434828</v>
      </c>
    </row>
    <row r="48" spans="1:5" ht="15" customHeight="1" x14ac:dyDescent="0.25">
      <c r="A48" t="s">
        <v>605</v>
      </c>
      <c r="B48" s="6">
        <v>0</v>
      </c>
      <c r="C48" s="6">
        <v>128</v>
      </c>
      <c r="D48" s="6">
        <v>128</v>
      </c>
      <c r="E48">
        <f t="shared" si="2"/>
        <v>8421376</v>
      </c>
    </row>
    <row r="49" spans="1:5" ht="15" customHeight="1" x14ac:dyDescent="0.25">
      <c r="A49" t="s">
        <v>606</v>
      </c>
      <c r="B49" s="6">
        <v>51</v>
      </c>
      <c r="C49" s="6">
        <v>204</v>
      </c>
      <c r="D49" s="6">
        <v>204</v>
      </c>
      <c r="E49">
        <f t="shared" si="2"/>
        <v>13421619</v>
      </c>
    </row>
    <row r="50" spans="1:5" ht="15" customHeight="1" x14ac:dyDescent="0.25">
      <c r="A50" t="s">
        <v>607</v>
      </c>
      <c r="B50" s="6">
        <v>0</v>
      </c>
      <c r="C50" s="6">
        <v>255</v>
      </c>
      <c r="D50" s="6">
        <v>255</v>
      </c>
      <c r="E50">
        <f t="shared" si="2"/>
        <v>16776960</v>
      </c>
    </row>
    <row r="51" spans="1:5" ht="15" customHeight="1" x14ac:dyDescent="0.25">
      <c r="A51" t="s">
        <v>608</v>
      </c>
      <c r="B51" s="6">
        <v>153</v>
      </c>
      <c r="C51" s="6">
        <v>255</v>
      </c>
      <c r="D51" s="6">
        <v>255</v>
      </c>
      <c r="E51">
        <f t="shared" si="2"/>
        <v>16777113</v>
      </c>
    </row>
    <row r="52" spans="1:5" ht="15" customHeight="1" x14ac:dyDescent="0.25">
      <c r="A52" t="s">
        <v>609</v>
      </c>
      <c r="B52" s="6">
        <v>0</v>
      </c>
      <c r="C52" s="6">
        <v>0</v>
      </c>
      <c r="D52" s="6">
        <v>128</v>
      </c>
      <c r="E52">
        <f t="shared" si="2"/>
        <v>8388608</v>
      </c>
    </row>
    <row r="53" spans="1:5" ht="15" customHeight="1" x14ac:dyDescent="0.25">
      <c r="A53" t="s">
        <v>610</v>
      </c>
      <c r="B53" s="6">
        <v>0</v>
      </c>
      <c r="C53" s="6">
        <v>0</v>
      </c>
      <c r="D53" s="6">
        <v>255</v>
      </c>
      <c r="E53">
        <f t="shared" si="2"/>
        <v>16711680</v>
      </c>
    </row>
    <row r="54" spans="1:5" ht="15" customHeight="1" x14ac:dyDescent="0.25">
      <c r="A54" t="s">
        <v>611</v>
      </c>
      <c r="B54" s="6">
        <v>51</v>
      </c>
      <c r="C54" s="6">
        <v>102</v>
      </c>
      <c r="D54" s="6">
        <v>255</v>
      </c>
      <c r="E54">
        <f t="shared" si="2"/>
        <v>16737843</v>
      </c>
    </row>
    <row r="55" spans="1:5" ht="15" customHeight="1" x14ac:dyDescent="0.25">
      <c r="A55" t="s">
        <v>612</v>
      </c>
      <c r="B55" s="6">
        <v>0</v>
      </c>
      <c r="C55" s="6">
        <v>204</v>
      </c>
      <c r="D55" s="6">
        <v>255</v>
      </c>
      <c r="E55">
        <f t="shared" si="2"/>
        <v>16763904</v>
      </c>
    </row>
    <row r="56" spans="1:5" ht="15" customHeight="1" x14ac:dyDescent="0.25">
      <c r="A56" t="s">
        <v>586</v>
      </c>
      <c r="B56" s="6">
        <v>153</v>
      </c>
      <c r="C56" s="6">
        <v>204</v>
      </c>
      <c r="D56" s="6">
        <v>255</v>
      </c>
      <c r="E56">
        <f t="shared" si="2"/>
        <v>16764057</v>
      </c>
    </row>
    <row r="57" spans="1:5" ht="15" customHeight="1" x14ac:dyDescent="0.25">
      <c r="A57" t="s">
        <v>613</v>
      </c>
      <c r="B57" s="6">
        <v>51</v>
      </c>
      <c r="C57" s="6">
        <v>51</v>
      </c>
      <c r="D57" s="6">
        <v>153</v>
      </c>
      <c r="E57">
        <f t="shared" si="2"/>
        <v>10040115</v>
      </c>
    </row>
    <row r="58" spans="1:5" ht="15" customHeight="1" x14ac:dyDescent="0.25">
      <c r="A58" t="s">
        <v>614</v>
      </c>
      <c r="B58" s="6">
        <v>102</v>
      </c>
      <c r="C58" s="6">
        <v>102</v>
      </c>
      <c r="D58" s="6">
        <v>153</v>
      </c>
      <c r="E58">
        <f t="shared" si="2"/>
        <v>10053222</v>
      </c>
    </row>
    <row r="59" spans="1:5" ht="15" customHeight="1" x14ac:dyDescent="0.25">
      <c r="A59" t="s">
        <v>615</v>
      </c>
      <c r="B59" s="6">
        <v>128</v>
      </c>
      <c r="C59" s="6">
        <v>0</v>
      </c>
      <c r="D59" s="6">
        <v>128</v>
      </c>
      <c r="E59">
        <f t="shared" si="2"/>
        <v>8388736</v>
      </c>
    </row>
    <row r="60" spans="1:5" ht="15" customHeight="1" x14ac:dyDescent="0.25">
      <c r="A60" t="s">
        <v>616</v>
      </c>
      <c r="B60" s="6">
        <v>153</v>
      </c>
      <c r="C60" s="6">
        <v>51</v>
      </c>
      <c r="D60" s="6">
        <v>102</v>
      </c>
      <c r="E60">
        <f t="shared" si="2"/>
        <v>6697881</v>
      </c>
    </row>
    <row r="61" spans="1:5" ht="15" customHeight="1" x14ac:dyDescent="0.25">
      <c r="A61" t="s">
        <v>617</v>
      </c>
      <c r="B61" s="6">
        <v>204</v>
      </c>
      <c r="C61" s="6">
        <v>153</v>
      </c>
      <c r="D61" s="6">
        <v>255</v>
      </c>
      <c r="E61">
        <f t="shared" si="2"/>
        <v>16751052</v>
      </c>
    </row>
    <row r="62" spans="1:5" ht="15" customHeight="1" x14ac:dyDescent="0.25">
      <c r="A62" t="s">
        <v>618</v>
      </c>
      <c r="B62" s="6">
        <v>51</v>
      </c>
      <c r="C62" s="6">
        <v>51</v>
      </c>
      <c r="D62" s="6">
        <v>51</v>
      </c>
      <c r="E62">
        <f t="shared" si="2"/>
        <v>3355443</v>
      </c>
    </row>
    <row r="63" spans="1:5" ht="15" customHeight="1" x14ac:dyDescent="0.25">
      <c r="A63" t="s">
        <v>619</v>
      </c>
      <c r="B63" s="6">
        <v>102</v>
      </c>
      <c r="C63" s="6">
        <v>102</v>
      </c>
      <c r="D63" s="6">
        <v>102</v>
      </c>
      <c r="E63">
        <f t="shared" si="2"/>
        <v>6710886</v>
      </c>
    </row>
    <row r="64" spans="1:5" ht="15" customHeight="1" x14ac:dyDescent="0.25">
      <c r="A64" t="s">
        <v>506</v>
      </c>
      <c r="B64" s="6">
        <v>153</v>
      </c>
      <c r="C64" s="6">
        <v>153</v>
      </c>
      <c r="D64" s="6">
        <v>153</v>
      </c>
      <c r="E64">
        <f t="shared" si="2"/>
        <v>10066329</v>
      </c>
    </row>
    <row r="65" spans="1:5" ht="15" customHeight="1" x14ac:dyDescent="0.25">
      <c r="A65" t="s">
        <v>504</v>
      </c>
      <c r="B65" s="6">
        <v>204</v>
      </c>
      <c r="C65" s="6">
        <v>204</v>
      </c>
      <c r="D65" s="6">
        <v>204</v>
      </c>
      <c r="E65">
        <f t="shared" si="2"/>
        <v>13421772</v>
      </c>
    </row>
    <row r="66" spans="1:5" ht="15" customHeight="1" x14ac:dyDescent="0.25">
      <c r="A66" t="s">
        <v>588</v>
      </c>
      <c r="B66" s="6">
        <v>255</v>
      </c>
      <c r="C66" s="6">
        <v>255</v>
      </c>
      <c r="D66" s="6">
        <v>255</v>
      </c>
      <c r="E66">
        <f t="shared" si="2"/>
        <v>16777215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35"/>
  <sheetViews>
    <sheetView workbookViewId="0">
      <selection activeCell="B26" sqref="B26"/>
    </sheetView>
  </sheetViews>
  <sheetFormatPr defaultColWidth="11.44140625" defaultRowHeight="21" customHeight="1" x14ac:dyDescent="0.25"/>
  <sheetData>
    <row r="1" spans="1:8" ht="21" customHeight="1" x14ac:dyDescent="0.25">
      <c r="A1" s="2" t="s">
        <v>73</v>
      </c>
      <c r="B1" s="2" t="s">
        <v>74</v>
      </c>
      <c r="C1" s="2"/>
      <c r="D1" s="3" t="s">
        <v>75</v>
      </c>
      <c r="E1" s="3" t="s">
        <v>76</v>
      </c>
      <c r="F1" s="8" t="s">
        <v>123</v>
      </c>
      <c r="G1" s="8" t="s">
        <v>124</v>
      </c>
      <c r="H1" s="8" t="s">
        <v>125</v>
      </c>
    </row>
    <row r="2" spans="1:8" ht="21" customHeight="1" x14ac:dyDescent="0.25">
      <c r="A2" s="12" t="s">
        <v>77</v>
      </c>
      <c r="B2" s="8">
        <v>94</v>
      </c>
      <c r="D2" s="10" t="s">
        <v>116</v>
      </c>
    </row>
    <row r="3" spans="1:8" ht="21" customHeight="1" x14ac:dyDescent="0.25">
      <c r="A3" s="12" t="s">
        <v>78</v>
      </c>
      <c r="B3" s="8">
        <v>91</v>
      </c>
      <c r="D3" s="10" t="s">
        <v>116</v>
      </c>
    </row>
    <row r="4" spans="1:8" ht="21" customHeight="1" x14ac:dyDescent="0.25">
      <c r="A4" s="12" t="s">
        <v>79</v>
      </c>
      <c r="B4" s="8">
        <v>92</v>
      </c>
    </row>
    <row r="5" spans="1:8" ht="21" customHeight="1" x14ac:dyDescent="0.25">
      <c r="A5" s="12" t="s">
        <v>80</v>
      </c>
      <c r="B5" s="8">
        <v>93</v>
      </c>
      <c r="D5" s="10" t="s">
        <v>116</v>
      </c>
    </row>
    <row r="6" spans="1:8" ht="21" customHeight="1" x14ac:dyDescent="0.25">
      <c r="A6" s="12" t="s">
        <v>81</v>
      </c>
      <c r="B6" s="8">
        <v>25</v>
      </c>
      <c r="D6" s="10" t="s">
        <v>117</v>
      </c>
      <c r="E6" s="10" t="s">
        <v>117</v>
      </c>
      <c r="F6" s="8">
        <v>-90</v>
      </c>
      <c r="G6" s="8">
        <v>90</v>
      </c>
    </row>
    <row r="7" spans="1:8" ht="21" customHeight="1" x14ac:dyDescent="0.25">
      <c r="A7" s="12" t="s">
        <v>82</v>
      </c>
      <c r="B7" s="8">
        <v>20</v>
      </c>
      <c r="D7" s="10" t="s">
        <v>117</v>
      </c>
      <c r="E7" s="10" t="s">
        <v>116</v>
      </c>
      <c r="F7" s="8">
        <v>90</v>
      </c>
      <c r="G7" s="8">
        <v>0</v>
      </c>
      <c r="H7" s="8">
        <v>45</v>
      </c>
    </row>
    <row r="8" spans="1:8" ht="21" customHeight="1" x14ac:dyDescent="0.25">
      <c r="A8" s="12" t="s">
        <v>83</v>
      </c>
      <c r="B8" s="8">
        <v>13</v>
      </c>
      <c r="D8" s="10" t="s">
        <v>116</v>
      </c>
    </row>
    <row r="9" spans="1:8" ht="21" customHeight="1" x14ac:dyDescent="0.25">
      <c r="A9" s="12" t="s">
        <v>84</v>
      </c>
      <c r="B9" s="8">
        <v>52</v>
      </c>
      <c r="D9" s="10" t="s">
        <v>118</v>
      </c>
    </row>
    <row r="10" spans="1:8" ht="21" customHeight="1" x14ac:dyDescent="0.25">
      <c r="A10" s="12" t="s">
        <v>85</v>
      </c>
      <c r="B10" s="8">
        <v>11</v>
      </c>
      <c r="D10" s="10" t="s">
        <v>116</v>
      </c>
    </row>
    <row r="11" spans="1:8" ht="21" customHeight="1" x14ac:dyDescent="0.25">
      <c r="A11" s="12" t="s">
        <v>86</v>
      </c>
      <c r="B11" s="8">
        <v>14</v>
      </c>
      <c r="D11" s="10" t="s">
        <v>118</v>
      </c>
    </row>
    <row r="12" spans="1:8" ht="21" customHeight="1" x14ac:dyDescent="0.25">
      <c r="A12" s="12" t="s">
        <v>87</v>
      </c>
      <c r="B12" s="8">
        <v>4</v>
      </c>
    </row>
    <row r="13" spans="1:8" ht="21" customHeight="1" x14ac:dyDescent="0.25">
      <c r="A13" s="12" t="s">
        <v>88</v>
      </c>
      <c r="B13" s="8">
        <v>104</v>
      </c>
      <c r="D13" s="10" t="s">
        <v>119</v>
      </c>
      <c r="E13" s="10" t="s">
        <v>120</v>
      </c>
      <c r="F13" s="8">
        <v>0.2</v>
      </c>
      <c r="G13" s="8">
        <v>0.3</v>
      </c>
    </row>
    <row r="14" spans="1:8" ht="21" customHeight="1" x14ac:dyDescent="0.25">
      <c r="A14" s="12" t="s">
        <v>89</v>
      </c>
      <c r="B14" s="8">
        <v>36</v>
      </c>
      <c r="D14" s="10" t="s">
        <v>118</v>
      </c>
      <c r="E14" s="10" t="s">
        <v>116</v>
      </c>
      <c r="F14" s="8">
        <v>0.5</v>
      </c>
      <c r="G14" s="8">
        <v>0.3</v>
      </c>
      <c r="H14" s="8">
        <v>45</v>
      </c>
    </row>
    <row r="15" spans="1:8" ht="21" customHeight="1" x14ac:dyDescent="0.25">
      <c r="A15" s="12" t="s">
        <v>90</v>
      </c>
      <c r="B15" s="8">
        <v>89</v>
      </c>
    </row>
    <row r="16" spans="1:8" ht="21" customHeight="1" x14ac:dyDescent="0.25">
      <c r="A16" s="12" t="s">
        <v>91</v>
      </c>
      <c r="B16" s="8">
        <v>90</v>
      </c>
    </row>
    <row r="17" spans="1:7" ht="21" customHeight="1" x14ac:dyDescent="0.25">
      <c r="A17" s="12" t="s">
        <v>92</v>
      </c>
      <c r="B17" s="8">
        <v>10</v>
      </c>
      <c r="D17" s="10" t="s">
        <v>116</v>
      </c>
    </row>
    <row r="18" spans="1:7" ht="21" customHeight="1" x14ac:dyDescent="0.25">
      <c r="A18" s="12" t="s">
        <v>93</v>
      </c>
      <c r="B18" s="8">
        <v>7</v>
      </c>
      <c r="D18" s="10" t="s">
        <v>118</v>
      </c>
    </row>
    <row r="19" spans="1:7" ht="21" customHeight="1" x14ac:dyDescent="0.25">
      <c r="A19" s="12" t="s">
        <v>94</v>
      </c>
      <c r="B19" s="8">
        <v>34</v>
      </c>
      <c r="D19" s="10" t="s">
        <v>118</v>
      </c>
      <c r="E19" s="10" t="s">
        <v>116</v>
      </c>
    </row>
    <row r="20" spans="1:7" ht="21" customHeight="1" x14ac:dyDescent="0.25">
      <c r="A20" s="12" t="s">
        <v>95</v>
      </c>
      <c r="B20" s="8">
        <v>37</v>
      </c>
      <c r="D20" s="10" t="s">
        <v>116</v>
      </c>
      <c r="E20" s="10" t="s">
        <v>116</v>
      </c>
    </row>
    <row r="21" spans="1:7" ht="21" customHeight="1" x14ac:dyDescent="0.25">
      <c r="A21" s="12" t="s">
        <v>96</v>
      </c>
      <c r="B21" s="8">
        <v>24</v>
      </c>
      <c r="D21" s="10" t="s">
        <v>121</v>
      </c>
    </row>
    <row r="22" spans="1:7" ht="21" customHeight="1" x14ac:dyDescent="0.25">
      <c r="A22" s="12" t="s">
        <v>97</v>
      </c>
      <c r="B22" s="8">
        <v>6</v>
      </c>
      <c r="D22" s="10" t="s">
        <v>116</v>
      </c>
    </row>
    <row r="23" spans="1:7" ht="21" customHeight="1" x14ac:dyDescent="0.25">
      <c r="A23" s="12" t="s">
        <v>98</v>
      </c>
      <c r="B23" s="8">
        <v>9</v>
      </c>
    </row>
    <row r="24" spans="1:7" ht="21" customHeight="1" x14ac:dyDescent="0.25">
      <c r="A24" s="12" t="s">
        <v>99</v>
      </c>
      <c r="B24" s="8">
        <v>2</v>
      </c>
      <c r="D24" s="10" t="s">
        <v>118</v>
      </c>
    </row>
    <row r="25" spans="1:7" ht="21" customHeight="1" x14ac:dyDescent="0.25">
      <c r="A25" s="12" t="s">
        <v>100</v>
      </c>
      <c r="B25" s="8">
        <v>51</v>
      </c>
      <c r="D25" s="10" t="s">
        <v>118</v>
      </c>
    </row>
    <row r="26" spans="1:7" ht="21" customHeight="1" x14ac:dyDescent="0.25">
      <c r="A26" s="12" t="s">
        <v>101</v>
      </c>
      <c r="B26" s="8">
        <v>1</v>
      </c>
    </row>
    <row r="27" spans="1:7" ht="21" customHeight="1" x14ac:dyDescent="0.25">
      <c r="A27" s="12" t="s">
        <v>102</v>
      </c>
      <c r="B27" s="8">
        <v>12</v>
      </c>
    </row>
    <row r="28" spans="1:7" ht="21" customHeight="1" x14ac:dyDescent="0.25">
      <c r="A28" s="12" t="s">
        <v>103</v>
      </c>
      <c r="B28" s="8">
        <v>33</v>
      </c>
      <c r="D28" s="10" t="s">
        <v>118</v>
      </c>
      <c r="E28" s="10" t="s">
        <v>116</v>
      </c>
      <c r="F28" s="8">
        <v>0.5</v>
      </c>
      <c r="G28" s="8">
        <v>0.8</v>
      </c>
    </row>
    <row r="29" spans="1:7" ht="21" customHeight="1" x14ac:dyDescent="0.25">
      <c r="A29" s="12" t="s">
        <v>104</v>
      </c>
      <c r="B29" s="8">
        <v>8</v>
      </c>
    </row>
    <row r="30" spans="1:7" ht="21" customHeight="1" x14ac:dyDescent="0.25">
      <c r="A30" s="12" t="s">
        <v>105</v>
      </c>
      <c r="B30" s="8">
        <v>5</v>
      </c>
      <c r="D30" s="10" t="s">
        <v>116</v>
      </c>
    </row>
    <row r="31" spans="1:7" ht="21" customHeight="1" x14ac:dyDescent="0.25">
      <c r="A31" s="12" t="s">
        <v>106</v>
      </c>
      <c r="B31" s="8">
        <v>23</v>
      </c>
      <c r="D31" s="10" t="s">
        <v>127</v>
      </c>
      <c r="F31" s="8">
        <v>0.1</v>
      </c>
    </row>
    <row r="32" spans="1:7" ht="21" customHeight="1" x14ac:dyDescent="0.25">
      <c r="A32" s="12" t="s">
        <v>107</v>
      </c>
      <c r="B32" s="8">
        <v>3</v>
      </c>
      <c r="D32" s="10" t="s">
        <v>116</v>
      </c>
    </row>
    <row r="33" spans="1:5" ht="21" customHeight="1" x14ac:dyDescent="0.25">
      <c r="A33" s="12" t="s">
        <v>108</v>
      </c>
      <c r="B33" s="8">
        <v>35</v>
      </c>
      <c r="D33" s="10" t="s">
        <v>118</v>
      </c>
      <c r="E33" s="10" t="s">
        <v>116</v>
      </c>
    </row>
    <row r="34" spans="1:5" ht="21" customHeight="1" x14ac:dyDescent="0.25">
      <c r="A34" s="12" t="s">
        <v>109</v>
      </c>
      <c r="B34" s="8">
        <v>38</v>
      </c>
      <c r="D34" s="10" t="s">
        <v>116</v>
      </c>
      <c r="E34" s="10" t="s">
        <v>116</v>
      </c>
    </row>
    <row r="35" spans="1:5" ht="21" customHeight="1" x14ac:dyDescent="0.25">
      <c r="A35" s="12" t="s">
        <v>110</v>
      </c>
      <c r="B35" s="8">
        <v>103</v>
      </c>
      <c r="D35" s="10" t="s">
        <v>122</v>
      </c>
      <c r="E35" s="10" t="s">
        <v>120</v>
      </c>
    </row>
    <row r="36" spans="1:5" ht="21" customHeight="1" x14ac:dyDescent="0.25">
      <c r="B36" s="8">
        <v>1</v>
      </c>
    </row>
    <row r="37" spans="1:5" ht="21" customHeight="1" x14ac:dyDescent="0.25">
      <c r="B37" s="8">
        <v>2</v>
      </c>
    </row>
    <row r="38" spans="1:5" ht="21" customHeight="1" x14ac:dyDescent="0.25">
      <c r="B38" s="8">
        <v>3</v>
      </c>
    </row>
    <row r="39" spans="1:5" ht="21" customHeight="1" x14ac:dyDescent="0.25">
      <c r="B39" s="8">
        <v>4</v>
      </c>
    </row>
    <row r="40" spans="1:5" ht="21" customHeight="1" x14ac:dyDescent="0.25">
      <c r="B40" s="8">
        <v>5</v>
      </c>
    </row>
    <row r="41" spans="1:5" ht="21" customHeight="1" x14ac:dyDescent="0.25">
      <c r="B41" s="8">
        <v>6</v>
      </c>
    </row>
    <row r="42" spans="1:5" ht="21" customHeight="1" x14ac:dyDescent="0.25">
      <c r="B42" s="8">
        <v>7</v>
      </c>
    </row>
    <row r="43" spans="1:5" ht="21" customHeight="1" x14ac:dyDescent="0.25">
      <c r="B43" s="8">
        <v>8</v>
      </c>
    </row>
    <row r="44" spans="1:5" ht="21" customHeight="1" x14ac:dyDescent="0.25">
      <c r="B44" s="8">
        <v>9</v>
      </c>
    </row>
    <row r="45" spans="1:5" ht="21" customHeight="1" x14ac:dyDescent="0.25">
      <c r="B45" s="8">
        <v>10</v>
      </c>
    </row>
    <row r="46" spans="1:5" ht="21" customHeight="1" x14ac:dyDescent="0.25">
      <c r="B46" s="8">
        <v>11</v>
      </c>
    </row>
    <row r="47" spans="1:5" ht="21" customHeight="1" x14ac:dyDescent="0.25">
      <c r="B47" s="8">
        <v>12</v>
      </c>
    </row>
    <row r="48" spans="1:5" ht="21" customHeight="1" x14ac:dyDescent="0.25">
      <c r="B48" s="8">
        <v>13</v>
      </c>
    </row>
    <row r="49" spans="2:2" ht="21" customHeight="1" x14ac:dyDescent="0.25">
      <c r="B49" s="8">
        <v>14</v>
      </c>
    </row>
    <row r="50" spans="2:2" ht="21" customHeight="1" x14ac:dyDescent="0.25">
      <c r="B50" s="8">
        <v>15</v>
      </c>
    </row>
    <row r="51" spans="2:2" ht="21" customHeight="1" x14ac:dyDescent="0.25">
      <c r="B51" s="8">
        <v>16</v>
      </c>
    </row>
    <row r="52" spans="2:2" ht="21" customHeight="1" x14ac:dyDescent="0.25">
      <c r="B52" s="8">
        <v>17</v>
      </c>
    </row>
    <row r="53" spans="2:2" ht="21" customHeight="1" x14ac:dyDescent="0.25">
      <c r="B53" s="8">
        <v>18</v>
      </c>
    </row>
    <row r="54" spans="2:2" ht="21" customHeight="1" x14ac:dyDescent="0.25">
      <c r="B54" s="8">
        <v>19</v>
      </c>
    </row>
    <row r="55" spans="2:2" ht="21" customHeight="1" x14ac:dyDescent="0.25">
      <c r="B55" s="8">
        <v>20</v>
      </c>
    </row>
    <row r="56" spans="2:2" ht="21" customHeight="1" x14ac:dyDescent="0.25">
      <c r="B56" s="8">
        <v>21</v>
      </c>
    </row>
    <row r="57" spans="2:2" ht="21" customHeight="1" x14ac:dyDescent="0.25">
      <c r="B57" s="8">
        <v>22</v>
      </c>
    </row>
    <row r="58" spans="2:2" ht="21" customHeight="1" x14ac:dyDescent="0.25">
      <c r="B58" s="8">
        <v>23</v>
      </c>
    </row>
    <row r="59" spans="2:2" ht="21" customHeight="1" x14ac:dyDescent="0.25">
      <c r="B59" s="8">
        <v>24</v>
      </c>
    </row>
    <row r="60" spans="2:2" ht="21" customHeight="1" x14ac:dyDescent="0.25">
      <c r="B60" s="8">
        <v>25</v>
      </c>
    </row>
    <row r="61" spans="2:2" ht="21" customHeight="1" x14ac:dyDescent="0.25">
      <c r="B61" s="8">
        <v>26</v>
      </c>
    </row>
    <row r="62" spans="2:2" ht="21" customHeight="1" x14ac:dyDescent="0.25">
      <c r="B62" s="8">
        <v>27</v>
      </c>
    </row>
    <row r="63" spans="2:2" ht="21" customHeight="1" x14ac:dyDescent="0.25">
      <c r="B63" s="8">
        <v>28</v>
      </c>
    </row>
    <row r="64" spans="2:2" ht="21" customHeight="1" x14ac:dyDescent="0.25">
      <c r="B64" s="8">
        <v>29</v>
      </c>
    </row>
    <row r="65" spans="2:2" ht="21" customHeight="1" x14ac:dyDescent="0.25">
      <c r="B65" s="8">
        <v>30</v>
      </c>
    </row>
    <row r="66" spans="2:2" ht="21" customHeight="1" x14ac:dyDescent="0.25">
      <c r="B66" s="8">
        <v>31</v>
      </c>
    </row>
    <row r="67" spans="2:2" ht="21" customHeight="1" x14ac:dyDescent="0.25">
      <c r="B67" s="8">
        <v>32</v>
      </c>
    </row>
    <row r="68" spans="2:2" ht="21" customHeight="1" x14ac:dyDescent="0.25">
      <c r="B68" s="8">
        <v>33</v>
      </c>
    </row>
    <row r="69" spans="2:2" ht="21" customHeight="1" x14ac:dyDescent="0.25">
      <c r="B69" s="8">
        <v>34</v>
      </c>
    </row>
    <row r="70" spans="2:2" ht="21" customHeight="1" x14ac:dyDescent="0.25">
      <c r="B70" s="8">
        <v>35</v>
      </c>
    </row>
    <row r="71" spans="2:2" ht="21" customHeight="1" x14ac:dyDescent="0.25">
      <c r="B71" s="8">
        <v>36</v>
      </c>
    </row>
    <row r="72" spans="2:2" ht="21" customHeight="1" x14ac:dyDescent="0.25">
      <c r="B72" s="8">
        <v>37</v>
      </c>
    </row>
    <row r="73" spans="2:2" ht="21" customHeight="1" x14ac:dyDescent="0.25">
      <c r="B73" s="8">
        <v>38</v>
      </c>
    </row>
    <row r="74" spans="2:2" ht="21" customHeight="1" x14ac:dyDescent="0.25">
      <c r="B74" s="8">
        <v>39</v>
      </c>
    </row>
    <row r="75" spans="2:2" ht="21" customHeight="1" x14ac:dyDescent="0.25">
      <c r="B75" s="8">
        <v>40</v>
      </c>
    </row>
    <row r="76" spans="2:2" ht="21" customHeight="1" x14ac:dyDescent="0.25">
      <c r="B76" s="8">
        <v>41</v>
      </c>
    </row>
    <row r="77" spans="2:2" ht="21" customHeight="1" x14ac:dyDescent="0.25">
      <c r="B77" s="8">
        <v>42</v>
      </c>
    </row>
    <row r="78" spans="2:2" ht="21" customHeight="1" x14ac:dyDescent="0.25">
      <c r="B78" s="8">
        <v>43</v>
      </c>
    </row>
    <row r="79" spans="2:2" ht="21" customHeight="1" x14ac:dyDescent="0.25">
      <c r="B79" s="8">
        <v>44</v>
      </c>
    </row>
    <row r="80" spans="2:2" ht="21" customHeight="1" x14ac:dyDescent="0.25">
      <c r="B80" s="8">
        <v>45</v>
      </c>
    </row>
    <row r="81" spans="2:2" ht="21" customHeight="1" x14ac:dyDescent="0.25">
      <c r="B81" s="8">
        <v>46</v>
      </c>
    </row>
    <row r="82" spans="2:2" ht="21" customHeight="1" x14ac:dyDescent="0.25">
      <c r="B82" s="8">
        <v>47</v>
      </c>
    </row>
    <row r="83" spans="2:2" ht="21" customHeight="1" x14ac:dyDescent="0.25">
      <c r="B83" s="8">
        <v>48</v>
      </c>
    </row>
    <row r="84" spans="2:2" ht="21" customHeight="1" x14ac:dyDescent="0.25">
      <c r="B84" s="8">
        <v>49</v>
      </c>
    </row>
    <row r="85" spans="2:2" ht="21" customHeight="1" x14ac:dyDescent="0.25">
      <c r="B85" s="8">
        <v>50</v>
      </c>
    </row>
    <row r="86" spans="2:2" ht="21" customHeight="1" x14ac:dyDescent="0.25">
      <c r="B86" s="8">
        <v>51</v>
      </c>
    </row>
    <row r="87" spans="2:2" ht="21" customHeight="1" x14ac:dyDescent="0.25">
      <c r="B87" s="8">
        <v>52</v>
      </c>
    </row>
    <row r="88" spans="2:2" ht="21" customHeight="1" x14ac:dyDescent="0.25">
      <c r="B88" s="8">
        <v>53</v>
      </c>
    </row>
    <row r="89" spans="2:2" ht="21" customHeight="1" x14ac:dyDescent="0.25">
      <c r="B89" s="8">
        <v>54</v>
      </c>
    </row>
    <row r="90" spans="2:2" ht="21" customHeight="1" x14ac:dyDescent="0.25">
      <c r="B90" s="8">
        <v>55</v>
      </c>
    </row>
    <row r="91" spans="2:2" ht="21" customHeight="1" x14ac:dyDescent="0.25">
      <c r="B91" s="8">
        <v>56</v>
      </c>
    </row>
    <row r="92" spans="2:2" ht="21" customHeight="1" x14ac:dyDescent="0.25">
      <c r="B92" s="8">
        <v>57</v>
      </c>
    </row>
    <row r="93" spans="2:2" ht="21" customHeight="1" x14ac:dyDescent="0.25">
      <c r="B93" s="8">
        <v>58</v>
      </c>
    </row>
    <row r="94" spans="2:2" ht="21" customHeight="1" x14ac:dyDescent="0.25">
      <c r="B94" s="8">
        <v>59</v>
      </c>
    </row>
    <row r="95" spans="2:2" ht="21" customHeight="1" x14ac:dyDescent="0.25">
      <c r="B95" s="8">
        <v>60</v>
      </c>
    </row>
    <row r="96" spans="2:2" ht="21" customHeight="1" x14ac:dyDescent="0.25">
      <c r="B96" s="8">
        <v>61</v>
      </c>
    </row>
    <row r="97" spans="2:2" ht="21" customHeight="1" x14ac:dyDescent="0.25">
      <c r="B97" s="8">
        <v>62</v>
      </c>
    </row>
    <row r="98" spans="2:2" ht="21" customHeight="1" x14ac:dyDescent="0.25">
      <c r="B98" s="8">
        <v>63</v>
      </c>
    </row>
    <row r="99" spans="2:2" ht="21" customHeight="1" x14ac:dyDescent="0.25">
      <c r="B99" s="8">
        <v>64</v>
      </c>
    </row>
    <row r="100" spans="2:2" ht="21" customHeight="1" x14ac:dyDescent="0.25">
      <c r="B100" s="8">
        <v>65</v>
      </c>
    </row>
    <row r="101" spans="2:2" ht="21" customHeight="1" x14ac:dyDescent="0.25">
      <c r="B101" s="8">
        <v>66</v>
      </c>
    </row>
    <row r="102" spans="2:2" ht="21" customHeight="1" x14ac:dyDescent="0.25">
      <c r="B102" s="8">
        <v>67</v>
      </c>
    </row>
    <row r="103" spans="2:2" ht="21" customHeight="1" x14ac:dyDescent="0.25">
      <c r="B103" s="8">
        <v>68</v>
      </c>
    </row>
    <row r="104" spans="2:2" ht="21" customHeight="1" x14ac:dyDescent="0.25">
      <c r="B104" s="8">
        <v>69</v>
      </c>
    </row>
    <row r="105" spans="2:2" ht="21" customHeight="1" x14ac:dyDescent="0.25">
      <c r="B105" s="8">
        <v>70</v>
      </c>
    </row>
    <row r="106" spans="2:2" ht="21" customHeight="1" x14ac:dyDescent="0.25">
      <c r="B106" s="8">
        <v>71</v>
      </c>
    </row>
    <row r="107" spans="2:2" ht="21" customHeight="1" x14ac:dyDescent="0.25">
      <c r="B107" s="8">
        <v>72</v>
      </c>
    </row>
    <row r="108" spans="2:2" ht="21" customHeight="1" x14ac:dyDescent="0.25">
      <c r="B108" s="8">
        <v>73</v>
      </c>
    </row>
    <row r="109" spans="2:2" ht="21" customHeight="1" x14ac:dyDescent="0.25">
      <c r="B109" s="8">
        <v>74</v>
      </c>
    </row>
    <row r="110" spans="2:2" ht="21" customHeight="1" x14ac:dyDescent="0.25">
      <c r="B110" s="8">
        <v>75</v>
      </c>
    </row>
    <row r="111" spans="2:2" ht="21" customHeight="1" x14ac:dyDescent="0.25">
      <c r="B111" s="8">
        <v>76</v>
      </c>
    </row>
    <row r="112" spans="2:2" ht="21" customHeight="1" x14ac:dyDescent="0.25">
      <c r="B112" s="8">
        <v>77</v>
      </c>
    </row>
    <row r="113" spans="2:2" ht="21" customHeight="1" x14ac:dyDescent="0.25">
      <c r="B113" s="8">
        <v>78</v>
      </c>
    </row>
    <row r="114" spans="2:2" ht="21" customHeight="1" x14ac:dyDescent="0.25">
      <c r="B114" s="8">
        <v>79</v>
      </c>
    </row>
    <row r="115" spans="2:2" ht="21" customHeight="1" x14ac:dyDescent="0.25">
      <c r="B115" s="8">
        <v>80</v>
      </c>
    </row>
    <row r="116" spans="2:2" ht="21" customHeight="1" x14ac:dyDescent="0.25">
      <c r="B116" s="8">
        <v>81</v>
      </c>
    </row>
    <row r="117" spans="2:2" ht="21" customHeight="1" x14ac:dyDescent="0.25">
      <c r="B117" s="8">
        <v>82</v>
      </c>
    </row>
    <row r="118" spans="2:2" ht="21" customHeight="1" x14ac:dyDescent="0.25">
      <c r="B118" s="8">
        <v>83</v>
      </c>
    </row>
    <row r="119" spans="2:2" ht="21" customHeight="1" x14ac:dyDescent="0.25">
      <c r="B119" s="8">
        <v>84</v>
      </c>
    </row>
    <row r="120" spans="2:2" ht="21" customHeight="1" x14ac:dyDescent="0.25">
      <c r="B120" s="8">
        <v>85</v>
      </c>
    </row>
    <row r="121" spans="2:2" ht="21" customHeight="1" x14ac:dyDescent="0.25">
      <c r="B121" s="8">
        <v>86</v>
      </c>
    </row>
    <row r="122" spans="2:2" ht="21" customHeight="1" x14ac:dyDescent="0.25">
      <c r="B122" s="8">
        <v>87</v>
      </c>
    </row>
    <row r="123" spans="2:2" ht="21" customHeight="1" x14ac:dyDescent="0.25">
      <c r="B123" s="8">
        <v>88</v>
      </c>
    </row>
    <row r="124" spans="2:2" ht="21" customHeight="1" x14ac:dyDescent="0.25">
      <c r="B124" s="8">
        <v>89</v>
      </c>
    </row>
    <row r="125" spans="2:2" ht="21" customHeight="1" x14ac:dyDescent="0.25">
      <c r="B125" s="8">
        <v>90</v>
      </c>
    </row>
    <row r="126" spans="2:2" ht="21" customHeight="1" x14ac:dyDescent="0.25">
      <c r="B126" s="8">
        <v>91</v>
      </c>
    </row>
    <row r="127" spans="2:2" ht="21" customHeight="1" x14ac:dyDescent="0.25">
      <c r="B127" s="8">
        <v>92</v>
      </c>
    </row>
    <row r="128" spans="2:2" ht="21" customHeight="1" x14ac:dyDescent="0.25">
      <c r="B128" s="8">
        <v>93</v>
      </c>
    </row>
    <row r="129" spans="2:2" ht="21" customHeight="1" x14ac:dyDescent="0.25">
      <c r="B129" s="8">
        <v>94</v>
      </c>
    </row>
    <row r="130" spans="2:2" ht="21" customHeight="1" x14ac:dyDescent="0.25">
      <c r="B130" s="8">
        <v>95</v>
      </c>
    </row>
    <row r="131" spans="2:2" ht="21" customHeight="1" x14ac:dyDescent="0.25">
      <c r="B131" s="8">
        <v>96</v>
      </c>
    </row>
    <row r="132" spans="2:2" ht="21" customHeight="1" x14ac:dyDescent="0.25">
      <c r="B132" s="8">
        <v>97</v>
      </c>
    </row>
    <row r="133" spans="2:2" ht="21" customHeight="1" x14ac:dyDescent="0.25">
      <c r="B133" s="8">
        <v>98</v>
      </c>
    </row>
    <row r="134" spans="2:2" ht="21" customHeight="1" x14ac:dyDescent="0.25">
      <c r="B134" s="8">
        <v>99</v>
      </c>
    </row>
    <row r="135" spans="2:2" ht="21" customHeight="1" x14ac:dyDescent="0.25">
      <c r="B135" s="8">
        <v>100</v>
      </c>
    </row>
    <row r="136" spans="2:2" ht="21" customHeight="1" x14ac:dyDescent="0.25">
      <c r="B136" s="8">
        <v>101</v>
      </c>
    </row>
    <row r="137" spans="2:2" ht="21" customHeight="1" x14ac:dyDescent="0.25">
      <c r="B137" s="8">
        <v>102</v>
      </c>
    </row>
    <row r="138" spans="2:2" ht="21" customHeight="1" x14ac:dyDescent="0.25">
      <c r="B138" s="8">
        <v>103</v>
      </c>
    </row>
    <row r="139" spans="2:2" ht="21" customHeight="1" x14ac:dyDescent="0.25">
      <c r="B139" s="8">
        <v>104</v>
      </c>
    </row>
    <row r="140" spans="2:2" ht="21" customHeight="1" x14ac:dyDescent="0.25">
      <c r="B140" s="8">
        <v>105</v>
      </c>
    </row>
    <row r="141" spans="2:2" ht="21" customHeight="1" x14ac:dyDescent="0.25">
      <c r="B141" s="8">
        <v>106</v>
      </c>
    </row>
    <row r="142" spans="2:2" ht="21" customHeight="1" x14ac:dyDescent="0.25">
      <c r="B142" s="8">
        <v>107</v>
      </c>
    </row>
    <row r="143" spans="2:2" ht="21" customHeight="1" x14ac:dyDescent="0.25">
      <c r="B143" s="8">
        <v>108</v>
      </c>
    </row>
    <row r="144" spans="2:2" ht="21" customHeight="1" x14ac:dyDescent="0.25">
      <c r="B144" s="8">
        <v>109</v>
      </c>
    </row>
    <row r="145" spans="2:2" ht="21" customHeight="1" x14ac:dyDescent="0.25">
      <c r="B145" s="8">
        <v>110</v>
      </c>
    </row>
    <row r="146" spans="2:2" ht="21" customHeight="1" x14ac:dyDescent="0.25">
      <c r="B146" s="8">
        <v>111</v>
      </c>
    </row>
    <row r="147" spans="2:2" ht="21" customHeight="1" x14ac:dyDescent="0.25">
      <c r="B147" s="8">
        <v>112</v>
      </c>
    </row>
    <row r="148" spans="2:2" ht="21" customHeight="1" x14ac:dyDescent="0.25">
      <c r="B148" s="8">
        <v>113</v>
      </c>
    </row>
    <row r="149" spans="2:2" ht="21" customHeight="1" x14ac:dyDescent="0.25">
      <c r="B149" s="8">
        <v>114</v>
      </c>
    </row>
    <row r="150" spans="2:2" ht="21" customHeight="1" x14ac:dyDescent="0.25">
      <c r="B150" s="8">
        <v>115</v>
      </c>
    </row>
    <row r="151" spans="2:2" ht="21" customHeight="1" x14ac:dyDescent="0.25">
      <c r="B151" s="8">
        <v>116</v>
      </c>
    </row>
    <row r="152" spans="2:2" ht="21" customHeight="1" x14ac:dyDescent="0.25">
      <c r="B152" s="8">
        <v>117</v>
      </c>
    </row>
    <row r="153" spans="2:2" ht="21" customHeight="1" x14ac:dyDescent="0.25">
      <c r="B153" s="8">
        <v>118</v>
      </c>
    </row>
    <row r="154" spans="2:2" ht="21" customHeight="1" x14ac:dyDescent="0.25">
      <c r="B154" s="8">
        <v>119</v>
      </c>
    </row>
    <row r="155" spans="2:2" ht="21" customHeight="1" x14ac:dyDescent="0.25">
      <c r="B155" s="8">
        <v>120</v>
      </c>
    </row>
    <row r="156" spans="2:2" ht="21" customHeight="1" x14ac:dyDescent="0.25">
      <c r="B156" s="8">
        <v>121</v>
      </c>
    </row>
    <row r="157" spans="2:2" ht="21" customHeight="1" x14ac:dyDescent="0.25">
      <c r="B157" s="8">
        <v>122</v>
      </c>
    </row>
    <row r="158" spans="2:2" ht="21" customHeight="1" x14ac:dyDescent="0.25">
      <c r="B158" s="8">
        <v>123</v>
      </c>
    </row>
    <row r="159" spans="2:2" ht="21" customHeight="1" x14ac:dyDescent="0.25">
      <c r="B159" s="8">
        <v>124</v>
      </c>
    </row>
    <row r="160" spans="2:2" ht="21" customHeight="1" x14ac:dyDescent="0.25">
      <c r="B160" s="8">
        <v>125</v>
      </c>
    </row>
    <row r="161" spans="2:2" ht="21" customHeight="1" x14ac:dyDescent="0.25">
      <c r="B161" s="8">
        <v>126</v>
      </c>
    </row>
    <row r="162" spans="2:2" ht="21" customHeight="1" x14ac:dyDescent="0.25">
      <c r="B162" s="8">
        <v>127</v>
      </c>
    </row>
    <row r="163" spans="2:2" ht="21" customHeight="1" x14ac:dyDescent="0.25">
      <c r="B163" s="8">
        <v>128</v>
      </c>
    </row>
    <row r="164" spans="2:2" ht="21" customHeight="1" x14ac:dyDescent="0.25">
      <c r="B164" s="8">
        <v>129</v>
      </c>
    </row>
    <row r="165" spans="2:2" ht="21" customHeight="1" x14ac:dyDescent="0.25">
      <c r="B165" s="8">
        <v>130</v>
      </c>
    </row>
    <row r="166" spans="2:2" ht="21" customHeight="1" x14ac:dyDescent="0.25">
      <c r="B166" s="8">
        <v>131</v>
      </c>
    </row>
    <row r="167" spans="2:2" ht="21" customHeight="1" x14ac:dyDescent="0.25">
      <c r="B167" s="8">
        <v>132</v>
      </c>
    </row>
    <row r="168" spans="2:2" ht="21" customHeight="1" x14ac:dyDescent="0.25">
      <c r="B168" s="8">
        <v>133</v>
      </c>
    </row>
    <row r="169" spans="2:2" ht="21" customHeight="1" x14ac:dyDescent="0.25">
      <c r="B169" s="8">
        <v>134</v>
      </c>
    </row>
    <row r="170" spans="2:2" ht="21" customHeight="1" x14ac:dyDescent="0.25">
      <c r="B170" s="8">
        <v>135</v>
      </c>
    </row>
    <row r="171" spans="2:2" ht="21" customHeight="1" x14ac:dyDescent="0.25">
      <c r="B171" s="8">
        <v>136</v>
      </c>
    </row>
    <row r="172" spans="2:2" ht="21" customHeight="1" x14ac:dyDescent="0.25">
      <c r="B172" s="8">
        <v>137</v>
      </c>
    </row>
    <row r="173" spans="2:2" ht="21" customHeight="1" x14ac:dyDescent="0.25">
      <c r="B173" s="8">
        <v>138</v>
      </c>
    </row>
    <row r="174" spans="2:2" ht="21" customHeight="1" x14ac:dyDescent="0.25">
      <c r="B174" s="8">
        <v>139</v>
      </c>
    </row>
    <row r="175" spans="2:2" ht="21" customHeight="1" x14ac:dyDescent="0.25">
      <c r="B175" s="8">
        <v>140</v>
      </c>
    </row>
    <row r="176" spans="2:2" ht="21" customHeight="1" x14ac:dyDescent="0.25">
      <c r="B176" s="8">
        <v>141</v>
      </c>
    </row>
    <row r="177" spans="2:2" ht="21" customHeight="1" x14ac:dyDescent="0.25">
      <c r="B177" s="8">
        <v>142</v>
      </c>
    </row>
    <row r="178" spans="2:2" ht="21" customHeight="1" x14ac:dyDescent="0.25">
      <c r="B178" s="8">
        <v>143</v>
      </c>
    </row>
    <row r="179" spans="2:2" ht="21" customHeight="1" x14ac:dyDescent="0.25">
      <c r="B179" s="8">
        <v>144</v>
      </c>
    </row>
    <row r="180" spans="2:2" ht="21" customHeight="1" x14ac:dyDescent="0.25">
      <c r="B180" s="8">
        <v>145</v>
      </c>
    </row>
    <row r="181" spans="2:2" ht="21" customHeight="1" x14ac:dyDescent="0.25">
      <c r="B181" s="8">
        <v>146</v>
      </c>
    </row>
    <row r="182" spans="2:2" ht="21" customHeight="1" x14ac:dyDescent="0.25">
      <c r="B182" s="8">
        <v>147</v>
      </c>
    </row>
    <row r="183" spans="2:2" ht="21" customHeight="1" x14ac:dyDescent="0.25">
      <c r="B183" s="8">
        <v>148</v>
      </c>
    </row>
    <row r="184" spans="2:2" ht="21" customHeight="1" x14ac:dyDescent="0.25">
      <c r="B184" s="8">
        <v>149</v>
      </c>
    </row>
    <row r="185" spans="2:2" ht="21" customHeight="1" x14ac:dyDescent="0.25">
      <c r="B185" s="8">
        <v>150</v>
      </c>
    </row>
    <row r="186" spans="2:2" ht="21" customHeight="1" x14ac:dyDescent="0.25">
      <c r="B186" s="8">
        <v>151</v>
      </c>
    </row>
    <row r="187" spans="2:2" ht="21" customHeight="1" x14ac:dyDescent="0.25">
      <c r="B187" s="8">
        <v>152</v>
      </c>
    </row>
    <row r="188" spans="2:2" ht="21" customHeight="1" x14ac:dyDescent="0.25">
      <c r="B188" s="8">
        <v>153</v>
      </c>
    </row>
    <row r="189" spans="2:2" ht="21" customHeight="1" x14ac:dyDescent="0.25">
      <c r="B189" s="8">
        <v>154</v>
      </c>
    </row>
    <row r="190" spans="2:2" ht="21" customHeight="1" x14ac:dyDescent="0.25">
      <c r="B190" s="8">
        <v>155</v>
      </c>
    </row>
    <row r="191" spans="2:2" ht="21" customHeight="1" x14ac:dyDescent="0.25">
      <c r="B191" s="8">
        <v>156</v>
      </c>
    </row>
    <row r="192" spans="2:2" ht="21" customHeight="1" x14ac:dyDescent="0.25">
      <c r="B192" s="8">
        <v>157</v>
      </c>
    </row>
    <row r="193" spans="2:2" ht="21" customHeight="1" x14ac:dyDescent="0.25">
      <c r="B193" s="8">
        <v>158</v>
      </c>
    </row>
    <row r="194" spans="2:2" ht="21" customHeight="1" x14ac:dyDescent="0.25">
      <c r="B194" s="8">
        <v>159</v>
      </c>
    </row>
    <row r="195" spans="2:2" ht="21" customHeight="1" x14ac:dyDescent="0.25">
      <c r="B195" s="8">
        <v>160</v>
      </c>
    </row>
    <row r="196" spans="2:2" ht="21" customHeight="1" x14ac:dyDescent="0.25">
      <c r="B196" s="8">
        <v>161</v>
      </c>
    </row>
    <row r="197" spans="2:2" ht="21" customHeight="1" x14ac:dyDescent="0.25">
      <c r="B197" s="8">
        <v>162</v>
      </c>
    </row>
    <row r="198" spans="2:2" ht="21" customHeight="1" x14ac:dyDescent="0.25">
      <c r="B198" s="8">
        <v>163</v>
      </c>
    </row>
    <row r="199" spans="2:2" ht="21" customHeight="1" x14ac:dyDescent="0.25">
      <c r="B199" s="8">
        <v>164</v>
      </c>
    </row>
    <row r="200" spans="2:2" ht="21" customHeight="1" x14ac:dyDescent="0.25">
      <c r="B200" s="8">
        <v>165</v>
      </c>
    </row>
    <row r="201" spans="2:2" ht="21" customHeight="1" x14ac:dyDescent="0.25">
      <c r="B201" s="8">
        <v>166</v>
      </c>
    </row>
    <row r="202" spans="2:2" ht="21" customHeight="1" x14ac:dyDescent="0.25">
      <c r="B202" s="8">
        <v>167</v>
      </c>
    </row>
    <row r="203" spans="2:2" ht="21" customHeight="1" x14ac:dyDescent="0.25">
      <c r="B203" s="8">
        <v>168</v>
      </c>
    </row>
    <row r="204" spans="2:2" ht="21" customHeight="1" x14ac:dyDescent="0.25">
      <c r="B204" s="8">
        <v>169</v>
      </c>
    </row>
    <row r="205" spans="2:2" ht="21" customHeight="1" x14ac:dyDescent="0.25">
      <c r="B205" s="8">
        <v>170</v>
      </c>
    </row>
    <row r="206" spans="2:2" ht="21" customHeight="1" x14ac:dyDescent="0.25">
      <c r="B206" s="8">
        <v>171</v>
      </c>
    </row>
    <row r="207" spans="2:2" ht="21" customHeight="1" x14ac:dyDescent="0.25">
      <c r="B207" s="8">
        <v>172</v>
      </c>
    </row>
    <row r="208" spans="2:2" ht="21" customHeight="1" x14ac:dyDescent="0.25">
      <c r="B208" s="8">
        <v>173</v>
      </c>
    </row>
    <row r="209" spans="2:2" ht="21" customHeight="1" x14ac:dyDescent="0.25">
      <c r="B209" s="8">
        <v>174</v>
      </c>
    </row>
    <row r="210" spans="2:2" ht="21" customHeight="1" x14ac:dyDescent="0.25">
      <c r="B210" s="8">
        <v>175</v>
      </c>
    </row>
    <row r="211" spans="2:2" ht="21" customHeight="1" x14ac:dyDescent="0.25">
      <c r="B211" s="8">
        <v>176</v>
      </c>
    </row>
    <row r="212" spans="2:2" ht="21" customHeight="1" x14ac:dyDescent="0.25">
      <c r="B212" s="8">
        <v>177</v>
      </c>
    </row>
    <row r="213" spans="2:2" ht="21" customHeight="1" x14ac:dyDescent="0.25">
      <c r="B213" s="8">
        <v>178</v>
      </c>
    </row>
    <row r="214" spans="2:2" ht="21" customHeight="1" x14ac:dyDescent="0.25">
      <c r="B214" s="8">
        <v>179</v>
      </c>
    </row>
    <row r="215" spans="2:2" ht="21" customHeight="1" x14ac:dyDescent="0.25">
      <c r="B215" s="8">
        <v>180</v>
      </c>
    </row>
    <row r="216" spans="2:2" ht="21" customHeight="1" x14ac:dyDescent="0.25">
      <c r="B216" s="8">
        <v>181</v>
      </c>
    </row>
    <row r="217" spans="2:2" ht="21" customHeight="1" x14ac:dyDescent="0.25">
      <c r="B217" s="8">
        <v>182</v>
      </c>
    </row>
    <row r="218" spans="2:2" ht="21" customHeight="1" x14ac:dyDescent="0.25">
      <c r="B218" s="8">
        <v>183</v>
      </c>
    </row>
    <row r="219" spans="2:2" ht="21" customHeight="1" x14ac:dyDescent="0.25">
      <c r="B219" s="8">
        <v>184</v>
      </c>
    </row>
    <row r="220" spans="2:2" ht="21" customHeight="1" x14ac:dyDescent="0.25">
      <c r="B220" s="8">
        <v>185</v>
      </c>
    </row>
    <row r="221" spans="2:2" ht="21" customHeight="1" x14ac:dyDescent="0.25">
      <c r="B221" s="8">
        <v>186</v>
      </c>
    </row>
    <row r="222" spans="2:2" ht="21" customHeight="1" x14ac:dyDescent="0.25">
      <c r="B222" s="8">
        <v>187</v>
      </c>
    </row>
    <row r="223" spans="2:2" ht="21" customHeight="1" x14ac:dyDescent="0.25">
      <c r="B223" s="8">
        <v>188</v>
      </c>
    </row>
    <row r="224" spans="2:2" ht="21" customHeight="1" x14ac:dyDescent="0.25">
      <c r="B224" s="8">
        <v>189</v>
      </c>
    </row>
    <row r="225" spans="2:2" ht="21" customHeight="1" x14ac:dyDescent="0.25">
      <c r="B225" s="8">
        <v>190</v>
      </c>
    </row>
    <row r="226" spans="2:2" ht="21" customHeight="1" x14ac:dyDescent="0.25">
      <c r="B226" s="8">
        <v>191</v>
      </c>
    </row>
    <row r="227" spans="2:2" ht="21" customHeight="1" x14ac:dyDescent="0.25">
      <c r="B227" s="8">
        <v>192</v>
      </c>
    </row>
    <row r="228" spans="2:2" ht="21" customHeight="1" x14ac:dyDescent="0.25">
      <c r="B228" s="8">
        <v>193</v>
      </c>
    </row>
    <row r="229" spans="2:2" ht="21" customHeight="1" x14ac:dyDescent="0.25">
      <c r="B229" s="8">
        <v>194</v>
      </c>
    </row>
    <row r="230" spans="2:2" ht="21" customHeight="1" x14ac:dyDescent="0.25">
      <c r="B230" s="8">
        <v>195</v>
      </c>
    </row>
    <row r="231" spans="2:2" ht="21" customHeight="1" x14ac:dyDescent="0.25">
      <c r="B231" s="8">
        <v>196</v>
      </c>
    </row>
    <row r="232" spans="2:2" ht="21" customHeight="1" x14ac:dyDescent="0.25">
      <c r="B232" s="8">
        <v>197</v>
      </c>
    </row>
    <row r="233" spans="2:2" ht="21" customHeight="1" x14ac:dyDescent="0.25">
      <c r="B233" s="8">
        <v>198</v>
      </c>
    </row>
    <row r="234" spans="2:2" ht="21" customHeight="1" x14ac:dyDescent="0.25">
      <c r="B234" s="8">
        <v>199</v>
      </c>
    </row>
    <row r="235" spans="2:2" ht="21" customHeight="1" x14ac:dyDescent="0.25">
      <c r="B235" s="8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V198"/>
  <sheetViews>
    <sheetView tabSelected="1" topLeftCell="A75" zoomScale="85" zoomScaleNormal="85" workbookViewId="0">
      <selection activeCell="H113" sqref="H113"/>
    </sheetView>
  </sheetViews>
  <sheetFormatPr defaultRowHeight="13.2" x14ac:dyDescent="0.25"/>
  <cols>
    <col min="3" max="3" width="13.44140625" bestFit="1" customWidth="1"/>
    <col min="4" max="4" width="8.109375" style="1" customWidth="1"/>
    <col min="5" max="5" width="15.88671875" customWidth="1"/>
    <col min="6" max="6" width="9.33203125" customWidth="1"/>
    <col min="7" max="16" width="6.77734375" customWidth="1"/>
    <col min="19" max="19" width="13.109375" bestFit="1" customWidth="1"/>
  </cols>
  <sheetData>
    <row r="1" spans="1:22" x14ac:dyDescent="0.25">
      <c r="A1" t="s">
        <v>574</v>
      </c>
      <c r="B1" t="s">
        <v>575</v>
      </c>
      <c r="C1" t="s">
        <v>576</v>
      </c>
    </row>
    <row r="2" spans="1:22" x14ac:dyDescent="0.25">
      <c r="B2" s="17"/>
      <c r="C2" s="17"/>
      <c r="D2" s="23" t="s">
        <v>550</v>
      </c>
      <c r="E2" s="21" t="s">
        <v>24</v>
      </c>
      <c r="F2" s="21" t="s">
        <v>551</v>
      </c>
      <c r="G2" s="21" t="s">
        <v>38</v>
      </c>
      <c r="H2" s="21" t="s">
        <v>552</v>
      </c>
      <c r="I2" s="21" t="s">
        <v>553</v>
      </c>
      <c r="J2" s="17"/>
      <c r="K2" s="17"/>
      <c r="L2" s="17"/>
      <c r="M2" s="17"/>
      <c r="N2" s="17"/>
      <c r="O2" s="17"/>
      <c r="P2" s="22"/>
      <c r="Q2" s="17"/>
      <c r="R2" s="17"/>
      <c r="S2" s="17"/>
    </row>
    <row r="3" spans="1:22" x14ac:dyDescent="0.25">
      <c r="B3" s="17" t="s">
        <v>554</v>
      </c>
      <c r="C3" s="17" t="s">
        <v>555</v>
      </c>
      <c r="D3" s="17" t="s">
        <v>556</v>
      </c>
      <c r="E3" s="17" t="s">
        <v>557</v>
      </c>
      <c r="F3" s="22"/>
      <c r="G3" s="17">
        <v>1</v>
      </c>
      <c r="H3" s="17">
        <v>1</v>
      </c>
      <c r="I3" s="17">
        <v>4</v>
      </c>
      <c r="J3" s="17"/>
      <c r="K3" s="17"/>
      <c r="L3" s="17"/>
      <c r="M3" s="17"/>
      <c r="N3" s="17"/>
      <c r="O3" s="17"/>
      <c r="P3" s="22"/>
      <c r="Q3" s="17"/>
      <c r="R3" s="17"/>
      <c r="S3" s="17"/>
    </row>
    <row r="4" spans="1:22" x14ac:dyDescent="0.25">
      <c r="B4" s="17"/>
      <c r="C4" s="17"/>
      <c r="D4" s="23" t="s">
        <v>550</v>
      </c>
      <c r="E4" s="21" t="s">
        <v>24</v>
      </c>
      <c r="F4" s="21" t="s">
        <v>38</v>
      </c>
      <c r="G4" s="21" t="s">
        <v>553</v>
      </c>
      <c r="H4" s="17"/>
      <c r="I4" s="17"/>
      <c r="J4" s="17"/>
      <c r="K4" s="17"/>
      <c r="L4" s="17"/>
      <c r="M4" s="17"/>
      <c r="N4" s="17"/>
      <c r="O4" s="17"/>
      <c r="P4" s="22"/>
      <c r="Q4" s="17"/>
      <c r="R4" s="17"/>
      <c r="S4" s="17"/>
    </row>
    <row r="5" spans="1:22" x14ac:dyDescent="0.25">
      <c r="B5" s="17" t="s">
        <v>558</v>
      </c>
      <c r="C5" s="17" t="s">
        <v>621</v>
      </c>
      <c r="D5" s="17" t="s">
        <v>556</v>
      </c>
      <c r="E5" s="17" t="s">
        <v>559</v>
      </c>
      <c r="F5" s="17">
        <v>0</v>
      </c>
      <c r="G5" s="17" t="s">
        <v>578</v>
      </c>
      <c r="H5" s="17" t="s">
        <v>572</v>
      </c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</row>
    <row r="6" spans="1:22" x14ac:dyDescent="0.25">
      <c r="B6" s="17"/>
      <c r="C6" s="17"/>
      <c r="D6" s="36" t="s">
        <v>24</v>
      </c>
      <c r="E6" s="36" t="s">
        <v>560</v>
      </c>
      <c r="F6" s="36" t="s">
        <v>561</v>
      </c>
      <c r="G6" s="36" t="s">
        <v>503</v>
      </c>
      <c r="H6" s="36" t="s">
        <v>562</v>
      </c>
      <c r="I6" s="36" t="s">
        <v>563</v>
      </c>
      <c r="J6" s="36" t="s">
        <v>38</v>
      </c>
      <c r="K6" s="36" t="s">
        <v>552</v>
      </c>
      <c r="L6" s="36" t="s">
        <v>553</v>
      </c>
      <c r="M6" s="36" t="s">
        <v>564</v>
      </c>
      <c r="N6" s="36" t="s">
        <v>38</v>
      </c>
      <c r="O6" s="36" t="s">
        <v>552</v>
      </c>
      <c r="P6" s="36" t="s">
        <v>553</v>
      </c>
      <c r="Q6" s="17"/>
      <c r="R6" s="17"/>
      <c r="S6" s="17"/>
    </row>
    <row r="7" spans="1:22" x14ac:dyDescent="0.25">
      <c r="A7" s="26" t="s">
        <v>761</v>
      </c>
      <c r="B7" s="26" t="s">
        <v>554</v>
      </c>
      <c r="C7" t="s">
        <v>675</v>
      </c>
      <c r="F7" s="1" t="s">
        <v>658</v>
      </c>
      <c r="G7" s="30" t="s">
        <v>623</v>
      </c>
      <c r="H7" s="29">
        <v>2</v>
      </c>
      <c r="I7" s="29">
        <v>2</v>
      </c>
      <c r="J7" s="29">
        <v>4</v>
      </c>
      <c r="K7" s="29"/>
      <c r="L7" s="17"/>
      <c r="M7" s="17"/>
      <c r="N7" s="17"/>
      <c r="O7" s="17"/>
      <c r="P7" s="17"/>
      <c r="Q7" s="17"/>
      <c r="R7" s="17"/>
      <c r="S7" s="17"/>
      <c r="T7" s="17"/>
    </row>
    <row r="8" spans="1:22" x14ac:dyDescent="0.25">
      <c r="A8" s="26" t="s">
        <v>761</v>
      </c>
      <c r="B8" s="26" t="s">
        <v>558</v>
      </c>
      <c r="C8" t="s">
        <v>676</v>
      </c>
      <c r="D8" s="31" t="s">
        <v>691</v>
      </c>
      <c r="E8" s="31" t="str">
        <f>S8&amp;"["&amp;T8&amp;"]"</f>
        <v>Alten[white/green]</v>
      </c>
      <c r="F8" s="30" t="s">
        <v>678</v>
      </c>
      <c r="G8" s="30" t="s">
        <v>578</v>
      </c>
      <c r="H8" s="29">
        <v>2</v>
      </c>
      <c r="I8" s="29"/>
      <c r="J8" s="29"/>
      <c r="K8" s="29"/>
      <c r="L8" s="29"/>
      <c r="S8" s="31" t="s">
        <v>701</v>
      </c>
      <c r="T8" s="26" t="s">
        <v>765</v>
      </c>
    </row>
    <row r="9" spans="1:22" x14ac:dyDescent="0.25">
      <c r="A9" s="26" t="s">
        <v>761</v>
      </c>
      <c r="B9" s="26" t="s">
        <v>567</v>
      </c>
      <c r="C9" t="s">
        <v>687</v>
      </c>
      <c r="D9" s="1" t="str">
        <f>S9&amp;"["&amp;T9&amp;"]"</f>
        <v>Barnard[white/green]</v>
      </c>
      <c r="F9" s="29"/>
      <c r="G9" s="17" t="s">
        <v>568</v>
      </c>
      <c r="I9" s="29"/>
      <c r="J9" s="29">
        <v>4</v>
      </c>
      <c r="K9" s="29">
        <v>5</v>
      </c>
      <c r="L9" s="29">
        <v>4</v>
      </c>
      <c r="M9" s="29">
        <v>5</v>
      </c>
      <c r="N9" s="29">
        <f t="shared" ref="N9:N58" si="0">J9-1</f>
        <v>3</v>
      </c>
      <c r="O9" s="29">
        <f t="shared" ref="O9:O58" si="1">K9-1</f>
        <v>4</v>
      </c>
      <c r="P9" s="29">
        <f t="shared" ref="P9:P58" si="2">L9-1</f>
        <v>3</v>
      </c>
      <c r="S9" s="1" t="s">
        <v>722</v>
      </c>
      <c r="T9" t="str">
        <f>T8</f>
        <v>white/green</v>
      </c>
    </row>
    <row r="10" spans="1:22" x14ac:dyDescent="0.25">
      <c r="A10" s="26" t="s">
        <v>761</v>
      </c>
      <c r="B10" s="26" t="s">
        <v>567</v>
      </c>
      <c r="C10" t="s">
        <v>687</v>
      </c>
      <c r="D10" s="1" t="str">
        <f>S10&amp;"["&amp;T10&amp;"]"</f>
        <v>Vandeleur[white/green]</v>
      </c>
      <c r="F10" s="29"/>
      <c r="G10" s="17" t="s">
        <v>568</v>
      </c>
      <c r="I10" s="29"/>
      <c r="J10" s="29">
        <v>5</v>
      </c>
      <c r="K10" s="29">
        <v>5</v>
      </c>
      <c r="L10" s="29">
        <v>4</v>
      </c>
      <c r="M10" s="29">
        <v>5</v>
      </c>
      <c r="N10" s="29">
        <f t="shared" si="0"/>
        <v>4</v>
      </c>
      <c r="O10" s="29">
        <f t="shared" si="1"/>
        <v>4</v>
      </c>
      <c r="P10" s="29">
        <f t="shared" si="2"/>
        <v>3</v>
      </c>
      <c r="S10" s="1" t="s">
        <v>723</v>
      </c>
      <c r="T10" t="str">
        <f>T9</f>
        <v>white/green</v>
      </c>
    </row>
    <row r="11" spans="1:22" x14ac:dyDescent="0.25">
      <c r="A11" s="26" t="s">
        <v>761</v>
      </c>
      <c r="B11" s="26" t="s">
        <v>656</v>
      </c>
      <c r="C11" t="s">
        <v>684</v>
      </c>
      <c r="D11" s="1" t="str">
        <f>S11&amp;"["&amp;T11&amp;"]"</f>
        <v>Ross[white/green]</v>
      </c>
      <c r="F11" s="29"/>
      <c r="G11" s="17" t="s">
        <v>641</v>
      </c>
      <c r="H11" s="22" t="s">
        <v>657</v>
      </c>
      <c r="I11" s="29"/>
      <c r="J11" s="32" t="s">
        <v>682</v>
      </c>
      <c r="K11" s="29">
        <v>4</v>
      </c>
      <c r="L11" s="29">
        <v>7</v>
      </c>
      <c r="M11" s="33" t="s">
        <v>715</v>
      </c>
      <c r="N11" s="29">
        <v>0</v>
      </c>
      <c r="O11" s="29">
        <f t="shared" si="1"/>
        <v>3</v>
      </c>
      <c r="P11" s="29">
        <f t="shared" si="2"/>
        <v>6</v>
      </c>
      <c r="S11" s="31" t="s">
        <v>724</v>
      </c>
      <c r="T11" t="str">
        <f>T10</f>
        <v>white/green</v>
      </c>
      <c r="V11" s="26" t="s">
        <v>868</v>
      </c>
    </row>
    <row r="12" spans="1:22" x14ac:dyDescent="0.25">
      <c r="A12" s="26" t="s">
        <v>761</v>
      </c>
      <c r="B12" s="26" t="s">
        <v>558</v>
      </c>
      <c r="C12" t="s">
        <v>676</v>
      </c>
      <c r="D12" s="22" t="s">
        <v>573</v>
      </c>
      <c r="E12" s="31" t="str">
        <f>S12&amp;"["&amp;T12&amp;"]"</f>
        <v>Campbell[black/red]</v>
      </c>
      <c r="F12" s="30" t="s">
        <v>678</v>
      </c>
      <c r="G12" s="29">
        <v>2</v>
      </c>
      <c r="H12" s="29">
        <v>2</v>
      </c>
      <c r="I12" s="29"/>
      <c r="J12" s="29"/>
      <c r="K12" s="29"/>
      <c r="N12" s="29"/>
      <c r="O12" s="29"/>
      <c r="P12" s="29"/>
      <c r="S12" s="31" t="s">
        <v>695</v>
      </c>
      <c r="T12" s="26" t="s">
        <v>703</v>
      </c>
    </row>
    <row r="13" spans="1:22" x14ac:dyDescent="0.25">
      <c r="A13" s="26" t="s">
        <v>761</v>
      </c>
      <c r="B13" s="26" t="s">
        <v>567</v>
      </c>
      <c r="C13" t="s">
        <v>684</v>
      </c>
      <c r="D13" s="1" t="str">
        <f>S13&amp;"["&amp;T13&amp;"]"</f>
        <v>Fermor[black/red]</v>
      </c>
      <c r="F13" s="29"/>
      <c r="G13" s="17" t="s">
        <v>568</v>
      </c>
      <c r="H13" s="29"/>
      <c r="I13" s="29"/>
      <c r="J13" s="29">
        <v>5</v>
      </c>
      <c r="K13" s="29">
        <v>6</v>
      </c>
      <c r="L13" s="29">
        <v>4</v>
      </c>
      <c r="M13" s="29">
        <v>5</v>
      </c>
      <c r="N13" s="29">
        <f t="shared" si="0"/>
        <v>4</v>
      </c>
      <c r="O13" s="29">
        <f t="shared" si="1"/>
        <v>5</v>
      </c>
      <c r="P13" s="29">
        <f t="shared" si="2"/>
        <v>3</v>
      </c>
      <c r="S13" s="1" t="s">
        <v>725</v>
      </c>
      <c r="T13" t="str">
        <f>T12</f>
        <v>black/red</v>
      </c>
    </row>
    <row r="14" spans="1:22" x14ac:dyDescent="0.25">
      <c r="A14" s="26" t="s">
        <v>761</v>
      </c>
      <c r="B14" s="26" t="s">
        <v>567</v>
      </c>
      <c r="C14" t="s">
        <v>685</v>
      </c>
      <c r="D14" s="1" t="str">
        <f>S14&amp;"["&amp;T14&amp;"]"</f>
        <v>Wheatley[black/red]</v>
      </c>
      <c r="F14" s="29"/>
      <c r="G14" s="17" t="s">
        <v>568</v>
      </c>
      <c r="H14" s="29"/>
      <c r="I14" s="29"/>
      <c r="J14" s="29">
        <v>6</v>
      </c>
      <c r="K14" s="29">
        <v>5</v>
      </c>
      <c r="L14" s="29">
        <v>4</v>
      </c>
      <c r="M14" s="29">
        <v>4</v>
      </c>
      <c r="N14" s="29">
        <f t="shared" si="0"/>
        <v>5</v>
      </c>
      <c r="O14" s="29">
        <f t="shared" si="1"/>
        <v>4</v>
      </c>
      <c r="P14" s="29">
        <f t="shared" si="2"/>
        <v>3</v>
      </c>
      <c r="S14" s="1" t="s">
        <v>726</v>
      </c>
      <c r="T14" t="str">
        <f t="shared" ref="T14:T58" si="3">T13</f>
        <v>black/red</v>
      </c>
    </row>
    <row r="15" spans="1:22" x14ac:dyDescent="0.25">
      <c r="A15" s="26" t="s">
        <v>761</v>
      </c>
      <c r="B15" s="26" t="s">
        <v>567</v>
      </c>
      <c r="C15" t="s">
        <v>684</v>
      </c>
      <c r="D15" s="1" t="str">
        <f>S15&amp;"["&amp;T15&amp;"]"</f>
        <v>Lowe[black/red]</v>
      </c>
      <c r="F15" s="29"/>
      <c r="G15" s="17" t="s">
        <v>568</v>
      </c>
      <c r="H15" s="29"/>
      <c r="I15" s="29"/>
      <c r="J15" s="29">
        <v>5</v>
      </c>
      <c r="K15" s="29">
        <v>4</v>
      </c>
      <c r="L15" s="29">
        <v>6</v>
      </c>
      <c r="M15" s="29">
        <v>4</v>
      </c>
      <c r="N15" s="29">
        <f t="shared" si="0"/>
        <v>4</v>
      </c>
      <c r="O15" s="29">
        <f t="shared" si="1"/>
        <v>3</v>
      </c>
      <c r="P15" s="29">
        <f t="shared" si="2"/>
        <v>5</v>
      </c>
      <c r="S15" s="1" t="s">
        <v>727</v>
      </c>
      <c r="T15" t="str">
        <f t="shared" si="3"/>
        <v>black/red</v>
      </c>
    </row>
    <row r="16" spans="1:22" x14ac:dyDescent="0.25">
      <c r="A16" s="26" t="s">
        <v>761</v>
      </c>
      <c r="B16" s="26" t="s">
        <v>638</v>
      </c>
      <c r="C16" t="s">
        <v>684</v>
      </c>
      <c r="D16" s="1" t="str">
        <f>S16&amp;"["&amp;T16&amp;"]"</f>
        <v>Gardiner[black/red]</v>
      </c>
      <c r="F16" s="29"/>
      <c r="G16" s="17" t="s">
        <v>641</v>
      </c>
      <c r="I16" s="29"/>
      <c r="J16" s="32" t="s">
        <v>681</v>
      </c>
      <c r="K16" s="29">
        <v>4</v>
      </c>
      <c r="L16" s="29">
        <v>6</v>
      </c>
      <c r="M16" s="24" t="s">
        <v>570</v>
      </c>
      <c r="N16" s="29">
        <v>0</v>
      </c>
      <c r="O16" s="29">
        <f t="shared" si="1"/>
        <v>3</v>
      </c>
      <c r="P16" s="29">
        <f t="shared" si="2"/>
        <v>5</v>
      </c>
      <c r="S16" s="31" t="s">
        <v>728</v>
      </c>
      <c r="T16" t="str">
        <f t="shared" si="3"/>
        <v>black/red</v>
      </c>
    </row>
    <row r="17" spans="1:22" x14ac:dyDescent="0.25">
      <c r="A17" s="26" t="s">
        <v>761</v>
      </c>
      <c r="B17" s="26" t="s">
        <v>558</v>
      </c>
      <c r="C17" t="s">
        <v>676</v>
      </c>
      <c r="D17" s="22" t="s">
        <v>571</v>
      </c>
      <c r="E17" s="31" t="str">
        <f>S17&amp;"["&amp;T17&amp;"]"</f>
        <v>Pakenham[black/lightseagreen]</v>
      </c>
      <c r="F17" s="30" t="s">
        <v>678</v>
      </c>
      <c r="G17" s="29">
        <v>4</v>
      </c>
      <c r="H17" s="29">
        <v>2</v>
      </c>
      <c r="I17" s="29"/>
      <c r="J17" s="29"/>
      <c r="K17" s="29"/>
      <c r="L17" s="29"/>
      <c r="N17" s="29"/>
      <c r="O17" s="29"/>
      <c r="P17" s="29"/>
      <c r="S17" s="31" t="s">
        <v>696</v>
      </c>
      <c r="T17" s="26" t="s">
        <v>753</v>
      </c>
    </row>
    <row r="18" spans="1:22" x14ac:dyDescent="0.25">
      <c r="A18" s="26" t="s">
        <v>761</v>
      </c>
      <c r="B18" s="26" t="s">
        <v>567</v>
      </c>
      <c r="C18" t="s">
        <v>684</v>
      </c>
      <c r="D18" s="1" t="str">
        <f>S18&amp;"["&amp;T18&amp;"]"</f>
        <v>Wallace[black/lightseagreen]</v>
      </c>
      <c r="F18" s="29"/>
      <c r="G18" s="17" t="s">
        <v>568</v>
      </c>
      <c r="I18" s="29"/>
      <c r="J18" s="29">
        <v>5</v>
      </c>
      <c r="K18" s="29">
        <v>4</v>
      </c>
      <c r="L18" s="29">
        <v>4</v>
      </c>
      <c r="M18" s="29">
        <v>4</v>
      </c>
      <c r="N18" s="29">
        <f t="shared" si="0"/>
        <v>4</v>
      </c>
      <c r="O18" s="29">
        <f t="shared" si="1"/>
        <v>3</v>
      </c>
      <c r="P18" s="29">
        <f t="shared" si="2"/>
        <v>3</v>
      </c>
      <c r="S18" s="1" t="s">
        <v>729</v>
      </c>
      <c r="T18" t="str">
        <f t="shared" si="3"/>
        <v>black/lightseagreen</v>
      </c>
    </row>
    <row r="19" spans="1:22" x14ac:dyDescent="0.25">
      <c r="A19" s="26" t="s">
        <v>761</v>
      </c>
      <c r="B19" s="26" t="s">
        <v>567</v>
      </c>
      <c r="C19" t="s">
        <v>684</v>
      </c>
      <c r="D19" s="1" t="str">
        <f>S19&amp;"["&amp;T19&amp;"]"</f>
        <v>Campbell[black/lightseagreen]</v>
      </c>
      <c r="F19" s="29"/>
      <c r="G19" s="17" t="s">
        <v>568</v>
      </c>
      <c r="I19" s="29"/>
      <c r="J19" s="29">
        <v>5</v>
      </c>
      <c r="K19" s="29">
        <v>4</v>
      </c>
      <c r="L19" s="29">
        <v>4</v>
      </c>
      <c r="M19" s="29">
        <v>4</v>
      </c>
      <c r="N19" s="29">
        <f t="shared" si="0"/>
        <v>4</v>
      </c>
      <c r="O19" s="29">
        <f t="shared" si="1"/>
        <v>3</v>
      </c>
      <c r="P19" s="29">
        <f t="shared" si="2"/>
        <v>3</v>
      </c>
      <c r="S19" s="1" t="s">
        <v>695</v>
      </c>
      <c r="T19" t="str">
        <f t="shared" si="3"/>
        <v>black/lightseagreen</v>
      </c>
    </row>
    <row r="20" spans="1:22" x14ac:dyDescent="0.25">
      <c r="A20" s="26" t="s">
        <v>761</v>
      </c>
      <c r="B20" s="26" t="s">
        <v>567</v>
      </c>
      <c r="C20" t="s">
        <v>686</v>
      </c>
      <c r="D20" s="1" t="str">
        <f>S20&amp;"["&amp;T20&amp;"]"</f>
        <v>Power[black/lightseagreen]</v>
      </c>
      <c r="F20" s="29"/>
      <c r="G20" s="17" t="s">
        <v>568</v>
      </c>
      <c r="I20" s="29"/>
      <c r="J20" s="29">
        <v>5</v>
      </c>
      <c r="K20" s="29">
        <v>3</v>
      </c>
      <c r="L20" s="29">
        <v>4</v>
      </c>
      <c r="M20" s="29">
        <v>4</v>
      </c>
      <c r="N20" s="29">
        <f t="shared" si="0"/>
        <v>4</v>
      </c>
      <c r="O20" s="29">
        <f t="shared" si="1"/>
        <v>2</v>
      </c>
      <c r="P20" s="29">
        <f t="shared" si="2"/>
        <v>3</v>
      </c>
      <c r="S20" s="1" t="s">
        <v>730</v>
      </c>
      <c r="T20" t="str">
        <f t="shared" si="3"/>
        <v>black/lightseagreen</v>
      </c>
    </row>
    <row r="21" spans="1:22" x14ac:dyDescent="0.25">
      <c r="A21" s="26" t="s">
        <v>761</v>
      </c>
      <c r="B21" s="26" t="s">
        <v>638</v>
      </c>
      <c r="C21" t="s">
        <v>684</v>
      </c>
      <c r="D21" s="1" t="str">
        <f>S21&amp;"["&amp;T21&amp;"]"</f>
        <v>Douglas[black/lightseagreen]</v>
      </c>
      <c r="F21" s="29"/>
      <c r="G21" s="17" t="s">
        <v>641</v>
      </c>
      <c r="I21" s="29"/>
      <c r="J21" s="32" t="s">
        <v>681</v>
      </c>
      <c r="K21" s="29">
        <v>4</v>
      </c>
      <c r="L21" s="29">
        <v>6</v>
      </c>
      <c r="M21" s="24" t="s">
        <v>570</v>
      </c>
      <c r="N21" s="29">
        <v>0</v>
      </c>
      <c r="O21" s="29">
        <f t="shared" si="1"/>
        <v>3</v>
      </c>
      <c r="P21" s="29">
        <f t="shared" si="2"/>
        <v>5</v>
      </c>
      <c r="S21" s="31" t="s">
        <v>731</v>
      </c>
      <c r="T21" t="str">
        <f t="shared" si="3"/>
        <v>black/lightseagreen</v>
      </c>
    </row>
    <row r="22" spans="1:22" x14ac:dyDescent="0.25">
      <c r="A22" s="26" t="s">
        <v>761</v>
      </c>
      <c r="B22" s="26" t="s">
        <v>558</v>
      </c>
      <c r="C22" t="s">
        <v>676</v>
      </c>
      <c r="D22" s="31">
        <v>4</v>
      </c>
      <c r="E22" s="31" t="str">
        <f>S22&amp;"["&amp;T22&amp;"]"</f>
        <v>Cole[black/pale_blue]</v>
      </c>
      <c r="F22" s="30" t="s">
        <v>678</v>
      </c>
      <c r="G22" s="29">
        <v>3</v>
      </c>
      <c r="H22" s="29">
        <v>2</v>
      </c>
      <c r="I22" s="29"/>
      <c r="J22" s="29"/>
      <c r="K22" s="29"/>
      <c r="L22" s="29"/>
      <c r="N22" s="29"/>
      <c r="O22" s="29"/>
      <c r="P22" s="29"/>
      <c r="S22" s="31" t="s">
        <v>697</v>
      </c>
      <c r="T22" s="26" t="s">
        <v>708</v>
      </c>
    </row>
    <row r="23" spans="1:22" x14ac:dyDescent="0.25">
      <c r="A23" s="26" t="s">
        <v>761</v>
      </c>
      <c r="B23" s="26" t="s">
        <v>567</v>
      </c>
      <c r="C23" t="s">
        <v>684</v>
      </c>
      <c r="D23" s="1" t="str">
        <f>S23&amp;"["&amp;T23&amp;"]"</f>
        <v>Anson[black/pale_blue]</v>
      </c>
      <c r="F23" s="29"/>
      <c r="G23" s="17" t="s">
        <v>568</v>
      </c>
      <c r="I23" s="29"/>
      <c r="J23" s="29">
        <v>3</v>
      </c>
      <c r="K23" s="29">
        <v>4</v>
      </c>
      <c r="L23" s="29">
        <v>4</v>
      </c>
      <c r="M23" s="29">
        <v>4</v>
      </c>
      <c r="N23" s="29">
        <f t="shared" si="0"/>
        <v>2</v>
      </c>
      <c r="O23" s="29">
        <f t="shared" si="1"/>
        <v>3</v>
      </c>
      <c r="P23" s="29">
        <f t="shared" si="2"/>
        <v>3</v>
      </c>
      <c r="S23" s="1" t="s">
        <v>732</v>
      </c>
      <c r="T23" t="str">
        <f t="shared" si="3"/>
        <v>black/pale_blue</v>
      </c>
    </row>
    <row r="24" spans="1:22" x14ac:dyDescent="0.25">
      <c r="A24" s="26" t="s">
        <v>761</v>
      </c>
      <c r="B24" s="26" t="s">
        <v>567</v>
      </c>
      <c r="C24" t="s">
        <v>684</v>
      </c>
      <c r="D24" s="1" t="str">
        <f>S24&amp;"["&amp;T24&amp;"]"</f>
        <v>Ellis[black/pale_blue]</v>
      </c>
      <c r="F24" s="29"/>
      <c r="G24" s="17" t="s">
        <v>568</v>
      </c>
      <c r="I24" s="29"/>
      <c r="J24" s="29">
        <v>4</v>
      </c>
      <c r="K24" s="29">
        <v>4</v>
      </c>
      <c r="L24" s="29">
        <v>4</v>
      </c>
      <c r="M24" s="29">
        <v>4</v>
      </c>
      <c r="N24" s="29">
        <f t="shared" si="0"/>
        <v>3</v>
      </c>
      <c r="O24" s="29">
        <f t="shared" si="1"/>
        <v>3</v>
      </c>
      <c r="P24" s="29">
        <f t="shared" si="2"/>
        <v>3</v>
      </c>
      <c r="S24" s="1" t="s">
        <v>733</v>
      </c>
      <c r="T24" t="str">
        <f t="shared" si="3"/>
        <v>black/pale_blue</v>
      </c>
    </row>
    <row r="25" spans="1:22" x14ac:dyDescent="0.25">
      <c r="A25" s="26" t="s">
        <v>761</v>
      </c>
      <c r="B25" s="26" t="s">
        <v>567</v>
      </c>
      <c r="C25" t="s">
        <v>686</v>
      </c>
      <c r="D25" s="1" t="str">
        <f>S25&amp;"["&amp;T25&amp;"]"</f>
        <v>Stubbs[black/pale_blue]</v>
      </c>
      <c r="F25" s="29"/>
      <c r="G25" s="17" t="s">
        <v>568</v>
      </c>
      <c r="I25" s="29"/>
      <c r="J25" s="29">
        <v>6</v>
      </c>
      <c r="K25" s="29">
        <v>3</v>
      </c>
      <c r="L25" s="29">
        <v>4</v>
      </c>
      <c r="M25" s="29">
        <v>4</v>
      </c>
      <c r="N25" s="29">
        <f t="shared" si="0"/>
        <v>5</v>
      </c>
      <c r="O25" s="29">
        <f t="shared" si="1"/>
        <v>2</v>
      </c>
      <c r="P25" s="29">
        <f t="shared" si="2"/>
        <v>3</v>
      </c>
      <c r="S25" s="1" t="s">
        <v>734</v>
      </c>
      <c r="T25" t="str">
        <f t="shared" si="3"/>
        <v>black/pale_blue</v>
      </c>
    </row>
    <row r="26" spans="1:22" x14ac:dyDescent="0.25">
      <c r="A26" s="26" t="s">
        <v>761</v>
      </c>
      <c r="B26" s="26" t="s">
        <v>638</v>
      </c>
      <c r="C26" t="s">
        <v>685</v>
      </c>
      <c r="D26" s="1" t="str">
        <f>S26&amp;"["&amp;T26&amp;"]"</f>
        <v>Sympher[black/pale_blue]</v>
      </c>
      <c r="F26" s="29"/>
      <c r="G26" s="17" t="s">
        <v>641</v>
      </c>
      <c r="I26" s="29"/>
      <c r="J26" s="32" t="s">
        <v>682</v>
      </c>
      <c r="K26" s="29">
        <v>4</v>
      </c>
      <c r="L26" s="29">
        <v>6</v>
      </c>
      <c r="M26" s="33" t="s">
        <v>715</v>
      </c>
      <c r="N26" s="29">
        <v>0</v>
      </c>
      <c r="O26" s="29">
        <f t="shared" si="1"/>
        <v>3</v>
      </c>
      <c r="P26" s="29">
        <f t="shared" si="2"/>
        <v>5</v>
      </c>
      <c r="S26" s="31" t="s">
        <v>735</v>
      </c>
      <c r="T26" t="str">
        <f t="shared" si="3"/>
        <v>black/pale_blue</v>
      </c>
    </row>
    <row r="27" spans="1:22" x14ac:dyDescent="0.25">
      <c r="A27" s="26" t="s">
        <v>761</v>
      </c>
      <c r="B27" s="26" t="s">
        <v>558</v>
      </c>
      <c r="C27" t="s">
        <v>676</v>
      </c>
      <c r="D27" s="31">
        <v>5</v>
      </c>
      <c r="E27" s="31" t="str">
        <f>S27&amp;"["&amp;T27&amp;"]"</f>
        <v>Leith[black/yellow]</v>
      </c>
      <c r="F27" s="30" t="s">
        <v>678</v>
      </c>
      <c r="G27" s="29">
        <v>3</v>
      </c>
      <c r="H27" s="29">
        <v>2</v>
      </c>
      <c r="I27" s="29"/>
      <c r="J27" s="29"/>
      <c r="K27" s="29"/>
      <c r="L27" s="29"/>
      <c r="N27" s="29"/>
      <c r="O27" s="29"/>
      <c r="P27" s="29"/>
      <c r="S27" s="31" t="s">
        <v>698</v>
      </c>
      <c r="T27" s="26" t="s">
        <v>704</v>
      </c>
    </row>
    <row r="28" spans="1:22" x14ac:dyDescent="0.25">
      <c r="A28" s="26" t="s">
        <v>761</v>
      </c>
      <c r="B28" s="26" t="s">
        <v>567</v>
      </c>
      <c r="C28" t="s">
        <v>684</v>
      </c>
      <c r="D28" s="1" t="str">
        <f>S28&amp;"["&amp;T28&amp;"]"</f>
        <v>Greville[black/yellow]</v>
      </c>
      <c r="F28" s="29"/>
      <c r="G28" s="17" t="s">
        <v>568</v>
      </c>
      <c r="I28" s="29"/>
      <c r="J28" s="29">
        <v>7</v>
      </c>
      <c r="K28" s="29">
        <v>4</v>
      </c>
      <c r="L28" s="29">
        <v>4</v>
      </c>
      <c r="M28" s="29">
        <v>4</v>
      </c>
      <c r="N28" s="29">
        <f t="shared" si="0"/>
        <v>6</v>
      </c>
      <c r="O28" s="29">
        <f t="shared" si="1"/>
        <v>3</v>
      </c>
      <c r="P28" s="29">
        <f t="shared" si="2"/>
        <v>3</v>
      </c>
      <c r="S28" s="1" t="s">
        <v>736</v>
      </c>
      <c r="T28" t="str">
        <f t="shared" si="3"/>
        <v>black/yellow</v>
      </c>
    </row>
    <row r="29" spans="1:22" x14ac:dyDescent="0.25">
      <c r="A29" s="26" t="s">
        <v>761</v>
      </c>
      <c r="B29" s="26" t="s">
        <v>567</v>
      </c>
      <c r="C29" t="s">
        <v>684</v>
      </c>
      <c r="D29" s="1" t="str">
        <f>S29&amp;"["&amp;T29&amp;"]"</f>
        <v>Pringle[black/yellow]</v>
      </c>
      <c r="F29" s="29"/>
      <c r="G29" s="17" t="s">
        <v>568</v>
      </c>
      <c r="I29" s="29"/>
      <c r="J29" s="29">
        <v>4</v>
      </c>
      <c r="K29" s="29">
        <v>4</v>
      </c>
      <c r="L29" s="29">
        <v>4</v>
      </c>
      <c r="M29" s="29">
        <v>4</v>
      </c>
      <c r="N29" s="29">
        <f t="shared" si="0"/>
        <v>3</v>
      </c>
      <c r="O29" s="29">
        <f t="shared" si="1"/>
        <v>3</v>
      </c>
      <c r="P29" s="29">
        <f t="shared" si="2"/>
        <v>3</v>
      </c>
      <c r="S29" s="1" t="s">
        <v>737</v>
      </c>
      <c r="T29" t="str">
        <f t="shared" si="3"/>
        <v>black/yellow</v>
      </c>
    </row>
    <row r="30" spans="1:22" x14ac:dyDescent="0.25">
      <c r="A30" s="26" t="s">
        <v>761</v>
      </c>
      <c r="B30" s="26" t="s">
        <v>567</v>
      </c>
      <c r="C30" t="s">
        <v>686</v>
      </c>
      <c r="D30" s="1" t="str">
        <f>S30&amp;"["&amp;T30&amp;"]"</f>
        <v>Spry[black/yellow]</v>
      </c>
      <c r="F30" s="29"/>
      <c r="G30" s="17" t="s">
        <v>568</v>
      </c>
      <c r="I30" s="29"/>
      <c r="J30" s="29">
        <v>6</v>
      </c>
      <c r="K30" s="29">
        <v>3</v>
      </c>
      <c r="L30" s="29">
        <v>4</v>
      </c>
      <c r="M30" s="29">
        <v>4</v>
      </c>
      <c r="N30" s="29">
        <f t="shared" si="0"/>
        <v>5</v>
      </c>
      <c r="O30" s="29">
        <f t="shared" si="1"/>
        <v>2</v>
      </c>
      <c r="P30" s="29">
        <f t="shared" si="2"/>
        <v>3</v>
      </c>
      <c r="S30" s="1" t="s">
        <v>738</v>
      </c>
      <c r="T30" t="str">
        <f t="shared" si="3"/>
        <v>black/yellow</v>
      </c>
    </row>
    <row r="31" spans="1:22" x14ac:dyDescent="0.25">
      <c r="A31" s="26" t="s">
        <v>761</v>
      </c>
      <c r="B31" s="26" t="s">
        <v>638</v>
      </c>
      <c r="C31" t="s">
        <v>684</v>
      </c>
      <c r="D31" s="1" t="str">
        <f>S31&amp;"["&amp;T31&amp;"]"</f>
        <v>Lawson[black/yellow]</v>
      </c>
      <c r="F31" s="29"/>
      <c r="G31" s="17" t="s">
        <v>641</v>
      </c>
      <c r="I31" s="29"/>
      <c r="J31" s="32" t="s">
        <v>681</v>
      </c>
      <c r="K31" s="29">
        <v>4</v>
      </c>
      <c r="L31" s="29">
        <v>6</v>
      </c>
      <c r="M31" s="24" t="s">
        <v>570</v>
      </c>
      <c r="N31" s="29">
        <v>0</v>
      </c>
      <c r="O31" s="29">
        <f t="shared" si="1"/>
        <v>3</v>
      </c>
      <c r="P31" s="29">
        <f t="shared" si="2"/>
        <v>5</v>
      </c>
      <c r="S31" s="31" t="s">
        <v>739</v>
      </c>
      <c r="T31" t="str">
        <f t="shared" si="3"/>
        <v>black/yellow</v>
      </c>
      <c r="V31" s="26" t="s">
        <v>869</v>
      </c>
    </row>
    <row r="32" spans="1:22" x14ac:dyDescent="0.25">
      <c r="A32" s="26" t="s">
        <v>761</v>
      </c>
      <c r="B32" s="26" t="s">
        <v>558</v>
      </c>
      <c r="C32" t="s">
        <v>676</v>
      </c>
      <c r="D32" s="31">
        <v>6</v>
      </c>
      <c r="E32" s="31" t="str">
        <f>S32&amp;"["&amp;T32&amp;"]"</f>
        <v>Clinton[white/brown]</v>
      </c>
      <c r="F32" s="30" t="s">
        <v>678</v>
      </c>
      <c r="G32" s="29">
        <v>3</v>
      </c>
      <c r="H32" s="29">
        <v>2</v>
      </c>
      <c r="I32" s="29"/>
      <c r="J32" s="29"/>
      <c r="K32" s="29"/>
      <c r="L32" s="29"/>
      <c r="N32" s="29"/>
      <c r="O32" s="29"/>
      <c r="P32" s="29"/>
      <c r="S32" s="31" t="s">
        <v>699</v>
      </c>
      <c r="T32" s="26" t="s">
        <v>705</v>
      </c>
    </row>
    <row r="33" spans="1:21" x14ac:dyDescent="0.25">
      <c r="A33" s="26" t="s">
        <v>761</v>
      </c>
      <c r="B33" s="26" t="s">
        <v>567</v>
      </c>
      <c r="C33" t="s">
        <v>684</v>
      </c>
      <c r="D33" s="1" t="str">
        <f>S33&amp;"["&amp;T33&amp;"]"</f>
        <v>Hulse[white/brown]</v>
      </c>
      <c r="F33" s="29"/>
      <c r="G33" s="17" t="s">
        <v>568</v>
      </c>
      <c r="I33" s="29"/>
      <c r="J33" s="29">
        <v>4</v>
      </c>
      <c r="K33" s="29">
        <v>4</v>
      </c>
      <c r="L33" s="29">
        <v>4</v>
      </c>
      <c r="M33" s="29">
        <v>4</v>
      </c>
      <c r="N33" s="29">
        <f t="shared" si="0"/>
        <v>3</v>
      </c>
      <c r="O33" s="29">
        <f t="shared" si="1"/>
        <v>3</v>
      </c>
      <c r="P33" s="29">
        <f t="shared" si="2"/>
        <v>3</v>
      </c>
      <c r="S33" s="1" t="s">
        <v>740</v>
      </c>
      <c r="T33" t="str">
        <f t="shared" si="3"/>
        <v>white/brown</v>
      </c>
    </row>
    <row r="34" spans="1:21" x14ac:dyDescent="0.25">
      <c r="A34" s="26" t="s">
        <v>761</v>
      </c>
      <c r="B34" s="26" t="s">
        <v>567</v>
      </c>
      <c r="C34" t="s">
        <v>684</v>
      </c>
      <c r="D34" s="1" t="str">
        <f>S34&amp;"["&amp;T34&amp;"]"</f>
        <v>Hinde[white/brown]</v>
      </c>
      <c r="F34" s="29"/>
      <c r="G34" s="17" t="s">
        <v>568</v>
      </c>
      <c r="I34" s="29"/>
      <c r="J34" s="29">
        <v>4</v>
      </c>
      <c r="K34" s="29">
        <v>4</v>
      </c>
      <c r="L34" s="29">
        <v>4</v>
      </c>
      <c r="M34" s="29">
        <v>4</v>
      </c>
      <c r="N34" s="29">
        <f t="shared" si="0"/>
        <v>3</v>
      </c>
      <c r="O34" s="29">
        <f t="shared" si="1"/>
        <v>3</v>
      </c>
      <c r="P34" s="29">
        <f t="shared" si="2"/>
        <v>3</v>
      </c>
      <c r="S34" s="1" t="s">
        <v>741</v>
      </c>
      <c r="T34" t="str">
        <f t="shared" si="3"/>
        <v>white/brown</v>
      </c>
    </row>
    <row r="35" spans="1:21" x14ac:dyDescent="0.25">
      <c r="A35" s="26" t="s">
        <v>761</v>
      </c>
      <c r="B35" s="26" t="s">
        <v>567</v>
      </c>
      <c r="C35" t="s">
        <v>686</v>
      </c>
      <c r="D35" s="1" t="str">
        <f>S35&amp;"["&amp;T35&amp;"]"</f>
        <v>Rezende[white/brown]</v>
      </c>
      <c r="F35" s="29"/>
      <c r="G35" s="17" t="s">
        <v>568</v>
      </c>
      <c r="I35" s="29"/>
      <c r="J35" s="29">
        <v>6</v>
      </c>
      <c r="K35" s="29">
        <v>3</v>
      </c>
      <c r="L35" s="29">
        <v>4</v>
      </c>
      <c r="M35" s="29">
        <v>4</v>
      </c>
      <c r="N35" s="29">
        <f t="shared" si="0"/>
        <v>5</v>
      </c>
      <c r="O35" s="29">
        <f t="shared" si="1"/>
        <v>2</v>
      </c>
      <c r="P35" s="29">
        <f t="shared" si="2"/>
        <v>3</v>
      </c>
      <c r="S35" s="1" t="s">
        <v>742</v>
      </c>
      <c r="T35" t="str">
        <f t="shared" si="3"/>
        <v>white/brown</v>
      </c>
    </row>
    <row r="36" spans="1:21" x14ac:dyDescent="0.25">
      <c r="A36" s="26" t="s">
        <v>761</v>
      </c>
      <c r="B36" s="26" t="s">
        <v>638</v>
      </c>
      <c r="C36" t="s">
        <v>684</v>
      </c>
      <c r="D36" s="1" t="str">
        <f>S36&amp;"["&amp;T36&amp;"]"</f>
        <v>Greene[white/brown]</v>
      </c>
      <c r="F36" s="29"/>
      <c r="G36" s="17" t="s">
        <v>641</v>
      </c>
      <c r="I36" s="29"/>
      <c r="J36" s="32" t="s">
        <v>681</v>
      </c>
      <c r="K36" s="29">
        <v>4</v>
      </c>
      <c r="L36" s="29">
        <v>6</v>
      </c>
      <c r="M36" s="24" t="s">
        <v>570</v>
      </c>
      <c r="N36" s="29">
        <v>0</v>
      </c>
      <c r="O36" s="29">
        <f t="shared" si="1"/>
        <v>3</v>
      </c>
      <c r="P36" s="29">
        <f t="shared" si="2"/>
        <v>5</v>
      </c>
      <c r="S36" s="31" t="s">
        <v>743</v>
      </c>
      <c r="T36" t="str">
        <f t="shared" si="3"/>
        <v>white/brown</v>
      </c>
    </row>
    <row r="37" spans="1:21" x14ac:dyDescent="0.25">
      <c r="A37" s="26" t="s">
        <v>761</v>
      </c>
      <c r="B37" s="26" t="s">
        <v>558</v>
      </c>
      <c r="C37" t="s">
        <v>676</v>
      </c>
      <c r="D37" s="31">
        <v>7</v>
      </c>
      <c r="E37" s="31" t="str">
        <f>S37&amp;"["&amp;T37&amp;"]"</f>
        <v>Hope[white/blue]</v>
      </c>
      <c r="F37" s="30" t="s">
        <v>678</v>
      </c>
      <c r="G37" s="29">
        <v>3</v>
      </c>
      <c r="H37" s="29">
        <v>2</v>
      </c>
      <c r="I37" s="29"/>
      <c r="J37" s="29"/>
      <c r="K37" s="29"/>
      <c r="L37" s="29"/>
      <c r="N37" s="29"/>
      <c r="O37" s="29"/>
      <c r="P37" s="29"/>
      <c r="S37" s="31" t="s">
        <v>700</v>
      </c>
      <c r="T37" s="26" t="s">
        <v>764</v>
      </c>
      <c r="U37" s="26" t="s">
        <v>713</v>
      </c>
    </row>
    <row r="38" spans="1:21" x14ac:dyDescent="0.25">
      <c r="A38" s="26" t="s">
        <v>761</v>
      </c>
      <c r="B38" s="26" t="s">
        <v>567</v>
      </c>
      <c r="C38" t="s">
        <v>685</v>
      </c>
      <c r="D38" s="1" t="str">
        <f>S38&amp;"["&amp;T38&amp;"]"</f>
        <v>Halkett[white/blue]</v>
      </c>
      <c r="F38" s="29"/>
      <c r="G38" s="17" t="s">
        <v>568</v>
      </c>
      <c r="I38" s="29"/>
      <c r="J38" s="29">
        <v>4</v>
      </c>
      <c r="K38" s="29">
        <v>4</v>
      </c>
      <c r="L38" s="29">
        <v>4</v>
      </c>
      <c r="M38" s="29">
        <v>4</v>
      </c>
      <c r="N38" s="29">
        <f t="shared" si="0"/>
        <v>3</v>
      </c>
      <c r="O38" s="29">
        <f t="shared" si="1"/>
        <v>3</v>
      </c>
      <c r="P38" s="29">
        <f t="shared" si="2"/>
        <v>3</v>
      </c>
      <c r="S38" s="1" t="s">
        <v>744</v>
      </c>
      <c r="T38" t="str">
        <f t="shared" si="3"/>
        <v>white/blue</v>
      </c>
    </row>
    <row r="39" spans="1:21" x14ac:dyDescent="0.25">
      <c r="A39" s="26" t="s">
        <v>761</v>
      </c>
      <c r="B39" s="26" t="s">
        <v>567</v>
      </c>
      <c r="C39" t="s">
        <v>684</v>
      </c>
      <c r="D39" s="1" t="str">
        <f>S39&amp;"["&amp;T39&amp;"]"</f>
        <v>Bernewitz[white/blue]</v>
      </c>
      <c r="F39" s="29"/>
      <c r="G39" s="17" t="s">
        <v>568</v>
      </c>
      <c r="I39" s="29"/>
      <c r="J39" s="29">
        <v>3</v>
      </c>
      <c r="K39" s="29">
        <v>4</v>
      </c>
      <c r="L39" s="29">
        <v>4</v>
      </c>
      <c r="M39" s="29">
        <v>4</v>
      </c>
      <c r="N39" s="29">
        <f t="shared" si="0"/>
        <v>2</v>
      </c>
      <c r="O39" s="29">
        <f t="shared" si="1"/>
        <v>3</v>
      </c>
      <c r="P39" s="29">
        <f t="shared" si="2"/>
        <v>3</v>
      </c>
      <c r="S39" s="1" t="s">
        <v>745</v>
      </c>
      <c r="T39" t="str">
        <f t="shared" si="3"/>
        <v>white/blue</v>
      </c>
    </row>
    <row r="40" spans="1:21" x14ac:dyDescent="0.25">
      <c r="A40" s="26" t="s">
        <v>761</v>
      </c>
      <c r="B40" s="26" t="s">
        <v>567</v>
      </c>
      <c r="C40" t="s">
        <v>686</v>
      </c>
      <c r="D40" s="1" t="str">
        <f>S40&amp;"["&amp;T40&amp;"]"</f>
        <v>Collins[white/blue]</v>
      </c>
      <c r="F40" s="29"/>
      <c r="G40" s="17" t="s">
        <v>568</v>
      </c>
      <c r="I40" s="29"/>
      <c r="J40" s="29">
        <v>6</v>
      </c>
      <c r="K40" s="29">
        <v>3</v>
      </c>
      <c r="L40" s="29">
        <v>4</v>
      </c>
      <c r="M40" s="29">
        <v>4</v>
      </c>
      <c r="N40" s="29">
        <f t="shared" si="0"/>
        <v>5</v>
      </c>
      <c r="O40" s="29">
        <f t="shared" si="1"/>
        <v>2</v>
      </c>
      <c r="P40" s="29">
        <f t="shared" si="2"/>
        <v>3</v>
      </c>
      <c r="S40" s="1" t="s">
        <v>746</v>
      </c>
      <c r="T40" t="str">
        <f t="shared" si="3"/>
        <v>white/blue</v>
      </c>
    </row>
    <row r="41" spans="1:21" x14ac:dyDescent="0.25">
      <c r="A41" s="26" t="s">
        <v>761</v>
      </c>
      <c r="B41" s="26" t="s">
        <v>656</v>
      </c>
      <c r="C41" t="s">
        <v>684</v>
      </c>
      <c r="D41" s="1" t="str">
        <f>S41&amp;"["&amp;T41&amp;"]"</f>
        <v>McDonald[white/blue]</v>
      </c>
      <c r="F41" s="29"/>
      <c r="G41" s="17" t="s">
        <v>641</v>
      </c>
      <c r="H41" s="22" t="s">
        <v>657</v>
      </c>
      <c r="I41" s="29"/>
      <c r="J41" s="32" t="s">
        <v>682</v>
      </c>
      <c r="K41" s="29">
        <v>4</v>
      </c>
      <c r="L41" s="29">
        <v>7</v>
      </c>
      <c r="M41" s="33" t="s">
        <v>715</v>
      </c>
      <c r="N41" s="29">
        <v>0</v>
      </c>
      <c r="O41" s="29">
        <f t="shared" si="1"/>
        <v>3</v>
      </c>
      <c r="P41" s="29">
        <f t="shared" si="2"/>
        <v>6</v>
      </c>
      <c r="S41" s="31" t="s">
        <v>747</v>
      </c>
      <c r="T41" t="str">
        <f t="shared" si="3"/>
        <v>white/blue</v>
      </c>
    </row>
    <row r="42" spans="1:21" x14ac:dyDescent="0.25">
      <c r="A42" s="26" t="s">
        <v>761</v>
      </c>
      <c r="B42" s="26" t="s">
        <v>558</v>
      </c>
      <c r="C42" t="s">
        <v>677</v>
      </c>
      <c r="D42" s="31" t="s">
        <v>692</v>
      </c>
      <c r="E42" s="31" t="str">
        <f>S42&amp;"["&amp;T42&amp;"]"</f>
        <v>España[white/indigo]</v>
      </c>
      <c r="F42" s="30" t="s">
        <v>678</v>
      </c>
      <c r="G42" s="29">
        <v>2</v>
      </c>
      <c r="H42" s="29">
        <v>2</v>
      </c>
      <c r="I42" s="29"/>
      <c r="J42" s="29"/>
      <c r="K42" s="29"/>
      <c r="L42" s="29"/>
      <c r="N42" s="29"/>
      <c r="O42" s="29"/>
      <c r="P42" s="29"/>
      <c r="S42" s="1" t="s">
        <v>772</v>
      </c>
      <c r="T42" s="26" t="s">
        <v>712</v>
      </c>
      <c r="U42" s="26"/>
    </row>
    <row r="43" spans="1:21" x14ac:dyDescent="0.25">
      <c r="A43" s="26" t="s">
        <v>761</v>
      </c>
      <c r="B43" s="26" t="s">
        <v>567</v>
      </c>
      <c r="C43" t="s">
        <v>688</v>
      </c>
      <c r="D43" s="1" t="str">
        <f>S43&amp;"["&amp;T43&amp;"]"</f>
        <v>España[white/indigo]</v>
      </c>
      <c r="F43" s="29"/>
      <c r="G43" s="17" t="s">
        <v>568</v>
      </c>
      <c r="I43" s="29"/>
      <c r="J43" s="29">
        <v>3</v>
      </c>
      <c r="K43" s="29">
        <v>3</v>
      </c>
      <c r="L43" s="29">
        <v>4</v>
      </c>
      <c r="M43" s="29">
        <v>3</v>
      </c>
      <c r="N43" s="29">
        <f t="shared" si="0"/>
        <v>2</v>
      </c>
      <c r="O43" s="29">
        <f t="shared" si="1"/>
        <v>2</v>
      </c>
      <c r="P43" s="29">
        <f t="shared" si="2"/>
        <v>3</v>
      </c>
      <c r="S43" s="1" t="s">
        <v>772</v>
      </c>
      <c r="T43" t="str">
        <f t="shared" si="3"/>
        <v>white/indigo</v>
      </c>
    </row>
    <row r="44" spans="1:21" x14ac:dyDescent="0.25">
      <c r="A44" s="26" t="s">
        <v>761</v>
      </c>
      <c r="B44" s="26" t="s">
        <v>567</v>
      </c>
      <c r="C44" t="s">
        <v>688</v>
      </c>
      <c r="D44" s="1" t="str">
        <f>S44&amp;"["&amp;T44&amp;"]"</f>
        <v>España[white/indigo]</v>
      </c>
      <c r="F44" s="29"/>
      <c r="G44" s="17" t="s">
        <v>568</v>
      </c>
      <c r="I44" s="29"/>
      <c r="J44" s="29">
        <v>3</v>
      </c>
      <c r="K44" s="29">
        <v>3</v>
      </c>
      <c r="L44" s="29">
        <v>4</v>
      </c>
      <c r="M44" s="29">
        <v>3</v>
      </c>
      <c r="N44" s="29">
        <f t="shared" si="0"/>
        <v>2</v>
      </c>
      <c r="O44" s="29">
        <f t="shared" si="1"/>
        <v>2</v>
      </c>
      <c r="P44" s="29">
        <f t="shared" si="2"/>
        <v>3</v>
      </c>
      <c r="S44" s="1" t="s">
        <v>772</v>
      </c>
      <c r="T44" t="str">
        <f t="shared" si="3"/>
        <v>white/indigo</v>
      </c>
    </row>
    <row r="45" spans="1:21" x14ac:dyDescent="0.25">
      <c r="A45" s="26" t="s">
        <v>761</v>
      </c>
      <c r="B45" s="26" t="s">
        <v>638</v>
      </c>
      <c r="C45" t="s">
        <v>688</v>
      </c>
      <c r="D45" s="1" t="str">
        <f>S45&amp;"["&amp;T45&amp;"]"</f>
        <v>España[white/indigo]</v>
      </c>
      <c r="F45" s="29"/>
      <c r="G45" s="17" t="s">
        <v>641</v>
      </c>
      <c r="I45" s="29"/>
      <c r="J45" s="32" t="s">
        <v>569</v>
      </c>
      <c r="K45" s="29">
        <v>3</v>
      </c>
      <c r="L45" s="29">
        <v>6</v>
      </c>
      <c r="M45" s="33" t="s">
        <v>715</v>
      </c>
      <c r="N45" s="29">
        <v>0</v>
      </c>
      <c r="O45" s="29">
        <f t="shared" ref="O45" si="4">K45-1</f>
        <v>2</v>
      </c>
      <c r="P45" s="29">
        <f t="shared" ref="P45" si="5">L45-1</f>
        <v>5</v>
      </c>
      <c r="S45" s="1" t="s">
        <v>772</v>
      </c>
      <c r="T45" t="str">
        <f t="shared" si="3"/>
        <v>white/indigo</v>
      </c>
    </row>
    <row r="46" spans="1:21" x14ac:dyDescent="0.25">
      <c r="A46" s="26" t="s">
        <v>761</v>
      </c>
      <c r="B46" s="26" t="s">
        <v>565</v>
      </c>
      <c r="C46" t="s">
        <v>688</v>
      </c>
      <c r="D46" s="1" t="str">
        <f>S46&amp;"["&amp;T46&amp;"]"</f>
        <v>Sanchez[white/indigo]</v>
      </c>
      <c r="F46" s="29"/>
      <c r="G46" s="17" t="s">
        <v>566</v>
      </c>
      <c r="I46" s="29"/>
      <c r="J46" s="29">
        <v>3</v>
      </c>
      <c r="K46" s="29">
        <v>4</v>
      </c>
      <c r="L46" s="29">
        <v>7</v>
      </c>
      <c r="M46" s="29">
        <v>5</v>
      </c>
      <c r="N46" s="29">
        <f t="shared" si="0"/>
        <v>2</v>
      </c>
      <c r="O46" s="29">
        <f t="shared" si="1"/>
        <v>3</v>
      </c>
      <c r="P46" s="29">
        <f t="shared" si="2"/>
        <v>6</v>
      </c>
      <c r="S46" s="31" t="s">
        <v>679</v>
      </c>
      <c r="T46" t="str">
        <f>T45</f>
        <v>white/indigo</v>
      </c>
    </row>
    <row r="47" spans="1:21" x14ac:dyDescent="0.25">
      <c r="A47" s="26" t="s">
        <v>761</v>
      </c>
      <c r="B47" s="26" t="s">
        <v>656</v>
      </c>
      <c r="C47" t="s">
        <v>688</v>
      </c>
      <c r="D47" s="1" t="str">
        <f>S47&amp;"["&amp;T47&amp;"]"</f>
        <v>Sanchez[white/indigo]</v>
      </c>
      <c r="F47" s="29"/>
      <c r="G47" s="17" t="s">
        <v>641</v>
      </c>
      <c r="H47" s="22" t="s">
        <v>657</v>
      </c>
      <c r="I47" s="29"/>
      <c r="J47" s="32" t="s">
        <v>873</v>
      </c>
      <c r="K47" s="29">
        <v>3</v>
      </c>
      <c r="L47" s="29">
        <v>7</v>
      </c>
      <c r="M47" s="33" t="s">
        <v>707</v>
      </c>
      <c r="N47" s="29">
        <v>0</v>
      </c>
      <c r="O47" s="29">
        <f t="shared" si="1"/>
        <v>2</v>
      </c>
      <c r="P47" s="29">
        <f t="shared" si="2"/>
        <v>6</v>
      </c>
      <c r="S47" s="31" t="s">
        <v>679</v>
      </c>
      <c r="T47" t="str">
        <f t="shared" si="3"/>
        <v>white/indigo</v>
      </c>
    </row>
    <row r="48" spans="1:21" x14ac:dyDescent="0.25">
      <c r="A48" s="26" t="s">
        <v>761</v>
      </c>
      <c r="B48" s="26" t="s">
        <v>558</v>
      </c>
      <c r="C48" t="s">
        <v>676</v>
      </c>
      <c r="D48" s="31" t="s">
        <v>693</v>
      </c>
      <c r="E48" s="31" t="str">
        <f>S48&amp;"["&amp;T48&amp;"]"</f>
        <v>Cotton[black/darkturquoise]</v>
      </c>
      <c r="F48" s="30" t="s">
        <v>678</v>
      </c>
      <c r="G48" s="29">
        <v>5</v>
      </c>
      <c r="H48" s="29">
        <v>2</v>
      </c>
      <c r="I48" s="29"/>
      <c r="J48" s="29"/>
      <c r="K48" s="29"/>
      <c r="L48" s="29"/>
      <c r="N48" s="29"/>
      <c r="O48" s="29"/>
      <c r="P48" s="29"/>
      <c r="S48" s="31" t="s">
        <v>702</v>
      </c>
      <c r="T48" s="26" t="s">
        <v>766</v>
      </c>
    </row>
    <row r="49" spans="1:22" x14ac:dyDescent="0.25">
      <c r="A49" s="26" t="s">
        <v>761</v>
      </c>
      <c r="B49" s="26" t="s">
        <v>565</v>
      </c>
      <c r="C49" t="s">
        <v>684</v>
      </c>
      <c r="D49" s="1" t="str">
        <f t="shared" ref="D49:D58" si="6">S49&amp;"["&amp;T49&amp;"]"</f>
        <v>Le Marchant[black/darkturquoise]</v>
      </c>
      <c r="F49" s="29"/>
      <c r="G49" s="17" t="s">
        <v>566</v>
      </c>
      <c r="I49" s="30" t="s">
        <v>680</v>
      </c>
      <c r="J49" s="29">
        <v>3</v>
      </c>
      <c r="K49" s="29">
        <v>6</v>
      </c>
      <c r="L49" s="29">
        <v>6</v>
      </c>
      <c r="M49" s="29">
        <v>7</v>
      </c>
      <c r="N49" s="29">
        <f t="shared" si="0"/>
        <v>2</v>
      </c>
      <c r="O49" s="29">
        <f t="shared" si="1"/>
        <v>5</v>
      </c>
      <c r="P49" s="29">
        <f t="shared" si="2"/>
        <v>5</v>
      </c>
      <c r="S49" s="1" t="s">
        <v>748</v>
      </c>
      <c r="T49" t="str">
        <f t="shared" si="3"/>
        <v>black/darkturquoise</v>
      </c>
    </row>
    <row r="50" spans="1:22" x14ac:dyDescent="0.25">
      <c r="A50" s="26" t="s">
        <v>761</v>
      </c>
      <c r="B50" s="26" t="s">
        <v>565</v>
      </c>
      <c r="C50" t="s">
        <v>684</v>
      </c>
      <c r="D50" s="1" t="str">
        <f t="shared" si="6"/>
        <v>Anson[black/darkturquoise]</v>
      </c>
      <c r="F50" s="29"/>
      <c r="G50" s="17" t="s">
        <v>566</v>
      </c>
      <c r="I50" s="29"/>
      <c r="J50" s="29">
        <v>3</v>
      </c>
      <c r="K50" s="29">
        <v>5</v>
      </c>
      <c r="L50" s="29">
        <v>7</v>
      </c>
      <c r="M50" s="29">
        <v>6</v>
      </c>
      <c r="N50" s="29">
        <f t="shared" si="0"/>
        <v>2</v>
      </c>
      <c r="O50" s="29">
        <f t="shared" si="1"/>
        <v>4</v>
      </c>
      <c r="P50" s="29">
        <f t="shared" si="2"/>
        <v>6</v>
      </c>
      <c r="S50" s="1" t="s">
        <v>732</v>
      </c>
      <c r="T50" t="str">
        <f t="shared" si="3"/>
        <v>black/darkturquoise</v>
      </c>
    </row>
    <row r="51" spans="1:22" x14ac:dyDescent="0.25">
      <c r="A51" s="26" t="s">
        <v>761</v>
      </c>
      <c r="B51" s="26" t="s">
        <v>565</v>
      </c>
      <c r="C51" t="s">
        <v>689</v>
      </c>
      <c r="D51" s="1" t="str">
        <f t="shared" si="6"/>
        <v>Alten[black/darkturquoise]</v>
      </c>
      <c r="F51" s="29"/>
      <c r="G51" s="17" t="s">
        <v>566</v>
      </c>
      <c r="I51" s="29"/>
      <c r="J51" s="29">
        <v>2</v>
      </c>
      <c r="K51" s="29">
        <v>5</v>
      </c>
      <c r="L51" s="29">
        <v>7</v>
      </c>
      <c r="M51" s="29">
        <v>6</v>
      </c>
      <c r="N51" s="29">
        <f t="shared" si="0"/>
        <v>1</v>
      </c>
      <c r="O51" s="29">
        <f t="shared" si="1"/>
        <v>4</v>
      </c>
      <c r="P51" s="29">
        <f t="shared" si="2"/>
        <v>6</v>
      </c>
      <c r="S51" s="1" t="s">
        <v>701</v>
      </c>
      <c r="T51" t="str">
        <f t="shared" si="3"/>
        <v>black/darkturquoise</v>
      </c>
    </row>
    <row r="52" spans="1:22" x14ac:dyDescent="0.25">
      <c r="A52" s="26" t="s">
        <v>761</v>
      </c>
      <c r="B52" s="26" t="s">
        <v>565</v>
      </c>
      <c r="C52" t="s">
        <v>685</v>
      </c>
      <c r="D52" s="1" t="str">
        <f t="shared" si="6"/>
        <v>Bock[black/darkturquoise]</v>
      </c>
      <c r="F52" s="29"/>
      <c r="G52" s="17" t="s">
        <v>566</v>
      </c>
      <c r="I52" s="30" t="s">
        <v>680</v>
      </c>
      <c r="J52" s="29">
        <v>3</v>
      </c>
      <c r="K52" s="29">
        <v>5</v>
      </c>
      <c r="L52" s="29">
        <v>6</v>
      </c>
      <c r="M52" s="29">
        <v>7</v>
      </c>
      <c r="N52" s="29">
        <f t="shared" si="0"/>
        <v>2</v>
      </c>
      <c r="O52" s="29">
        <f t="shared" si="1"/>
        <v>4</v>
      </c>
      <c r="P52" s="29">
        <f t="shared" si="2"/>
        <v>5</v>
      </c>
      <c r="S52" s="1" t="s">
        <v>749</v>
      </c>
      <c r="T52" t="str">
        <f t="shared" si="3"/>
        <v>black/darkturquoise</v>
      </c>
    </row>
    <row r="53" spans="1:22" x14ac:dyDescent="0.25">
      <c r="A53" s="26" t="s">
        <v>761</v>
      </c>
      <c r="B53" s="26" t="s">
        <v>565</v>
      </c>
      <c r="C53" t="s">
        <v>686</v>
      </c>
      <c r="D53" s="1" t="str">
        <f t="shared" si="6"/>
        <v>D'Urban[black/darkturquoise]</v>
      </c>
      <c r="F53" s="29"/>
      <c r="G53" s="17" t="s">
        <v>566</v>
      </c>
      <c r="I53" s="30"/>
      <c r="J53" s="29">
        <v>2</v>
      </c>
      <c r="K53" s="29">
        <v>4</v>
      </c>
      <c r="L53" s="29">
        <v>6</v>
      </c>
      <c r="M53" s="29">
        <v>7</v>
      </c>
      <c r="N53" s="29">
        <f t="shared" si="0"/>
        <v>1</v>
      </c>
      <c r="O53" s="29">
        <f t="shared" si="1"/>
        <v>3</v>
      </c>
      <c r="P53" s="29">
        <f t="shared" si="2"/>
        <v>5</v>
      </c>
      <c r="S53" s="1" t="s">
        <v>750</v>
      </c>
      <c r="T53" t="str">
        <f t="shared" si="3"/>
        <v>black/darkturquoise</v>
      </c>
    </row>
    <row r="54" spans="1:22" x14ac:dyDescent="0.25">
      <c r="A54" s="26" t="s">
        <v>761</v>
      </c>
      <c r="B54" s="26" t="s">
        <v>656</v>
      </c>
      <c r="C54" t="s">
        <v>684</v>
      </c>
      <c r="D54" s="1" t="str">
        <f t="shared" si="6"/>
        <v>Bull[black/darkturquoise]</v>
      </c>
      <c r="F54" s="29"/>
      <c r="G54" s="17" t="s">
        <v>641</v>
      </c>
      <c r="H54" s="22" t="s">
        <v>657</v>
      </c>
      <c r="I54" s="29"/>
      <c r="J54" s="32" t="s">
        <v>682</v>
      </c>
      <c r="K54" s="29">
        <v>4</v>
      </c>
      <c r="L54" s="29">
        <v>7</v>
      </c>
      <c r="M54" s="33" t="s">
        <v>715</v>
      </c>
      <c r="N54" s="29">
        <v>0</v>
      </c>
      <c r="O54" s="29">
        <f t="shared" si="1"/>
        <v>3</v>
      </c>
      <c r="P54" s="29">
        <f t="shared" si="2"/>
        <v>6</v>
      </c>
      <c r="S54" s="31" t="s">
        <v>751</v>
      </c>
      <c r="T54" t="str">
        <f t="shared" si="3"/>
        <v>black/darkturquoise</v>
      </c>
      <c r="V54" s="26" t="s">
        <v>868</v>
      </c>
    </row>
    <row r="55" spans="1:22" x14ac:dyDescent="0.25">
      <c r="A55" s="26"/>
      <c r="B55" s="26" t="s">
        <v>638</v>
      </c>
      <c r="C55" t="s">
        <v>684</v>
      </c>
      <c r="D55" s="1" t="str">
        <f t="shared" si="6"/>
        <v>May[white/black]</v>
      </c>
      <c r="F55" s="29"/>
      <c r="G55" s="17" t="s">
        <v>641</v>
      </c>
      <c r="I55" s="29"/>
      <c r="J55" s="32" t="s">
        <v>681</v>
      </c>
      <c r="K55" s="29">
        <v>4</v>
      </c>
      <c r="L55" s="29">
        <v>6</v>
      </c>
      <c r="M55" s="24" t="s">
        <v>570</v>
      </c>
      <c r="N55" s="29">
        <v>0</v>
      </c>
      <c r="O55" s="29">
        <f t="shared" si="1"/>
        <v>3</v>
      </c>
      <c r="P55" s="29">
        <f t="shared" si="2"/>
        <v>5</v>
      </c>
      <c r="S55" s="1" t="s">
        <v>661</v>
      </c>
      <c r="T55" s="26" t="s">
        <v>706</v>
      </c>
    </row>
    <row r="56" spans="1:22" x14ac:dyDescent="0.25">
      <c r="A56" s="26" t="s">
        <v>761</v>
      </c>
      <c r="B56" s="26" t="s">
        <v>638</v>
      </c>
      <c r="C56" t="s">
        <v>686</v>
      </c>
      <c r="D56" s="1" t="str">
        <f t="shared" si="6"/>
        <v>Arriaga[white/black]</v>
      </c>
      <c r="F56" s="29"/>
      <c r="G56" s="17" t="s">
        <v>641</v>
      </c>
      <c r="I56" s="29"/>
      <c r="J56" s="32" t="s">
        <v>682</v>
      </c>
      <c r="K56" s="29">
        <v>3</v>
      </c>
      <c r="L56" s="29">
        <v>6</v>
      </c>
      <c r="M56" s="33" t="s">
        <v>715</v>
      </c>
      <c r="N56" s="29">
        <v>0</v>
      </c>
      <c r="O56" s="29">
        <f t="shared" si="1"/>
        <v>2</v>
      </c>
      <c r="P56" s="29">
        <f t="shared" si="2"/>
        <v>5</v>
      </c>
      <c r="S56" s="1" t="s">
        <v>662</v>
      </c>
      <c r="T56" t="str">
        <f t="shared" si="3"/>
        <v>white/black</v>
      </c>
      <c r="V56" s="26" t="s">
        <v>870</v>
      </c>
    </row>
    <row r="57" spans="1:22" x14ac:dyDescent="0.25">
      <c r="A57" s="26" t="s">
        <v>761</v>
      </c>
      <c r="B57" s="26" t="s">
        <v>567</v>
      </c>
      <c r="C57" t="s">
        <v>687</v>
      </c>
      <c r="D57" s="1" t="str">
        <f t="shared" si="6"/>
        <v>Pack[white/black]</v>
      </c>
      <c r="F57" s="29"/>
      <c r="G57" s="17" t="s">
        <v>568</v>
      </c>
      <c r="I57" s="29"/>
      <c r="J57" s="29">
        <v>6</v>
      </c>
      <c r="K57" s="29">
        <v>4</v>
      </c>
      <c r="L57" s="29">
        <v>4</v>
      </c>
      <c r="M57" s="29">
        <v>4</v>
      </c>
      <c r="N57" s="29">
        <f t="shared" si="0"/>
        <v>5</v>
      </c>
      <c r="O57" s="29">
        <f t="shared" si="1"/>
        <v>3</v>
      </c>
      <c r="P57" s="29">
        <f t="shared" si="2"/>
        <v>3</v>
      </c>
      <c r="S57" s="1" t="s">
        <v>659</v>
      </c>
      <c r="T57" t="str">
        <f t="shared" si="3"/>
        <v>white/black</v>
      </c>
    </row>
    <row r="58" spans="1:22" x14ac:dyDescent="0.25">
      <c r="A58" s="26" t="s">
        <v>761</v>
      </c>
      <c r="B58" s="26" t="s">
        <v>567</v>
      </c>
      <c r="C58" t="s">
        <v>687</v>
      </c>
      <c r="D58" s="1" t="str">
        <f t="shared" si="6"/>
        <v>Bradford[white/black]</v>
      </c>
      <c r="F58" s="29"/>
      <c r="G58" s="17" t="s">
        <v>568</v>
      </c>
      <c r="I58" s="29"/>
      <c r="J58" s="29">
        <v>5</v>
      </c>
      <c r="K58" s="29">
        <v>4</v>
      </c>
      <c r="L58" s="29">
        <v>4</v>
      </c>
      <c r="M58" s="29">
        <v>4</v>
      </c>
      <c r="N58" s="29">
        <f t="shared" si="0"/>
        <v>4</v>
      </c>
      <c r="O58" s="29">
        <f t="shared" si="1"/>
        <v>3</v>
      </c>
      <c r="P58" s="29">
        <f t="shared" si="2"/>
        <v>3</v>
      </c>
      <c r="S58" s="1" t="s">
        <v>660</v>
      </c>
      <c r="T58" t="str">
        <f t="shared" si="3"/>
        <v>white/black</v>
      </c>
    </row>
    <row r="59" spans="1:22" x14ac:dyDescent="0.25">
      <c r="A59" s="26"/>
      <c r="B59" s="26"/>
      <c r="I59" s="29"/>
      <c r="J59" s="29"/>
      <c r="K59" s="29"/>
      <c r="L59" s="29"/>
      <c r="N59" s="29"/>
    </row>
    <row r="60" spans="1:22" x14ac:dyDescent="0.25">
      <c r="A60" s="26" t="s">
        <v>761</v>
      </c>
      <c r="B60" s="26" t="s">
        <v>774</v>
      </c>
      <c r="C60" s="26" t="s">
        <v>777</v>
      </c>
      <c r="D60" s="31" t="s">
        <v>846</v>
      </c>
      <c r="E60" s="26" t="s">
        <v>693</v>
      </c>
      <c r="I60" s="29"/>
      <c r="J60" s="29"/>
      <c r="K60" s="29"/>
      <c r="L60" s="29"/>
      <c r="N60" s="29"/>
    </row>
    <row r="61" spans="1:22" x14ac:dyDescent="0.25">
      <c r="A61" s="26" t="s">
        <v>761</v>
      </c>
      <c r="B61" s="26" t="s">
        <v>774</v>
      </c>
      <c r="C61" s="26" t="s">
        <v>777</v>
      </c>
      <c r="D61" s="31" t="s">
        <v>845</v>
      </c>
      <c r="E61" s="26" t="s">
        <v>693</v>
      </c>
      <c r="I61" s="29"/>
      <c r="J61" s="29"/>
      <c r="K61" s="29"/>
      <c r="L61" s="29"/>
      <c r="N61" s="29"/>
    </row>
    <row r="62" spans="1:22" x14ac:dyDescent="0.25">
      <c r="A62" s="26" t="s">
        <v>761</v>
      </c>
      <c r="B62" s="26" t="s">
        <v>774</v>
      </c>
      <c r="C62" s="26" t="s">
        <v>777</v>
      </c>
      <c r="D62" s="31" t="s">
        <v>658</v>
      </c>
      <c r="E62" s="26" t="s">
        <v>693</v>
      </c>
      <c r="I62" s="29"/>
      <c r="J62" s="29"/>
      <c r="K62" s="29"/>
      <c r="L62" s="29"/>
      <c r="N62" s="29"/>
    </row>
    <row r="63" spans="1:22" x14ac:dyDescent="0.25">
      <c r="A63" s="26" t="s">
        <v>761</v>
      </c>
      <c r="B63" s="26" t="s">
        <v>784</v>
      </c>
      <c r="C63" s="26" t="s">
        <v>779</v>
      </c>
      <c r="D63" s="31" t="str">
        <f>"Attached: "&amp;G63&amp;"["&amp;I63&amp;"/"&amp;J63&amp;"]"</f>
        <v>Attached: Le Marchant[darkred/white]</v>
      </c>
      <c r="G63" s="1" t="s">
        <v>748</v>
      </c>
      <c r="I63" s="30" t="s">
        <v>851</v>
      </c>
      <c r="J63" s="30" t="s">
        <v>545</v>
      </c>
      <c r="K63" s="29"/>
      <c r="L63" s="29"/>
      <c r="N63" s="29"/>
    </row>
    <row r="64" spans="1:22" x14ac:dyDescent="0.25">
      <c r="A64" s="26" t="s">
        <v>761</v>
      </c>
      <c r="B64" s="26" t="s">
        <v>784</v>
      </c>
      <c r="C64" s="26" t="s">
        <v>779</v>
      </c>
      <c r="D64" s="31" t="str">
        <f t="shared" ref="D64:D71" si="7">"Attached: "&amp;G64&amp;"["&amp;I64&amp;"/"&amp;J64&amp;"]"</f>
        <v>Attached: Anson[darkred/white]</v>
      </c>
      <c r="G64" s="1" t="s">
        <v>732</v>
      </c>
      <c r="I64" s="30" t="s">
        <v>851</v>
      </c>
      <c r="J64" s="30" t="s">
        <v>545</v>
      </c>
      <c r="K64" s="29"/>
      <c r="L64" s="29"/>
      <c r="N64" s="29"/>
    </row>
    <row r="65" spans="1:20" x14ac:dyDescent="0.25">
      <c r="A65" s="26" t="s">
        <v>761</v>
      </c>
      <c r="B65" s="26" t="s">
        <v>784</v>
      </c>
      <c r="C65" s="26" t="s">
        <v>779</v>
      </c>
      <c r="D65" s="31" t="str">
        <f t="shared" si="7"/>
        <v>Attached: Alten[darkred/white]</v>
      </c>
      <c r="G65" s="1" t="s">
        <v>701</v>
      </c>
      <c r="I65" s="30" t="s">
        <v>851</v>
      </c>
      <c r="J65" s="30" t="s">
        <v>545</v>
      </c>
      <c r="K65" s="29"/>
      <c r="L65" s="29"/>
      <c r="N65" s="29"/>
    </row>
    <row r="66" spans="1:20" x14ac:dyDescent="0.25">
      <c r="A66" s="26" t="s">
        <v>761</v>
      </c>
      <c r="B66" s="26" t="s">
        <v>784</v>
      </c>
      <c r="C66" s="26" t="s">
        <v>779</v>
      </c>
      <c r="D66" s="31" t="str">
        <f t="shared" si="7"/>
        <v>Attached: Bock[darkred/white]</v>
      </c>
      <c r="G66" s="1" t="s">
        <v>749</v>
      </c>
      <c r="I66" s="30" t="s">
        <v>851</v>
      </c>
      <c r="J66" s="30" t="s">
        <v>545</v>
      </c>
      <c r="K66" s="29"/>
      <c r="L66" s="29"/>
      <c r="N66" s="29"/>
    </row>
    <row r="67" spans="1:20" x14ac:dyDescent="0.25">
      <c r="A67" s="26" t="s">
        <v>761</v>
      </c>
      <c r="B67" s="26" t="s">
        <v>784</v>
      </c>
      <c r="C67" s="26" t="s">
        <v>779</v>
      </c>
      <c r="D67" s="31" t="str">
        <f t="shared" si="7"/>
        <v>Attached: D'Urban[darkred/white]</v>
      </c>
      <c r="G67" s="1" t="s">
        <v>750</v>
      </c>
      <c r="I67" s="30" t="s">
        <v>851</v>
      </c>
      <c r="J67" s="30" t="s">
        <v>545</v>
      </c>
      <c r="K67" s="29"/>
      <c r="L67" s="29"/>
      <c r="N67" s="29"/>
    </row>
    <row r="68" spans="1:20" x14ac:dyDescent="0.25">
      <c r="A68" s="26" t="s">
        <v>761</v>
      </c>
      <c r="B68" s="26" t="s">
        <v>784</v>
      </c>
      <c r="C68" s="26" t="s">
        <v>779</v>
      </c>
      <c r="D68" s="31" t="str">
        <f t="shared" si="7"/>
        <v>Attached: Bull[darkred/white]</v>
      </c>
      <c r="G68" s="31" t="s">
        <v>751</v>
      </c>
      <c r="I68" s="30" t="s">
        <v>851</v>
      </c>
      <c r="J68" s="30" t="s">
        <v>545</v>
      </c>
      <c r="K68" s="29"/>
      <c r="L68" s="29"/>
      <c r="N68" s="29"/>
    </row>
    <row r="69" spans="1:20" x14ac:dyDescent="0.25">
      <c r="A69" s="26" t="s">
        <v>761</v>
      </c>
      <c r="B69" s="26" t="s">
        <v>784</v>
      </c>
      <c r="C69" s="26" t="s">
        <v>779</v>
      </c>
      <c r="D69" s="31" t="str">
        <f t="shared" si="7"/>
        <v>Attached: Arriaga[darkred/white]</v>
      </c>
      <c r="G69" s="1" t="s">
        <v>662</v>
      </c>
      <c r="I69" s="30" t="s">
        <v>851</v>
      </c>
      <c r="J69" s="30" t="s">
        <v>545</v>
      </c>
      <c r="K69" s="29"/>
      <c r="L69" s="29"/>
      <c r="N69" s="29"/>
    </row>
    <row r="70" spans="1:20" x14ac:dyDescent="0.25">
      <c r="A70" s="26" t="s">
        <v>761</v>
      </c>
      <c r="B70" s="26" t="s">
        <v>784</v>
      </c>
      <c r="C70" s="26" t="s">
        <v>779</v>
      </c>
      <c r="D70" s="31" t="str">
        <f t="shared" si="7"/>
        <v>Attached: Pack[darkred/white]</v>
      </c>
      <c r="G70" s="1" t="s">
        <v>659</v>
      </c>
      <c r="I70" s="30" t="s">
        <v>851</v>
      </c>
      <c r="J70" s="30" t="s">
        <v>545</v>
      </c>
      <c r="K70" s="29"/>
      <c r="L70" s="29"/>
      <c r="N70" s="29"/>
    </row>
    <row r="71" spans="1:20" x14ac:dyDescent="0.25">
      <c r="A71" s="26" t="s">
        <v>761</v>
      </c>
      <c r="B71" s="26" t="s">
        <v>784</v>
      </c>
      <c r="C71" s="26" t="s">
        <v>779</v>
      </c>
      <c r="D71" s="31" t="str">
        <f t="shared" si="7"/>
        <v>Attached: Bradford[darkred/white]</v>
      </c>
      <c r="G71" s="1" t="s">
        <v>660</v>
      </c>
      <c r="I71" s="30" t="s">
        <v>851</v>
      </c>
      <c r="J71" s="30" t="s">
        <v>545</v>
      </c>
      <c r="K71" s="29"/>
      <c r="L71" s="29"/>
      <c r="N71" s="29"/>
    </row>
    <row r="72" spans="1:20" x14ac:dyDescent="0.25">
      <c r="A72" s="26" t="s">
        <v>761</v>
      </c>
      <c r="B72" s="26" t="s">
        <v>783</v>
      </c>
      <c r="C72" s="26" t="s">
        <v>779</v>
      </c>
      <c r="D72" s="31" t="s">
        <v>852</v>
      </c>
      <c r="I72" s="29"/>
      <c r="J72" s="29"/>
      <c r="K72" s="29"/>
      <c r="L72" s="29"/>
      <c r="N72" s="29"/>
    </row>
    <row r="73" spans="1:20" x14ac:dyDescent="0.25">
      <c r="A73" s="26"/>
      <c r="B73" s="26"/>
      <c r="E73" s="1"/>
      <c r="F73" s="29"/>
      <c r="I73" s="29"/>
      <c r="J73" s="29"/>
      <c r="K73" s="29"/>
      <c r="L73" s="29"/>
      <c r="N73" s="29"/>
    </row>
    <row r="74" spans="1:20" x14ac:dyDescent="0.25">
      <c r="A74" s="26" t="s">
        <v>761</v>
      </c>
      <c r="B74" s="26" t="s">
        <v>554</v>
      </c>
      <c r="C74" t="s">
        <v>555</v>
      </c>
      <c r="E74" s="31"/>
      <c r="F74" s="29" t="s">
        <v>663</v>
      </c>
      <c r="G74" s="30" t="s">
        <v>623</v>
      </c>
      <c r="H74" s="29">
        <v>2</v>
      </c>
      <c r="I74" s="29">
        <v>3</v>
      </c>
      <c r="J74" s="29">
        <v>4</v>
      </c>
      <c r="K74" s="29"/>
      <c r="L74" s="29"/>
      <c r="N74" s="29"/>
      <c r="S74" s="1" t="s">
        <v>663</v>
      </c>
    </row>
    <row r="75" spans="1:20" x14ac:dyDescent="0.25">
      <c r="A75" s="26" t="s">
        <v>761</v>
      </c>
      <c r="B75" s="26" t="s">
        <v>554</v>
      </c>
      <c r="C75" t="s">
        <v>555</v>
      </c>
      <c r="E75" s="1"/>
      <c r="F75" s="29" t="s">
        <v>664</v>
      </c>
      <c r="G75" s="30" t="s">
        <v>623</v>
      </c>
      <c r="H75" s="29">
        <v>1</v>
      </c>
      <c r="I75" s="29">
        <v>2</v>
      </c>
      <c r="J75" s="29">
        <v>4</v>
      </c>
      <c r="K75" s="29"/>
      <c r="L75" s="29"/>
      <c r="N75" s="29"/>
      <c r="S75" s="1" t="s">
        <v>664</v>
      </c>
    </row>
    <row r="76" spans="1:20" x14ac:dyDescent="0.25">
      <c r="A76" s="26" t="s">
        <v>761</v>
      </c>
      <c r="B76" s="26" t="s">
        <v>558</v>
      </c>
      <c r="C76" t="s">
        <v>621</v>
      </c>
      <c r="D76" s="1">
        <v>1</v>
      </c>
      <c r="E76" s="31" t="str">
        <f>S76&amp;"["&amp;T76&amp;"]"</f>
        <v>Foy[black/red]</v>
      </c>
      <c r="F76" s="30" t="s">
        <v>678</v>
      </c>
      <c r="G76" s="29">
        <v>4</v>
      </c>
      <c r="H76" s="29">
        <v>2</v>
      </c>
      <c r="I76" s="29"/>
      <c r="J76" s="29"/>
      <c r="K76" s="29"/>
      <c r="L76" s="29"/>
      <c r="N76" s="29"/>
      <c r="S76" s="1" t="s">
        <v>665</v>
      </c>
      <c r="T76" t="s">
        <v>703</v>
      </c>
    </row>
    <row r="77" spans="1:20" x14ac:dyDescent="0.25">
      <c r="A77" s="26" t="s">
        <v>761</v>
      </c>
      <c r="B77" s="26" t="s">
        <v>567</v>
      </c>
      <c r="C77" t="s">
        <v>622</v>
      </c>
      <c r="D77" s="1" t="str">
        <f>R77&amp;"/"&amp;S77&amp;"["&amp;T77&amp;"]"</f>
        <v>6°Lg/Chemineau[black/red]</v>
      </c>
      <c r="E77" s="1"/>
      <c r="G77" s="17" t="s">
        <v>568</v>
      </c>
      <c r="I77" s="29"/>
      <c r="J77" s="29">
        <v>3</v>
      </c>
      <c r="K77" s="29">
        <v>4</v>
      </c>
      <c r="L77" s="29">
        <v>4</v>
      </c>
      <c r="M77" s="29">
        <v>4</v>
      </c>
      <c r="N77" s="29">
        <f t="shared" ref="N77:P80" si="8">J77-1</f>
        <v>2</v>
      </c>
      <c r="O77" s="29">
        <f t="shared" si="8"/>
        <v>3</v>
      </c>
      <c r="P77" s="29">
        <f t="shared" si="8"/>
        <v>3</v>
      </c>
      <c r="R77" s="26" t="s">
        <v>886</v>
      </c>
      <c r="S77" s="1" t="s">
        <v>875</v>
      </c>
      <c r="T77" t="str">
        <f t="shared" ref="T77:T130" si="9">T76</f>
        <v>black/red</v>
      </c>
    </row>
    <row r="78" spans="1:20" x14ac:dyDescent="0.25">
      <c r="A78" s="26" t="s">
        <v>761</v>
      </c>
      <c r="B78" s="26" t="s">
        <v>567</v>
      </c>
      <c r="C78" t="s">
        <v>622</v>
      </c>
      <c r="D78" s="1" t="str">
        <f>R78&amp;"/"&amp;S78&amp;"["&amp;T78&amp;"]"</f>
        <v>69°Li/Chemineau[black/red]</v>
      </c>
      <c r="E78" s="1"/>
      <c r="G78" s="17" t="s">
        <v>568</v>
      </c>
      <c r="I78" s="29"/>
      <c r="J78" s="29">
        <v>4</v>
      </c>
      <c r="K78" s="29">
        <v>4</v>
      </c>
      <c r="L78" s="29">
        <v>4</v>
      </c>
      <c r="M78" s="29">
        <v>4</v>
      </c>
      <c r="N78" s="29">
        <f t="shared" si="8"/>
        <v>3</v>
      </c>
      <c r="O78" s="29">
        <f t="shared" si="8"/>
        <v>3</v>
      </c>
      <c r="P78" s="29">
        <f t="shared" si="8"/>
        <v>3</v>
      </c>
      <c r="R78" s="26" t="s">
        <v>887</v>
      </c>
      <c r="S78" s="1" t="s">
        <v>875</v>
      </c>
      <c r="T78" t="str">
        <f t="shared" si="9"/>
        <v>black/red</v>
      </c>
    </row>
    <row r="79" spans="1:20" x14ac:dyDescent="0.25">
      <c r="A79" s="26" t="s">
        <v>761</v>
      </c>
      <c r="B79" s="26" t="s">
        <v>567</v>
      </c>
      <c r="C79" t="s">
        <v>622</v>
      </c>
      <c r="D79" s="1" t="str">
        <f>R79&amp;"/"&amp;S79&amp;"["&amp;T79&amp;"]"</f>
        <v>39°Li/Desgraviers[black/red]</v>
      </c>
      <c r="E79" s="1"/>
      <c r="G79" s="17" t="s">
        <v>568</v>
      </c>
      <c r="I79" s="29"/>
      <c r="J79" s="29">
        <v>2</v>
      </c>
      <c r="K79" s="29">
        <v>4</v>
      </c>
      <c r="L79" s="29">
        <v>4</v>
      </c>
      <c r="M79" s="29">
        <v>4</v>
      </c>
      <c r="N79" s="29">
        <f t="shared" si="8"/>
        <v>1</v>
      </c>
      <c r="O79" s="29">
        <f t="shared" si="8"/>
        <v>3</v>
      </c>
      <c r="P79" s="29">
        <f t="shared" si="8"/>
        <v>3</v>
      </c>
      <c r="R79" s="26" t="s">
        <v>888</v>
      </c>
      <c r="S79" s="31" t="s">
        <v>885</v>
      </c>
      <c r="T79" t="str">
        <f>T77</f>
        <v>black/red</v>
      </c>
    </row>
    <row r="80" spans="1:20" x14ac:dyDescent="0.25">
      <c r="A80" s="26" t="s">
        <v>761</v>
      </c>
      <c r="B80" s="26" t="s">
        <v>567</v>
      </c>
      <c r="C80" t="s">
        <v>622</v>
      </c>
      <c r="D80" s="1" t="str">
        <f>R80&amp;"/"&amp;S80&amp;"["&amp;T80&amp;"]"</f>
        <v>76°Li/Desgraviers[black/red]</v>
      </c>
      <c r="E80" s="1"/>
      <c r="G80" s="17" t="s">
        <v>568</v>
      </c>
      <c r="I80" s="29"/>
      <c r="J80" s="29">
        <v>4</v>
      </c>
      <c r="K80" s="29">
        <v>4</v>
      </c>
      <c r="L80" s="29">
        <v>4</v>
      </c>
      <c r="M80" s="29">
        <v>4</v>
      </c>
      <c r="N80" s="29">
        <f t="shared" si="8"/>
        <v>3</v>
      </c>
      <c r="O80" s="29">
        <f t="shared" si="8"/>
        <v>3</v>
      </c>
      <c r="P80" s="29">
        <f t="shared" si="8"/>
        <v>3</v>
      </c>
      <c r="R80" s="26" t="s">
        <v>889</v>
      </c>
      <c r="S80" s="31" t="s">
        <v>885</v>
      </c>
      <c r="T80" t="str">
        <f>T78</f>
        <v>black/red</v>
      </c>
    </row>
    <row r="81" spans="1:20" x14ac:dyDescent="0.25">
      <c r="A81" s="26" t="s">
        <v>761</v>
      </c>
      <c r="B81" s="26" t="s">
        <v>656</v>
      </c>
      <c r="C81" t="s">
        <v>622</v>
      </c>
      <c r="D81" s="1" t="str">
        <f>S81&amp;"["&amp;T81&amp;"]"</f>
        <v>Foy[black/red]</v>
      </c>
      <c r="E81" s="1"/>
      <c r="G81" s="17" t="s">
        <v>641</v>
      </c>
      <c r="H81" s="22" t="s">
        <v>657</v>
      </c>
      <c r="I81" s="29"/>
      <c r="J81" s="32" t="s">
        <v>682</v>
      </c>
      <c r="K81" s="29">
        <v>4</v>
      </c>
      <c r="L81" s="29">
        <v>7</v>
      </c>
      <c r="M81" s="33" t="s">
        <v>715</v>
      </c>
      <c r="N81" s="29">
        <v>0</v>
      </c>
      <c r="O81" s="29">
        <f>K81-1</f>
        <v>3</v>
      </c>
      <c r="P81" s="29">
        <f>L81-1</f>
        <v>6</v>
      </c>
      <c r="S81" s="1" t="s">
        <v>665</v>
      </c>
      <c r="T81" t="str">
        <f>T79</f>
        <v>black/red</v>
      </c>
    </row>
    <row r="82" spans="1:20" x14ac:dyDescent="0.25">
      <c r="A82" s="26" t="s">
        <v>761</v>
      </c>
      <c r="B82" s="26" t="s">
        <v>558</v>
      </c>
      <c r="C82" t="s">
        <v>621</v>
      </c>
      <c r="D82" s="1">
        <v>2</v>
      </c>
      <c r="E82" s="31" t="str">
        <f>S82&amp;"["&amp;T82&amp;"]"</f>
        <v>Clausel[yellow/darkblue]</v>
      </c>
      <c r="F82" s="30" t="s">
        <v>678</v>
      </c>
      <c r="G82" s="29">
        <v>4</v>
      </c>
      <c r="H82" s="29">
        <v>2</v>
      </c>
      <c r="I82" s="29"/>
      <c r="J82" s="29"/>
      <c r="K82" s="29"/>
      <c r="L82" s="29"/>
      <c r="N82" s="29"/>
      <c r="S82" s="1" t="s">
        <v>664</v>
      </c>
      <c r="T82" t="s">
        <v>762</v>
      </c>
    </row>
    <row r="83" spans="1:20" x14ac:dyDescent="0.25">
      <c r="A83" s="26" t="s">
        <v>761</v>
      </c>
      <c r="B83" s="26" t="s">
        <v>567</v>
      </c>
      <c r="C83" t="s">
        <v>622</v>
      </c>
      <c r="D83" s="1" t="str">
        <f>R83&amp;"/"&amp;S83&amp;"["&amp;T83&amp;"]"</f>
        <v>25°Lg/Berlier[yellow/darkblue]</v>
      </c>
      <c r="E83" s="1"/>
      <c r="G83" s="17" t="s">
        <v>568</v>
      </c>
      <c r="I83" s="29"/>
      <c r="J83" s="29">
        <v>4</v>
      </c>
      <c r="K83" s="29">
        <v>4</v>
      </c>
      <c r="L83" s="29">
        <v>4</v>
      </c>
      <c r="M83" s="29">
        <v>4</v>
      </c>
      <c r="N83" s="29">
        <f t="shared" ref="N83:P86" si="10">J83-1</f>
        <v>3</v>
      </c>
      <c r="O83" s="29">
        <f t="shared" si="10"/>
        <v>3</v>
      </c>
      <c r="P83" s="29">
        <f t="shared" si="10"/>
        <v>3</v>
      </c>
      <c r="R83" s="26" t="s">
        <v>890</v>
      </c>
      <c r="S83" s="31" t="s">
        <v>876</v>
      </c>
      <c r="T83" t="str">
        <f t="shared" si="9"/>
        <v>yellow/darkblue</v>
      </c>
    </row>
    <row r="84" spans="1:20" x14ac:dyDescent="0.25">
      <c r="A84" s="26" t="s">
        <v>761</v>
      </c>
      <c r="B84" s="26" t="s">
        <v>567</v>
      </c>
      <c r="C84" t="s">
        <v>622</v>
      </c>
      <c r="D84" s="1" t="str">
        <f>R84&amp;"/"&amp;S84&amp;"["&amp;T84&amp;"]"</f>
        <v>27°Li/Berlier[yellow/darkblue]</v>
      </c>
      <c r="E84" s="1"/>
      <c r="G84" s="17" t="s">
        <v>568</v>
      </c>
      <c r="I84" s="29"/>
      <c r="J84" s="29">
        <v>4</v>
      </c>
      <c r="K84" s="29">
        <v>4</v>
      </c>
      <c r="L84" s="29">
        <v>4</v>
      </c>
      <c r="M84" s="29">
        <v>4</v>
      </c>
      <c r="N84" s="29">
        <f t="shared" si="10"/>
        <v>3</v>
      </c>
      <c r="O84" s="29">
        <f t="shared" si="10"/>
        <v>3</v>
      </c>
      <c r="P84" s="29">
        <f t="shared" si="10"/>
        <v>3</v>
      </c>
      <c r="R84" s="26" t="s">
        <v>891</v>
      </c>
      <c r="S84" s="31" t="s">
        <v>876</v>
      </c>
      <c r="T84" t="str">
        <f>T82</f>
        <v>yellow/darkblue</v>
      </c>
    </row>
    <row r="85" spans="1:20" x14ac:dyDescent="0.25">
      <c r="A85" s="26" t="s">
        <v>761</v>
      </c>
      <c r="B85" s="26" t="s">
        <v>567</v>
      </c>
      <c r="C85" t="s">
        <v>622</v>
      </c>
      <c r="D85" s="1" t="str">
        <f>R85&amp;"/"&amp;S85&amp;"["&amp;T85&amp;"]"</f>
        <v>50°Li/Barbot[yellow/darkblue]</v>
      </c>
      <c r="E85" s="1"/>
      <c r="G85" s="17" t="s">
        <v>568</v>
      </c>
      <c r="I85" s="29"/>
      <c r="J85" s="29">
        <v>4</v>
      </c>
      <c r="K85" s="29">
        <v>4</v>
      </c>
      <c r="L85" s="29">
        <v>4</v>
      </c>
      <c r="M85" s="29">
        <v>4</v>
      </c>
      <c r="N85" s="29">
        <f t="shared" si="10"/>
        <v>3</v>
      </c>
      <c r="O85" s="29">
        <f t="shared" si="10"/>
        <v>3</v>
      </c>
      <c r="P85" s="29">
        <f t="shared" si="10"/>
        <v>3</v>
      </c>
      <c r="R85" s="26" t="s">
        <v>892</v>
      </c>
      <c r="S85" s="31" t="s">
        <v>877</v>
      </c>
      <c r="T85" t="str">
        <f>T83</f>
        <v>yellow/darkblue</v>
      </c>
    </row>
    <row r="86" spans="1:20" x14ac:dyDescent="0.25">
      <c r="A86" s="26" t="s">
        <v>761</v>
      </c>
      <c r="B86" s="26" t="s">
        <v>567</v>
      </c>
      <c r="C86" t="s">
        <v>622</v>
      </c>
      <c r="D86" s="1" t="str">
        <f>R86&amp;"/"&amp;S86&amp;"["&amp;T86&amp;"]"</f>
        <v>59°Li/Barbot[yellow/darkblue]</v>
      </c>
      <c r="E86" s="1"/>
      <c r="G86" s="17" t="s">
        <v>568</v>
      </c>
      <c r="I86" s="29"/>
      <c r="J86" s="29">
        <v>1</v>
      </c>
      <c r="K86" s="29">
        <v>4</v>
      </c>
      <c r="L86" s="29">
        <v>4</v>
      </c>
      <c r="M86" s="29">
        <v>4</v>
      </c>
      <c r="N86" s="29">
        <f t="shared" si="10"/>
        <v>0</v>
      </c>
      <c r="O86" s="29">
        <f t="shared" si="10"/>
        <v>3</v>
      </c>
      <c r="P86" s="29">
        <f t="shared" si="10"/>
        <v>3</v>
      </c>
      <c r="R86" s="26" t="s">
        <v>893</v>
      </c>
      <c r="S86" s="31" t="s">
        <v>877</v>
      </c>
      <c r="T86" t="str">
        <f>T84</f>
        <v>yellow/darkblue</v>
      </c>
    </row>
    <row r="87" spans="1:20" x14ac:dyDescent="0.25">
      <c r="A87" s="26" t="s">
        <v>761</v>
      </c>
      <c r="B87" s="26" t="s">
        <v>656</v>
      </c>
      <c r="C87" t="s">
        <v>622</v>
      </c>
      <c r="D87" s="1" t="str">
        <f>S87&amp;"["&amp;T87&amp;"]"</f>
        <v>Clausel[yellow/darkblue]</v>
      </c>
      <c r="E87" s="1"/>
      <c r="G87" s="17" t="s">
        <v>641</v>
      </c>
      <c r="H87" s="22" t="s">
        <v>657</v>
      </c>
      <c r="I87" s="29"/>
      <c r="J87" s="32" t="s">
        <v>682</v>
      </c>
      <c r="K87" s="29">
        <v>4</v>
      </c>
      <c r="L87" s="29">
        <v>7</v>
      </c>
      <c r="M87" s="33" t="s">
        <v>715</v>
      </c>
      <c r="N87" s="29">
        <v>0</v>
      </c>
      <c r="O87" s="29">
        <f>K87-1</f>
        <v>3</v>
      </c>
      <c r="P87" s="29">
        <f>L87-1</f>
        <v>6</v>
      </c>
      <c r="S87" s="1" t="s">
        <v>664</v>
      </c>
      <c r="T87" t="str">
        <f>T85</f>
        <v>yellow/darkblue</v>
      </c>
    </row>
    <row r="88" spans="1:20" x14ac:dyDescent="0.25">
      <c r="A88" s="26" t="s">
        <v>761</v>
      </c>
      <c r="B88" s="26" t="s">
        <v>558</v>
      </c>
      <c r="C88" t="s">
        <v>621</v>
      </c>
      <c r="D88" s="1">
        <v>3</v>
      </c>
      <c r="E88" s="31" t="str">
        <f>S88&amp;"["&amp;T88&amp;"]"</f>
        <v>Ferey[black/orange]</v>
      </c>
      <c r="F88" s="30" t="s">
        <v>678</v>
      </c>
      <c r="G88" s="29">
        <v>4</v>
      </c>
      <c r="H88" s="29">
        <v>2</v>
      </c>
      <c r="I88" s="29"/>
      <c r="J88" s="29"/>
      <c r="K88" s="29"/>
      <c r="L88" s="29"/>
      <c r="N88" s="29"/>
      <c r="S88" s="1" t="s">
        <v>666</v>
      </c>
      <c r="T88" t="s">
        <v>754</v>
      </c>
    </row>
    <row r="89" spans="1:20" x14ac:dyDescent="0.25">
      <c r="A89" s="26" t="s">
        <v>761</v>
      </c>
      <c r="B89" s="26" t="s">
        <v>567</v>
      </c>
      <c r="C89" t="s">
        <v>622</v>
      </c>
      <c r="D89" s="1" t="str">
        <f>R89&amp;"/"&amp;S89&amp;"["&amp;T89&amp;"]"</f>
        <v>31°Lg/Menne[black/orange]</v>
      </c>
      <c r="E89" s="1"/>
      <c r="G89" s="17" t="s">
        <v>568</v>
      </c>
      <c r="I89" s="29"/>
      <c r="J89" s="29">
        <v>4</v>
      </c>
      <c r="K89" s="29">
        <v>4</v>
      </c>
      <c r="L89" s="29">
        <v>4</v>
      </c>
      <c r="M89" s="29">
        <v>4</v>
      </c>
      <c r="N89" s="29">
        <f t="shared" ref="N89:P92" si="11">J89-1</f>
        <v>3</v>
      </c>
      <c r="O89" s="29">
        <f t="shared" si="11"/>
        <v>3</v>
      </c>
      <c r="P89" s="29">
        <f t="shared" si="11"/>
        <v>3</v>
      </c>
      <c r="R89" s="26" t="s">
        <v>894</v>
      </c>
      <c r="S89" s="31" t="s">
        <v>878</v>
      </c>
      <c r="T89" t="str">
        <f t="shared" si="9"/>
        <v>black/orange</v>
      </c>
    </row>
    <row r="90" spans="1:20" x14ac:dyDescent="0.25">
      <c r="A90" s="26" t="s">
        <v>761</v>
      </c>
      <c r="B90" s="26" t="s">
        <v>567</v>
      </c>
      <c r="C90" t="s">
        <v>622</v>
      </c>
      <c r="D90" s="1" t="str">
        <f>R90&amp;"/"&amp;S90&amp;"["&amp;T90&amp;"]"</f>
        <v>26°Li/Menne[black/orange]</v>
      </c>
      <c r="E90" s="1"/>
      <c r="G90" s="17" t="s">
        <v>568</v>
      </c>
      <c r="I90" s="29"/>
      <c r="J90" s="29">
        <v>3</v>
      </c>
      <c r="K90" s="29">
        <v>4</v>
      </c>
      <c r="L90" s="29">
        <v>4</v>
      </c>
      <c r="M90" s="29">
        <v>4</v>
      </c>
      <c r="N90" s="29">
        <f t="shared" si="11"/>
        <v>2</v>
      </c>
      <c r="O90" s="29">
        <f t="shared" si="11"/>
        <v>3</v>
      </c>
      <c r="P90" s="29">
        <f t="shared" si="11"/>
        <v>3</v>
      </c>
      <c r="R90" s="26" t="s">
        <v>895</v>
      </c>
      <c r="S90" s="31" t="s">
        <v>878</v>
      </c>
      <c r="T90" t="str">
        <f>T88</f>
        <v>black/orange</v>
      </c>
    </row>
    <row r="91" spans="1:20" x14ac:dyDescent="0.25">
      <c r="A91" s="26" t="s">
        <v>761</v>
      </c>
      <c r="B91" s="26" t="s">
        <v>567</v>
      </c>
      <c r="C91" t="s">
        <v>622</v>
      </c>
      <c r="D91" s="1" t="str">
        <f>R91&amp;"/"&amp;S91&amp;"["&amp;T91&amp;"]"</f>
        <v>47°Li/2nd Bgde[black/orange]</v>
      </c>
      <c r="E91" s="1"/>
      <c r="G91" s="17" t="s">
        <v>568</v>
      </c>
      <c r="I91" s="29"/>
      <c r="J91" s="29">
        <v>4</v>
      </c>
      <c r="K91" s="29">
        <v>4</v>
      </c>
      <c r="L91" s="29">
        <v>4</v>
      </c>
      <c r="M91" s="29">
        <v>4</v>
      </c>
      <c r="N91" s="29">
        <f t="shared" si="11"/>
        <v>3</v>
      </c>
      <c r="O91" s="29">
        <f t="shared" si="11"/>
        <v>3</v>
      </c>
      <c r="P91" s="29">
        <f t="shared" si="11"/>
        <v>3</v>
      </c>
      <c r="R91" s="26" t="s">
        <v>896</v>
      </c>
      <c r="S91" s="31" t="s">
        <v>770</v>
      </c>
      <c r="T91" t="str">
        <f>T89</f>
        <v>black/orange</v>
      </c>
    </row>
    <row r="92" spans="1:20" x14ac:dyDescent="0.25">
      <c r="A92" s="26" t="s">
        <v>761</v>
      </c>
      <c r="B92" s="26" t="s">
        <v>567</v>
      </c>
      <c r="C92" t="s">
        <v>622</v>
      </c>
      <c r="D92" s="1" t="str">
        <f>R92&amp;"/"&amp;S92&amp;"["&amp;T92&amp;"]"</f>
        <v>70°Li/2nd Bgde[black/orange]</v>
      </c>
      <c r="E92" s="1"/>
      <c r="G92" s="17" t="s">
        <v>568</v>
      </c>
      <c r="I92" s="29"/>
      <c r="J92" s="29">
        <v>3</v>
      </c>
      <c r="K92" s="29">
        <v>4</v>
      </c>
      <c r="L92" s="29">
        <v>4</v>
      </c>
      <c r="M92" s="29">
        <v>4</v>
      </c>
      <c r="N92" s="29">
        <f t="shared" si="11"/>
        <v>2</v>
      </c>
      <c r="O92" s="29">
        <f t="shared" si="11"/>
        <v>3</v>
      </c>
      <c r="P92" s="29">
        <f t="shared" si="11"/>
        <v>3</v>
      </c>
      <c r="R92" s="26" t="s">
        <v>897</v>
      </c>
      <c r="S92" s="31" t="s">
        <v>770</v>
      </c>
      <c r="T92" t="str">
        <f>T90</f>
        <v>black/orange</v>
      </c>
    </row>
    <row r="93" spans="1:20" x14ac:dyDescent="0.25">
      <c r="A93" s="26" t="s">
        <v>761</v>
      </c>
      <c r="B93" s="26" t="s">
        <v>656</v>
      </c>
      <c r="C93" t="s">
        <v>622</v>
      </c>
      <c r="D93" s="1" t="str">
        <f>S93&amp;"["&amp;T93&amp;"]"</f>
        <v>Ferey[black/orange]</v>
      </c>
      <c r="E93" s="1"/>
      <c r="G93" s="17" t="s">
        <v>641</v>
      </c>
      <c r="H93" s="22" t="s">
        <v>657</v>
      </c>
      <c r="I93" s="29"/>
      <c r="J93" s="32" t="s">
        <v>682</v>
      </c>
      <c r="K93" s="29">
        <v>4</v>
      </c>
      <c r="L93" s="29">
        <v>7</v>
      </c>
      <c r="M93" s="33" t="s">
        <v>715</v>
      </c>
      <c r="N93" s="29">
        <v>0</v>
      </c>
      <c r="O93" s="29">
        <f>K93-1</f>
        <v>3</v>
      </c>
      <c r="P93" s="29">
        <f>L93-1</f>
        <v>6</v>
      </c>
      <c r="S93" s="1" t="s">
        <v>666</v>
      </c>
      <c r="T93" t="str">
        <f>T91</f>
        <v>black/orange</v>
      </c>
    </row>
    <row r="94" spans="1:20" x14ac:dyDescent="0.25">
      <c r="A94" s="26" t="s">
        <v>761</v>
      </c>
      <c r="B94" s="26" t="s">
        <v>558</v>
      </c>
      <c r="C94" t="s">
        <v>621</v>
      </c>
      <c r="D94" s="1">
        <v>4</v>
      </c>
      <c r="E94" s="31" t="str">
        <f>S94&amp;"["&amp;T94&amp;"]"</f>
        <v>Sarrut[black/lt_green]</v>
      </c>
      <c r="F94" s="30" t="s">
        <v>678</v>
      </c>
      <c r="G94" s="29">
        <v>3</v>
      </c>
      <c r="H94" s="29">
        <v>2</v>
      </c>
      <c r="I94" s="29"/>
      <c r="J94" s="29"/>
      <c r="K94" s="29"/>
      <c r="L94" s="29"/>
      <c r="N94" s="29"/>
      <c r="S94" s="1" t="s">
        <v>667</v>
      </c>
      <c r="T94" t="s">
        <v>711</v>
      </c>
    </row>
    <row r="95" spans="1:20" x14ac:dyDescent="0.25">
      <c r="A95" s="26" t="s">
        <v>761</v>
      </c>
      <c r="B95" s="26" t="s">
        <v>567</v>
      </c>
      <c r="C95" t="s">
        <v>622</v>
      </c>
      <c r="D95" s="1" t="str">
        <f>R95&amp;"/"&amp;S95&amp;"["&amp;T95&amp;"]"</f>
        <v>2°Lg/Fririon[black/lt_green]</v>
      </c>
      <c r="E95" s="1"/>
      <c r="G95" s="17" t="s">
        <v>568</v>
      </c>
      <c r="I95" s="29"/>
      <c r="J95" s="29">
        <v>5</v>
      </c>
      <c r="K95" s="29">
        <v>5</v>
      </c>
      <c r="L95" s="29">
        <v>4</v>
      </c>
      <c r="M95" s="29">
        <v>5</v>
      </c>
      <c r="N95" s="29">
        <f t="shared" ref="N95:P97" si="12">J95-1</f>
        <v>4</v>
      </c>
      <c r="O95" s="29">
        <f t="shared" si="12"/>
        <v>4</v>
      </c>
      <c r="P95" s="29">
        <f t="shared" si="12"/>
        <v>3</v>
      </c>
      <c r="R95" s="26" t="s">
        <v>898</v>
      </c>
      <c r="S95" s="31" t="s">
        <v>880</v>
      </c>
      <c r="T95" t="str">
        <f t="shared" si="9"/>
        <v>black/lt_green</v>
      </c>
    </row>
    <row r="96" spans="1:20" x14ac:dyDescent="0.25">
      <c r="A96" s="26" t="s">
        <v>761</v>
      </c>
      <c r="B96" s="26" t="s">
        <v>567</v>
      </c>
      <c r="C96" t="s">
        <v>622</v>
      </c>
      <c r="D96" s="1" t="str">
        <f>R96&amp;"/"&amp;S96&amp;"["&amp;T96&amp;"]"</f>
        <v>36°Li/Fririon[black/lt_green]</v>
      </c>
      <c r="E96" s="1"/>
      <c r="G96" s="17" t="s">
        <v>568</v>
      </c>
      <c r="I96" s="29"/>
      <c r="J96" s="29">
        <v>4</v>
      </c>
      <c r="K96" s="29">
        <v>5</v>
      </c>
      <c r="L96" s="29">
        <v>4</v>
      </c>
      <c r="M96" s="29">
        <v>5</v>
      </c>
      <c r="N96" s="29">
        <f t="shared" si="12"/>
        <v>3</v>
      </c>
      <c r="O96" s="29">
        <f t="shared" si="12"/>
        <v>4</v>
      </c>
      <c r="P96" s="29">
        <f t="shared" si="12"/>
        <v>3</v>
      </c>
      <c r="R96" s="26" t="s">
        <v>899</v>
      </c>
      <c r="S96" s="31" t="s">
        <v>880</v>
      </c>
      <c r="T96" t="str">
        <f>T94</f>
        <v>black/lt_green</v>
      </c>
    </row>
    <row r="97" spans="1:20" x14ac:dyDescent="0.25">
      <c r="A97" s="26" t="s">
        <v>761</v>
      </c>
      <c r="B97" s="26" t="s">
        <v>567</v>
      </c>
      <c r="C97" t="s">
        <v>622</v>
      </c>
      <c r="D97" s="1" t="str">
        <f>R97&amp;"/"&amp;S97&amp;"["&amp;T97&amp;"]"</f>
        <v>4°Lg/2nd Bgde[black/lt_green]</v>
      </c>
      <c r="E97" s="1"/>
      <c r="G97" s="17" t="s">
        <v>568</v>
      </c>
      <c r="I97" s="29"/>
      <c r="J97" s="29">
        <v>3</v>
      </c>
      <c r="K97" s="29">
        <v>4</v>
      </c>
      <c r="L97" s="29">
        <v>4</v>
      </c>
      <c r="M97" s="29">
        <v>4</v>
      </c>
      <c r="N97" s="29">
        <f t="shared" si="12"/>
        <v>2</v>
      </c>
      <c r="O97" s="29">
        <f t="shared" si="12"/>
        <v>3</v>
      </c>
      <c r="P97" s="29">
        <f t="shared" si="12"/>
        <v>3</v>
      </c>
      <c r="R97" s="26" t="s">
        <v>900</v>
      </c>
      <c r="S97" s="31" t="s">
        <v>770</v>
      </c>
      <c r="T97" t="str">
        <f t="shared" si="9"/>
        <v>black/lt_green</v>
      </c>
    </row>
    <row r="98" spans="1:20" x14ac:dyDescent="0.25">
      <c r="A98" s="26" t="s">
        <v>761</v>
      </c>
      <c r="B98" s="26" t="s">
        <v>638</v>
      </c>
      <c r="C98" t="s">
        <v>622</v>
      </c>
      <c r="D98" s="1" t="str">
        <f>S98&amp;"["&amp;T98&amp;"]"</f>
        <v>Sarrut[black/lt_green]</v>
      </c>
      <c r="E98" s="1"/>
      <c r="G98" s="17" t="s">
        <v>641</v>
      </c>
      <c r="H98" s="22"/>
      <c r="I98" s="29"/>
      <c r="J98" s="32" t="s">
        <v>682</v>
      </c>
      <c r="K98" s="29">
        <v>4</v>
      </c>
      <c r="L98" s="29">
        <v>6</v>
      </c>
      <c r="M98" s="33" t="s">
        <v>715</v>
      </c>
      <c r="N98" s="29">
        <v>0</v>
      </c>
      <c r="O98" s="29">
        <f>K98-1</f>
        <v>3</v>
      </c>
      <c r="P98" s="29">
        <f>L98-1</f>
        <v>5</v>
      </c>
      <c r="S98" s="1" t="s">
        <v>667</v>
      </c>
      <c r="T98" t="str">
        <f>T96</f>
        <v>black/lt_green</v>
      </c>
    </row>
    <row r="99" spans="1:20" x14ac:dyDescent="0.25">
      <c r="A99" s="26" t="s">
        <v>761</v>
      </c>
      <c r="B99" s="26" t="s">
        <v>558</v>
      </c>
      <c r="C99" t="s">
        <v>621</v>
      </c>
      <c r="D99" s="1">
        <v>5</v>
      </c>
      <c r="E99" s="31" t="str">
        <f>S99&amp;"["&amp;T99&amp;"]"</f>
        <v>Maucune[black/yellow]</v>
      </c>
      <c r="F99" s="30" t="s">
        <v>678</v>
      </c>
      <c r="G99" s="29">
        <v>3</v>
      </c>
      <c r="H99" s="29">
        <v>2</v>
      </c>
      <c r="I99" s="29"/>
      <c r="J99" s="29"/>
      <c r="K99" s="29"/>
      <c r="L99" s="29"/>
      <c r="N99" s="29"/>
      <c r="S99" s="1" t="s">
        <v>668</v>
      </c>
      <c r="T99" t="s">
        <v>704</v>
      </c>
    </row>
    <row r="100" spans="1:20" x14ac:dyDescent="0.25">
      <c r="A100" s="26" t="s">
        <v>761</v>
      </c>
      <c r="B100" s="26" t="s">
        <v>567</v>
      </c>
      <c r="C100" t="s">
        <v>622</v>
      </c>
      <c r="D100" s="1" t="str">
        <f>R100&amp;"/"&amp;S100&amp;"["&amp;T100&amp;"]"</f>
        <v>15°Li/Arnaud[black/yellow]</v>
      </c>
      <c r="E100" s="1"/>
      <c r="G100" s="17" t="s">
        <v>568</v>
      </c>
      <c r="I100" s="29"/>
      <c r="J100" s="29">
        <v>4</v>
      </c>
      <c r="K100" s="29">
        <v>4</v>
      </c>
      <c r="L100" s="29">
        <v>4</v>
      </c>
      <c r="M100" s="29">
        <v>4</v>
      </c>
      <c r="N100" s="29">
        <f t="shared" ref="N100:P103" si="13">J100-1</f>
        <v>3</v>
      </c>
      <c r="O100" s="29">
        <f t="shared" si="13"/>
        <v>3</v>
      </c>
      <c r="P100" s="29">
        <f t="shared" si="13"/>
        <v>3</v>
      </c>
      <c r="R100" s="26" t="s">
        <v>901</v>
      </c>
      <c r="S100" s="31" t="s">
        <v>879</v>
      </c>
      <c r="T100" t="str">
        <f t="shared" si="9"/>
        <v>black/yellow</v>
      </c>
    </row>
    <row r="101" spans="1:20" x14ac:dyDescent="0.25">
      <c r="A101" s="26" t="s">
        <v>761</v>
      </c>
      <c r="B101" s="26" t="s">
        <v>567</v>
      </c>
      <c r="C101" t="s">
        <v>622</v>
      </c>
      <c r="D101" s="1" t="str">
        <f>R101&amp;"/"&amp;S101&amp;"["&amp;T101&amp;"]"</f>
        <v>66°Li/Arnaud[black/yellow]</v>
      </c>
      <c r="E101" s="1"/>
      <c r="G101" s="17" t="s">
        <v>568</v>
      </c>
      <c r="I101" s="29"/>
      <c r="J101" s="29">
        <v>3</v>
      </c>
      <c r="K101" s="29">
        <v>4</v>
      </c>
      <c r="L101" s="29">
        <v>4</v>
      </c>
      <c r="M101" s="29">
        <v>4</v>
      </c>
      <c r="N101" s="29">
        <f t="shared" si="13"/>
        <v>2</v>
      </c>
      <c r="O101" s="29">
        <f t="shared" si="13"/>
        <v>3</v>
      </c>
      <c r="P101" s="29">
        <f t="shared" si="13"/>
        <v>3</v>
      </c>
      <c r="R101" s="26" t="s">
        <v>902</v>
      </c>
      <c r="S101" s="31" t="s">
        <v>879</v>
      </c>
      <c r="T101" t="str">
        <f>T99</f>
        <v>black/yellow</v>
      </c>
    </row>
    <row r="102" spans="1:20" x14ac:dyDescent="0.25">
      <c r="A102" s="26" t="s">
        <v>761</v>
      </c>
      <c r="B102" s="26" t="s">
        <v>567</v>
      </c>
      <c r="C102" t="s">
        <v>622</v>
      </c>
      <c r="D102" s="1" t="str">
        <f>R102&amp;"/"&amp;S102&amp;"["&amp;T102&amp;"]"</f>
        <v>82°Li/Montfort[black/yellow]</v>
      </c>
      <c r="E102" s="1"/>
      <c r="G102" s="17" t="s">
        <v>568</v>
      </c>
      <c r="I102" s="29"/>
      <c r="J102" s="29">
        <v>3</v>
      </c>
      <c r="K102" s="29">
        <v>4</v>
      </c>
      <c r="L102" s="29">
        <v>4</v>
      </c>
      <c r="M102" s="29">
        <v>4</v>
      </c>
      <c r="N102" s="29">
        <f t="shared" si="13"/>
        <v>2</v>
      </c>
      <c r="O102" s="29">
        <f t="shared" si="13"/>
        <v>3</v>
      </c>
      <c r="P102" s="29">
        <f t="shared" si="13"/>
        <v>3</v>
      </c>
      <c r="R102" s="26" t="s">
        <v>903</v>
      </c>
      <c r="S102" s="31" t="s">
        <v>881</v>
      </c>
      <c r="T102" t="str">
        <f>T100</f>
        <v>black/yellow</v>
      </c>
    </row>
    <row r="103" spans="1:20" x14ac:dyDescent="0.25">
      <c r="A103" s="26" t="s">
        <v>761</v>
      </c>
      <c r="B103" s="26" t="s">
        <v>567</v>
      </c>
      <c r="C103" t="s">
        <v>622</v>
      </c>
      <c r="D103" s="1" t="str">
        <f>R103&amp;"/"&amp;S103&amp;"["&amp;T103&amp;"]"</f>
        <v>86°Li/Montfort[black/yellow]</v>
      </c>
      <c r="E103" s="1"/>
      <c r="G103" s="17" t="s">
        <v>568</v>
      </c>
      <c r="I103" s="29"/>
      <c r="J103" s="29">
        <v>3</v>
      </c>
      <c r="K103" s="29">
        <v>4</v>
      </c>
      <c r="L103" s="29">
        <v>4</v>
      </c>
      <c r="M103" s="29">
        <v>4</v>
      </c>
      <c r="N103" s="29">
        <f t="shared" si="13"/>
        <v>2</v>
      </c>
      <c r="O103" s="29">
        <f t="shared" si="13"/>
        <v>3</v>
      </c>
      <c r="P103" s="29">
        <f t="shared" si="13"/>
        <v>3</v>
      </c>
      <c r="R103" s="26" t="s">
        <v>904</v>
      </c>
      <c r="S103" s="31" t="s">
        <v>881</v>
      </c>
      <c r="T103" t="str">
        <f>T101</f>
        <v>black/yellow</v>
      </c>
    </row>
    <row r="104" spans="1:20" x14ac:dyDescent="0.25">
      <c r="A104" s="26" t="s">
        <v>761</v>
      </c>
      <c r="B104" s="26" t="s">
        <v>638</v>
      </c>
      <c r="C104" t="s">
        <v>622</v>
      </c>
      <c r="D104" s="1" t="str">
        <f>S104&amp;"["&amp;T104&amp;"]"</f>
        <v>Maucune[black/yellow]</v>
      </c>
      <c r="E104" s="1"/>
      <c r="G104" s="17" t="s">
        <v>641</v>
      </c>
      <c r="H104" s="22"/>
      <c r="I104" s="29"/>
      <c r="J104" s="32" t="s">
        <v>682</v>
      </c>
      <c r="K104" s="29">
        <v>4</v>
      </c>
      <c r="L104" s="29">
        <v>6</v>
      </c>
      <c r="M104" s="33" t="s">
        <v>715</v>
      </c>
      <c r="N104" s="29">
        <v>0</v>
      </c>
      <c r="O104" s="29">
        <f>K104-1</f>
        <v>3</v>
      </c>
      <c r="P104" s="29">
        <f>L104-1</f>
        <v>5</v>
      </c>
      <c r="S104" s="1" t="s">
        <v>668</v>
      </c>
      <c r="T104" t="str">
        <f>T102</f>
        <v>black/yellow</v>
      </c>
    </row>
    <row r="105" spans="1:20" x14ac:dyDescent="0.25">
      <c r="A105" s="26" t="s">
        <v>761</v>
      </c>
      <c r="B105" s="26" t="s">
        <v>558</v>
      </c>
      <c r="C105" t="s">
        <v>621</v>
      </c>
      <c r="D105" s="1">
        <v>6</v>
      </c>
      <c r="E105" s="31" t="str">
        <f>S105&amp;"["&amp;T105&amp;"]"</f>
        <v>Taupin[black/pink]</v>
      </c>
      <c r="F105" s="30" t="s">
        <v>678</v>
      </c>
      <c r="G105" s="29">
        <v>3</v>
      </c>
      <c r="H105" s="29">
        <v>2</v>
      </c>
      <c r="I105" s="29"/>
      <c r="J105" s="29"/>
      <c r="K105" s="29"/>
      <c r="L105" s="29"/>
      <c r="N105" s="29"/>
      <c r="S105" s="31" t="s">
        <v>874</v>
      </c>
      <c r="T105" t="s">
        <v>755</v>
      </c>
    </row>
    <row r="106" spans="1:20" x14ac:dyDescent="0.25">
      <c r="A106" s="26" t="s">
        <v>761</v>
      </c>
      <c r="B106" s="26" t="s">
        <v>567</v>
      </c>
      <c r="C106" t="s">
        <v>622</v>
      </c>
      <c r="D106" s="1" t="str">
        <f>R106&amp;"/"&amp;S106&amp;"["&amp;T106&amp;"]"</f>
        <v>17°Lg/Taupin[black/pink]</v>
      </c>
      <c r="E106" s="1"/>
      <c r="G106" s="17" t="s">
        <v>568</v>
      </c>
      <c r="I106" s="29"/>
      <c r="J106" s="29">
        <v>3</v>
      </c>
      <c r="K106" s="29">
        <v>5</v>
      </c>
      <c r="L106" s="29">
        <v>4</v>
      </c>
      <c r="M106" s="29">
        <v>5</v>
      </c>
      <c r="N106" s="29">
        <f t="shared" ref="N106:P108" si="14">J106-1</f>
        <v>2</v>
      </c>
      <c r="O106" s="29">
        <f t="shared" si="14"/>
        <v>4</v>
      </c>
      <c r="P106" s="29">
        <f t="shared" si="14"/>
        <v>3</v>
      </c>
      <c r="R106" s="26" t="s">
        <v>905</v>
      </c>
      <c r="S106" s="31" t="s">
        <v>874</v>
      </c>
      <c r="T106" t="str">
        <f t="shared" si="9"/>
        <v>black/pink</v>
      </c>
    </row>
    <row r="107" spans="1:20" x14ac:dyDescent="0.25">
      <c r="A107" s="26" t="s">
        <v>761</v>
      </c>
      <c r="B107" s="26" t="s">
        <v>567</v>
      </c>
      <c r="C107" t="s">
        <v>622</v>
      </c>
      <c r="D107" s="1" t="str">
        <f>R107&amp;"/"&amp;S107&amp;"["&amp;T107&amp;"]"</f>
        <v>65°Li/Taupin[black/pink]</v>
      </c>
      <c r="E107" s="1"/>
      <c r="G107" s="17" t="s">
        <v>568</v>
      </c>
      <c r="I107" s="29"/>
      <c r="J107" s="29">
        <v>4</v>
      </c>
      <c r="K107" s="29">
        <v>5</v>
      </c>
      <c r="L107" s="29">
        <v>4</v>
      </c>
      <c r="M107" s="29">
        <v>5</v>
      </c>
      <c r="N107" s="29">
        <f t="shared" si="14"/>
        <v>3</v>
      </c>
      <c r="O107" s="29">
        <f t="shared" si="14"/>
        <v>4</v>
      </c>
      <c r="P107" s="29">
        <f t="shared" si="14"/>
        <v>3</v>
      </c>
      <c r="R107" s="26" t="s">
        <v>906</v>
      </c>
      <c r="S107" s="31" t="s">
        <v>874</v>
      </c>
      <c r="T107" t="str">
        <f>T105</f>
        <v>black/pink</v>
      </c>
    </row>
    <row r="108" spans="1:20" x14ac:dyDescent="0.25">
      <c r="A108" s="26" t="s">
        <v>761</v>
      </c>
      <c r="B108" s="26" t="s">
        <v>567</v>
      </c>
      <c r="C108" t="s">
        <v>622</v>
      </c>
      <c r="D108" s="1" t="str">
        <f>R108&amp;"/"&amp;S108&amp;"["&amp;T108&amp;"]"</f>
        <v>22°Li/2nd Bgde[black/pink]</v>
      </c>
      <c r="E108" s="1"/>
      <c r="G108" s="17" t="s">
        <v>568</v>
      </c>
      <c r="I108" s="29"/>
      <c r="J108" s="29">
        <v>4</v>
      </c>
      <c r="K108" s="29">
        <v>4</v>
      </c>
      <c r="L108" s="29">
        <v>4</v>
      </c>
      <c r="M108" s="29">
        <v>4</v>
      </c>
      <c r="N108" s="29">
        <f t="shared" si="14"/>
        <v>3</v>
      </c>
      <c r="O108" s="29">
        <f t="shared" si="14"/>
        <v>3</v>
      </c>
      <c r="P108" s="29">
        <f t="shared" si="14"/>
        <v>3</v>
      </c>
      <c r="R108" s="26" t="s">
        <v>907</v>
      </c>
      <c r="S108" s="31" t="s">
        <v>770</v>
      </c>
      <c r="T108" t="str">
        <f t="shared" si="9"/>
        <v>black/pink</v>
      </c>
    </row>
    <row r="109" spans="1:20" x14ac:dyDescent="0.25">
      <c r="A109" s="26" t="s">
        <v>761</v>
      </c>
      <c r="B109" s="26" t="s">
        <v>638</v>
      </c>
      <c r="C109" t="s">
        <v>622</v>
      </c>
      <c r="D109" s="1" t="str">
        <f>S109&amp;"["&amp;T109&amp;"]"</f>
        <v>Brennier[black/pink]</v>
      </c>
      <c r="E109" s="1"/>
      <c r="G109" s="17" t="s">
        <v>641</v>
      </c>
      <c r="H109" s="22"/>
      <c r="I109" s="29"/>
      <c r="J109" s="32" t="s">
        <v>682</v>
      </c>
      <c r="K109" s="29">
        <v>4</v>
      </c>
      <c r="L109" s="29">
        <v>6</v>
      </c>
      <c r="M109" s="33" t="s">
        <v>715</v>
      </c>
      <c r="N109" s="29">
        <v>0</v>
      </c>
      <c r="O109" s="29">
        <f>K109-1</f>
        <v>3</v>
      </c>
      <c r="P109" s="29">
        <f>L109-1</f>
        <v>5</v>
      </c>
      <c r="S109" s="1" t="s">
        <v>669</v>
      </c>
      <c r="T109" t="str">
        <f>T107</f>
        <v>black/pink</v>
      </c>
    </row>
    <row r="110" spans="1:20" x14ac:dyDescent="0.25">
      <c r="A110" s="26" t="s">
        <v>761</v>
      </c>
      <c r="B110" s="26" t="s">
        <v>558</v>
      </c>
      <c r="C110" t="s">
        <v>621</v>
      </c>
      <c r="D110" s="1">
        <v>7</v>
      </c>
      <c r="E110" s="31" t="str">
        <f>S110&amp;"["&amp;T110&amp;"]"</f>
        <v>Thomières[white/darkgreen]</v>
      </c>
      <c r="F110" s="30" t="s">
        <v>678</v>
      </c>
      <c r="G110" s="29">
        <v>3</v>
      </c>
      <c r="H110" s="29">
        <v>2</v>
      </c>
      <c r="I110" s="29"/>
      <c r="J110" s="29"/>
      <c r="K110" s="29"/>
      <c r="L110" s="29"/>
      <c r="N110" s="29"/>
      <c r="S110" s="1" t="s">
        <v>670</v>
      </c>
      <c r="T110" t="s">
        <v>756</v>
      </c>
    </row>
    <row r="111" spans="1:20" x14ac:dyDescent="0.25">
      <c r="A111" s="26" t="s">
        <v>761</v>
      </c>
      <c r="B111" s="26" t="s">
        <v>567</v>
      </c>
      <c r="C111" t="s">
        <v>622</v>
      </c>
      <c r="D111" s="1" t="str">
        <f>R111&amp;"/"&amp;S111&amp;"["&amp;T111&amp;"]"</f>
        <v>1°Li/Bonté[white/darkgreen]</v>
      </c>
      <c r="E111" s="1"/>
      <c r="G111" s="17" t="s">
        <v>568</v>
      </c>
      <c r="I111" s="29"/>
      <c r="J111" s="29">
        <v>4</v>
      </c>
      <c r="K111" s="29">
        <v>5</v>
      </c>
      <c r="L111" s="29">
        <v>4</v>
      </c>
      <c r="M111" s="29">
        <v>5</v>
      </c>
      <c r="N111" s="29">
        <f t="shared" ref="N111:P113" si="15">J111-1</f>
        <v>3</v>
      </c>
      <c r="O111" s="29">
        <f t="shared" si="15"/>
        <v>4</v>
      </c>
      <c r="P111" s="29">
        <f t="shared" si="15"/>
        <v>3</v>
      </c>
      <c r="R111" s="26" t="s">
        <v>908</v>
      </c>
      <c r="S111" s="31" t="s">
        <v>882</v>
      </c>
      <c r="T111" t="str">
        <f t="shared" si="9"/>
        <v>white/darkgreen</v>
      </c>
    </row>
    <row r="112" spans="1:20" x14ac:dyDescent="0.25">
      <c r="A112" s="26" t="s">
        <v>761</v>
      </c>
      <c r="B112" s="26" t="s">
        <v>567</v>
      </c>
      <c r="C112" t="s">
        <v>622</v>
      </c>
      <c r="D112" s="1" t="str">
        <f>R112&amp;"/"&amp;S112&amp;"["&amp;T112&amp;"]"</f>
        <v>62°Li/Bonté[white/darkgreen]</v>
      </c>
      <c r="E112" s="1"/>
      <c r="G112" s="17" t="s">
        <v>568</v>
      </c>
      <c r="I112" s="29"/>
      <c r="J112" s="29">
        <v>3</v>
      </c>
      <c r="K112" s="29">
        <v>5</v>
      </c>
      <c r="L112" s="29">
        <v>4</v>
      </c>
      <c r="M112" s="29">
        <v>5</v>
      </c>
      <c r="N112" s="29">
        <f t="shared" si="15"/>
        <v>2</v>
      </c>
      <c r="O112" s="29">
        <f t="shared" si="15"/>
        <v>4</v>
      </c>
      <c r="P112" s="29">
        <f t="shared" si="15"/>
        <v>3</v>
      </c>
      <c r="R112" s="26" t="s">
        <v>909</v>
      </c>
      <c r="S112" s="31" t="s">
        <v>882</v>
      </c>
      <c r="T112" t="str">
        <f>T110</f>
        <v>white/darkgreen</v>
      </c>
    </row>
    <row r="113" spans="1:20" x14ac:dyDescent="0.25">
      <c r="A113" s="26" t="s">
        <v>761</v>
      </c>
      <c r="B113" s="26" t="s">
        <v>567</v>
      </c>
      <c r="C113" t="s">
        <v>622</v>
      </c>
      <c r="D113" s="1" t="str">
        <f>R113&amp;"/"&amp;S113&amp;"["&amp;T113&amp;"]"</f>
        <v>101°Li/Thomières[white/darkgreen]</v>
      </c>
      <c r="E113" s="1"/>
      <c r="G113" s="17" t="s">
        <v>568</v>
      </c>
      <c r="I113" s="29"/>
      <c r="J113" s="29">
        <v>4</v>
      </c>
      <c r="K113" s="29">
        <v>5</v>
      </c>
      <c r="L113" s="29">
        <v>4</v>
      </c>
      <c r="M113" s="29">
        <v>5</v>
      </c>
      <c r="N113" s="29">
        <f t="shared" si="15"/>
        <v>3</v>
      </c>
      <c r="O113" s="29">
        <f t="shared" si="15"/>
        <v>4</v>
      </c>
      <c r="P113" s="29">
        <f t="shared" si="15"/>
        <v>3</v>
      </c>
      <c r="R113" s="26" t="s">
        <v>910</v>
      </c>
      <c r="S113" s="31" t="s">
        <v>670</v>
      </c>
      <c r="T113" t="str">
        <f t="shared" si="9"/>
        <v>white/darkgreen</v>
      </c>
    </row>
    <row r="114" spans="1:20" x14ac:dyDescent="0.25">
      <c r="A114" s="26" t="s">
        <v>761</v>
      </c>
      <c r="B114" s="26" t="s">
        <v>638</v>
      </c>
      <c r="C114" t="s">
        <v>622</v>
      </c>
      <c r="D114" s="1" t="str">
        <f>S114&amp;"["&amp;T114&amp;"]"</f>
        <v>Thomières[white/darkgreen]</v>
      </c>
      <c r="E114" s="1"/>
      <c r="G114" s="17" t="s">
        <v>641</v>
      </c>
      <c r="H114" s="22"/>
      <c r="I114" s="29"/>
      <c r="J114" s="32" t="s">
        <v>682</v>
      </c>
      <c r="K114" s="29">
        <v>4</v>
      </c>
      <c r="L114" s="29">
        <v>6</v>
      </c>
      <c r="M114" s="33" t="s">
        <v>715</v>
      </c>
      <c r="N114" s="29">
        <v>0</v>
      </c>
      <c r="O114" s="29">
        <f>K114-1</f>
        <v>3</v>
      </c>
      <c r="P114" s="29">
        <f>L114-1</f>
        <v>5</v>
      </c>
      <c r="S114" s="1" t="s">
        <v>670</v>
      </c>
      <c r="T114" t="str">
        <f>T112</f>
        <v>white/darkgreen</v>
      </c>
    </row>
    <row r="115" spans="1:20" x14ac:dyDescent="0.25">
      <c r="A115" s="26" t="s">
        <v>761</v>
      </c>
      <c r="B115" s="26" t="s">
        <v>558</v>
      </c>
      <c r="C115" t="s">
        <v>621</v>
      </c>
      <c r="D115" s="1">
        <v>8</v>
      </c>
      <c r="E115" s="31" t="str">
        <f>S115&amp;"["&amp;T115&amp;"]"</f>
        <v>Bonnet[white/indigo]</v>
      </c>
      <c r="F115" s="30" t="s">
        <v>678</v>
      </c>
      <c r="G115" s="29">
        <v>3</v>
      </c>
      <c r="H115" s="29">
        <v>2</v>
      </c>
      <c r="I115" s="29"/>
      <c r="J115" s="29"/>
      <c r="K115" s="29"/>
      <c r="L115" s="29"/>
      <c r="N115" s="29"/>
      <c r="S115" s="1" t="s">
        <v>671</v>
      </c>
      <c r="T115" t="s">
        <v>712</v>
      </c>
    </row>
    <row r="116" spans="1:20" x14ac:dyDescent="0.25">
      <c r="A116" s="26" t="s">
        <v>761</v>
      </c>
      <c r="B116" s="26" t="s">
        <v>567</v>
      </c>
      <c r="C116" t="s">
        <v>622</v>
      </c>
      <c r="D116" s="1" t="str">
        <f>R116&amp;"/"&amp;S116&amp;"["&amp;T116&amp;"]"</f>
        <v>118°Li/Gautier[white/indigo]</v>
      </c>
      <c r="E116" s="1"/>
      <c r="G116" s="17" t="s">
        <v>568</v>
      </c>
      <c r="I116" s="29"/>
      <c r="J116" s="29">
        <v>4</v>
      </c>
      <c r="K116" s="29">
        <v>4</v>
      </c>
      <c r="L116" s="29">
        <v>4</v>
      </c>
      <c r="M116" s="29">
        <v>4</v>
      </c>
      <c r="N116" s="29">
        <f t="shared" ref="N116:P119" si="16">J116-1</f>
        <v>3</v>
      </c>
      <c r="O116" s="29">
        <f t="shared" si="16"/>
        <v>3</v>
      </c>
      <c r="P116" s="29">
        <f t="shared" si="16"/>
        <v>3</v>
      </c>
      <c r="R116" s="26" t="s">
        <v>911</v>
      </c>
      <c r="S116" s="31" t="s">
        <v>883</v>
      </c>
      <c r="T116" t="str">
        <f t="shared" si="9"/>
        <v>white/indigo</v>
      </c>
    </row>
    <row r="117" spans="1:20" x14ac:dyDescent="0.25">
      <c r="A117" s="26" t="s">
        <v>761</v>
      </c>
      <c r="B117" s="26" t="s">
        <v>567</v>
      </c>
      <c r="C117" t="s">
        <v>622</v>
      </c>
      <c r="D117" s="1" t="str">
        <f>R117&amp;"/"&amp;S117&amp;"["&amp;T117&amp;"]"</f>
        <v>119°Li/Gautier[white/indigo]</v>
      </c>
      <c r="E117" s="1"/>
      <c r="G117" s="17" t="s">
        <v>568</v>
      </c>
      <c r="I117" s="29"/>
      <c r="J117" s="29">
        <v>3</v>
      </c>
      <c r="K117" s="29">
        <v>4</v>
      </c>
      <c r="L117" s="29">
        <v>4</v>
      </c>
      <c r="M117" s="29">
        <v>4</v>
      </c>
      <c r="N117" s="29">
        <f t="shared" si="16"/>
        <v>2</v>
      </c>
      <c r="O117" s="29">
        <f t="shared" si="16"/>
        <v>3</v>
      </c>
      <c r="P117" s="29">
        <f t="shared" si="16"/>
        <v>3</v>
      </c>
      <c r="R117" s="26" t="s">
        <v>912</v>
      </c>
      <c r="S117" s="31" t="s">
        <v>883</v>
      </c>
      <c r="T117" t="str">
        <f>T115</f>
        <v>white/indigo</v>
      </c>
    </row>
    <row r="118" spans="1:20" x14ac:dyDescent="0.25">
      <c r="A118" s="26" t="s">
        <v>761</v>
      </c>
      <c r="B118" s="26" t="s">
        <v>567</v>
      </c>
      <c r="C118" t="s">
        <v>622</v>
      </c>
      <c r="D118" s="1" t="str">
        <f>R118&amp;"/"&amp;S118&amp;"["&amp;T118&amp;"]"</f>
        <v>120°Li/2nd Bgde[white/indigo]</v>
      </c>
      <c r="E118" s="1"/>
      <c r="G118" s="17" t="s">
        <v>568</v>
      </c>
      <c r="I118" s="29"/>
      <c r="J118" s="29">
        <v>5</v>
      </c>
      <c r="K118" s="29">
        <v>4</v>
      </c>
      <c r="L118" s="29">
        <v>4</v>
      </c>
      <c r="M118" s="29">
        <v>4</v>
      </c>
      <c r="N118" s="29">
        <f t="shared" si="16"/>
        <v>4</v>
      </c>
      <c r="O118" s="29">
        <f t="shared" si="16"/>
        <v>3</v>
      </c>
      <c r="P118" s="29">
        <f t="shared" si="16"/>
        <v>3</v>
      </c>
      <c r="R118" s="26" t="s">
        <v>913</v>
      </c>
      <c r="S118" s="31" t="s">
        <v>770</v>
      </c>
      <c r="T118" t="str">
        <f>T116</f>
        <v>white/indigo</v>
      </c>
    </row>
    <row r="119" spans="1:20" x14ac:dyDescent="0.25">
      <c r="A119" s="26" t="s">
        <v>761</v>
      </c>
      <c r="B119" s="26" t="s">
        <v>567</v>
      </c>
      <c r="C119" t="s">
        <v>622</v>
      </c>
      <c r="D119" s="1" t="str">
        <f>R119&amp;"/"&amp;S119&amp;"["&amp;T119&amp;"]"</f>
        <v>122°Li/2nd Bgde[white/indigo]</v>
      </c>
      <c r="E119" s="1"/>
      <c r="G119" s="17" t="s">
        <v>568</v>
      </c>
      <c r="I119" s="29"/>
      <c r="J119" s="29">
        <v>4</v>
      </c>
      <c r="K119" s="29">
        <v>4</v>
      </c>
      <c r="L119" s="29">
        <v>4</v>
      </c>
      <c r="M119" s="29">
        <v>4</v>
      </c>
      <c r="N119" s="29">
        <f t="shared" si="16"/>
        <v>3</v>
      </c>
      <c r="O119" s="29">
        <f t="shared" si="16"/>
        <v>3</v>
      </c>
      <c r="P119" s="29">
        <f t="shared" si="16"/>
        <v>3</v>
      </c>
      <c r="R119" s="26" t="s">
        <v>914</v>
      </c>
      <c r="S119" s="31" t="s">
        <v>770</v>
      </c>
      <c r="T119" t="str">
        <f>T117</f>
        <v>white/indigo</v>
      </c>
    </row>
    <row r="120" spans="1:20" x14ac:dyDescent="0.25">
      <c r="A120" s="26" t="s">
        <v>761</v>
      </c>
      <c r="B120" s="26" t="s">
        <v>638</v>
      </c>
      <c r="C120" t="s">
        <v>622</v>
      </c>
      <c r="D120" s="1" t="str">
        <f>S120&amp;"["&amp;T120&amp;"]"</f>
        <v>Bonnet[white/indigo]</v>
      </c>
      <c r="E120" s="1"/>
      <c r="G120" s="17" t="s">
        <v>641</v>
      </c>
      <c r="I120" s="29"/>
      <c r="J120" s="32" t="s">
        <v>681</v>
      </c>
      <c r="K120" s="29">
        <v>6</v>
      </c>
      <c r="L120" s="29">
        <v>6</v>
      </c>
      <c r="M120" s="24" t="s">
        <v>570</v>
      </c>
      <c r="N120" s="29">
        <v>0</v>
      </c>
      <c r="O120" s="29">
        <f>K120-1</f>
        <v>5</v>
      </c>
      <c r="P120" s="29">
        <f>L120-1</f>
        <v>5</v>
      </c>
      <c r="S120" s="31" t="s">
        <v>671</v>
      </c>
      <c r="T120" t="str">
        <f t="shared" si="9"/>
        <v>white/indigo</v>
      </c>
    </row>
    <row r="121" spans="1:20" x14ac:dyDescent="0.25">
      <c r="A121" s="26" t="s">
        <v>761</v>
      </c>
      <c r="B121" s="26" t="s">
        <v>558</v>
      </c>
      <c r="C121" t="s">
        <v>621</v>
      </c>
      <c r="D121" s="1" t="s">
        <v>759</v>
      </c>
      <c r="E121" s="31" t="str">
        <f>S121&amp;"["&amp;T121&amp;"]"</f>
        <v>Curto[yellow/brown]</v>
      </c>
      <c r="F121" s="30" t="s">
        <v>678</v>
      </c>
      <c r="G121" s="29">
        <v>3</v>
      </c>
      <c r="H121" s="29">
        <v>2</v>
      </c>
      <c r="I121" s="29"/>
      <c r="J121" s="29"/>
      <c r="K121" s="29"/>
      <c r="L121" s="29"/>
      <c r="N121" s="29"/>
      <c r="S121" s="1" t="s">
        <v>672</v>
      </c>
      <c r="T121" t="s">
        <v>757</v>
      </c>
    </row>
    <row r="122" spans="1:20" x14ac:dyDescent="0.25">
      <c r="A122" s="26" t="s">
        <v>761</v>
      </c>
      <c r="B122" s="26" t="s">
        <v>565</v>
      </c>
      <c r="C122" t="s">
        <v>622</v>
      </c>
      <c r="D122" s="1" t="str">
        <f>S122&amp;"["&amp;T122&amp;"]"</f>
        <v>1st Bgde[yellow/brown]</v>
      </c>
      <c r="E122" s="1"/>
      <c r="G122" s="17" t="s">
        <v>566</v>
      </c>
      <c r="I122" s="29"/>
      <c r="J122" s="29">
        <v>3</v>
      </c>
      <c r="K122" s="29">
        <v>4</v>
      </c>
      <c r="L122" s="29">
        <v>7</v>
      </c>
      <c r="M122" s="29">
        <v>5</v>
      </c>
      <c r="N122" s="29">
        <f t="shared" ref="N122:P123" si="17">J122-1</f>
        <v>2</v>
      </c>
      <c r="O122" s="29">
        <f t="shared" si="17"/>
        <v>3</v>
      </c>
      <c r="P122" s="29">
        <f t="shared" si="17"/>
        <v>6</v>
      </c>
      <c r="S122" s="31" t="s">
        <v>771</v>
      </c>
      <c r="T122" t="str">
        <f t="shared" si="9"/>
        <v>yellow/brown</v>
      </c>
    </row>
    <row r="123" spans="1:20" x14ac:dyDescent="0.25">
      <c r="A123" s="26" t="s">
        <v>761</v>
      </c>
      <c r="B123" s="26" t="s">
        <v>565</v>
      </c>
      <c r="C123" t="s">
        <v>622</v>
      </c>
      <c r="D123" s="1" t="str">
        <f>S123&amp;"["&amp;T123&amp;"]"</f>
        <v>2nd Bgde[yellow/brown]</v>
      </c>
      <c r="E123" s="1"/>
      <c r="G123" s="17" t="s">
        <v>566</v>
      </c>
      <c r="I123" s="29"/>
      <c r="J123" s="29">
        <v>3</v>
      </c>
      <c r="K123" s="29">
        <v>4</v>
      </c>
      <c r="L123" s="29">
        <v>7</v>
      </c>
      <c r="M123" s="29">
        <v>5</v>
      </c>
      <c r="N123" s="29">
        <f t="shared" si="17"/>
        <v>2</v>
      </c>
      <c r="O123" s="29">
        <f t="shared" si="17"/>
        <v>3</v>
      </c>
      <c r="P123" s="29">
        <f t="shared" si="17"/>
        <v>6</v>
      </c>
      <c r="S123" s="31" t="s">
        <v>770</v>
      </c>
      <c r="T123" t="str">
        <f t="shared" si="9"/>
        <v>yellow/brown</v>
      </c>
    </row>
    <row r="124" spans="1:20" x14ac:dyDescent="0.25">
      <c r="A124" s="26" t="s">
        <v>761</v>
      </c>
      <c r="B124" s="26" t="s">
        <v>656</v>
      </c>
      <c r="C124" t="s">
        <v>622</v>
      </c>
      <c r="D124" s="1" t="str">
        <f>S124&amp;"["&amp;T124&amp;"]"</f>
        <v>Curto[yellow/brown]</v>
      </c>
      <c r="E124" s="1"/>
      <c r="G124" s="17" t="s">
        <v>641</v>
      </c>
      <c r="H124" s="22" t="s">
        <v>657</v>
      </c>
      <c r="I124" s="29"/>
      <c r="J124" s="32" t="s">
        <v>682</v>
      </c>
      <c r="K124" s="29">
        <v>4</v>
      </c>
      <c r="L124" s="29">
        <v>7</v>
      </c>
      <c r="M124" s="24" t="s">
        <v>715</v>
      </c>
      <c r="N124" s="29">
        <v>0</v>
      </c>
      <c r="O124" s="29">
        <f>K124-1</f>
        <v>3</v>
      </c>
      <c r="P124" s="29">
        <f>L124-1</f>
        <v>6</v>
      </c>
      <c r="S124" s="31" t="s">
        <v>672</v>
      </c>
      <c r="T124" t="str">
        <f t="shared" si="9"/>
        <v>yellow/brown</v>
      </c>
    </row>
    <row r="125" spans="1:20" x14ac:dyDescent="0.25">
      <c r="A125" s="26" t="s">
        <v>761</v>
      </c>
      <c r="B125" s="26" t="s">
        <v>558</v>
      </c>
      <c r="C125" t="s">
        <v>621</v>
      </c>
      <c r="D125" s="1" t="s">
        <v>760</v>
      </c>
      <c r="E125" s="31" t="str">
        <f>S125&amp;"["&amp;T125&amp;"]"</f>
        <v>Boyer[white/teal]</v>
      </c>
      <c r="F125" s="30" t="s">
        <v>678</v>
      </c>
      <c r="G125" s="29">
        <v>3</v>
      </c>
      <c r="H125" s="29">
        <v>2</v>
      </c>
      <c r="I125" s="29"/>
      <c r="J125" s="29"/>
      <c r="K125" s="29"/>
      <c r="L125" s="29"/>
      <c r="N125" s="29"/>
      <c r="S125" s="1" t="s">
        <v>673</v>
      </c>
      <c r="T125" s="26" t="s">
        <v>710</v>
      </c>
    </row>
    <row r="126" spans="1:20" x14ac:dyDescent="0.25">
      <c r="A126" s="26" t="s">
        <v>761</v>
      </c>
      <c r="B126" s="26" t="s">
        <v>565</v>
      </c>
      <c r="C126" t="s">
        <v>622</v>
      </c>
      <c r="D126" s="1" t="str">
        <f t="shared" ref="D126:D128" si="18">S126&amp;"["&amp;T126&amp;"]"</f>
        <v>1st Bgde[white/teal]</v>
      </c>
      <c r="E126" s="1"/>
      <c r="G126" s="17" t="s">
        <v>566</v>
      </c>
      <c r="I126" s="30" t="s">
        <v>871</v>
      </c>
      <c r="J126" s="29">
        <v>2</v>
      </c>
      <c r="K126" s="29">
        <v>5</v>
      </c>
      <c r="L126" s="29">
        <v>6</v>
      </c>
      <c r="M126" s="29">
        <v>5</v>
      </c>
      <c r="N126" s="29">
        <f t="shared" ref="N126:P127" si="19">J126-1</f>
        <v>1</v>
      </c>
      <c r="O126" s="29">
        <f t="shared" si="19"/>
        <v>4</v>
      </c>
      <c r="P126" s="29">
        <f t="shared" si="19"/>
        <v>5</v>
      </c>
      <c r="S126" s="31" t="s">
        <v>771</v>
      </c>
      <c r="T126" t="str">
        <f t="shared" si="9"/>
        <v>white/teal</v>
      </c>
    </row>
    <row r="127" spans="1:20" x14ac:dyDescent="0.25">
      <c r="A127" s="26" t="s">
        <v>761</v>
      </c>
      <c r="B127" s="26" t="s">
        <v>565</v>
      </c>
      <c r="C127" t="s">
        <v>622</v>
      </c>
      <c r="D127" s="1" t="str">
        <f t="shared" si="18"/>
        <v>Carrié[white/teal]</v>
      </c>
      <c r="E127" s="1"/>
      <c r="G127" s="17" t="s">
        <v>566</v>
      </c>
      <c r="I127" s="29"/>
      <c r="J127" s="29">
        <v>3</v>
      </c>
      <c r="K127" s="29">
        <v>5</v>
      </c>
      <c r="L127" s="29">
        <v>6</v>
      </c>
      <c r="M127" s="29">
        <v>5</v>
      </c>
      <c r="N127" s="29">
        <f t="shared" si="19"/>
        <v>2</v>
      </c>
      <c r="O127" s="29">
        <f t="shared" si="19"/>
        <v>4</v>
      </c>
      <c r="P127" s="29">
        <f t="shared" si="19"/>
        <v>5</v>
      </c>
      <c r="S127" s="1" t="s">
        <v>674</v>
      </c>
      <c r="T127" t="str">
        <f t="shared" si="9"/>
        <v>white/teal</v>
      </c>
    </row>
    <row r="128" spans="1:20" x14ac:dyDescent="0.25">
      <c r="A128" s="26" t="s">
        <v>761</v>
      </c>
      <c r="B128" s="26" t="s">
        <v>656</v>
      </c>
      <c r="C128" t="s">
        <v>622</v>
      </c>
      <c r="D128" s="1" t="str">
        <f t="shared" si="18"/>
        <v>Boyer[white/teal]</v>
      </c>
      <c r="E128" s="1"/>
      <c r="G128" s="17" t="s">
        <v>641</v>
      </c>
      <c r="H128" s="22" t="s">
        <v>657</v>
      </c>
      <c r="I128" s="29"/>
      <c r="J128" s="32" t="s">
        <v>682</v>
      </c>
      <c r="K128" s="29">
        <v>4</v>
      </c>
      <c r="L128" s="29">
        <v>7</v>
      </c>
      <c r="M128" s="24" t="s">
        <v>715</v>
      </c>
      <c r="N128" s="29">
        <v>0</v>
      </c>
      <c r="O128" s="29">
        <f t="shared" ref="O128:P132" si="20">K128-1</f>
        <v>3</v>
      </c>
      <c r="P128" s="29">
        <f t="shared" si="20"/>
        <v>6</v>
      </c>
      <c r="S128" s="31" t="s">
        <v>673</v>
      </c>
      <c r="T128" t="str">
        <f t="shared" si="9"/>
        <v>white/teal</v>
      </c>
    </row>
    <row r="129" spans="1:20" x14ac:dyDescent="0.25">
      <c r="A129" s="26" t="s">
        <v>761</v>
      </c>
      <c r="B129" s="26" t="s">
        <v>638</v>
      </c>
      <c r="C129" t="s">
        <v>622</v>
      </c>
      <c r="D129" s="1" t="str">
        <f>R129&amp;"/"&amp;S129&amp;"["&amp;T129&amp;"]"</f>
        <v>I/Art.Res[white/black]</v>
      </c>
      <c r="E129" s="1"/>
      <c r="G129" s="17" t="s">
        <v>641</v>
      </c>
      <c r="I129" s="29"/>
      <c r="J129" s="32" t="s">
        <v>681</v>
      </c>
      <c r="K129" s="29">
        <v>5</v>
      </c>
      <c r="L129" s="29">
        <v>6</v>
      </c>
      <c r="M129" s="24" t="s">
        <v>570</v>
      </c>
      <c r="N129" s="29">
        <v>0</v>
      </c>
      <c r="O129" s="29">
        <f t="shared" si="20"/>
        <v>4</v>
      </c>
      <c r="P129" s="29">
        <f t="shared" si="20"/>
        <v>5</v>
      </c>
      <c r="R129" t="s">
        <v>773</v>
      </c>
      <c r="S129" s="31" t="s">
        <v>884</v>
      </c>
      <c r="T129" t="s">
        <v>706</v>
      </c>
    </row>
    <row r="130" spans="1:20" x14ac:dyDescent="0.25">
      <c r="A130" s="26" t="s">
        <v>761</v>
      </c>
      <c r="B130" s="26" t="s">
        <v>638</v>
      </c>
      <c r="C130" t="s">
        <v>622</v>
      </c>
      <c r="D130" s="1" t="str">
        <f>R130&amp;"/"&amp;S130&amp;"["&amp;T130&amp;"]"</f>
        <v>II/Art.Res[white/black]</v>
      </c>
      <c r="E130" s="1"/>
      <c r="G130" s="17" t="s">
        <v>641</v>
      </c>
      <c r="I130" s="29"/>
      <c r="J130" s="32" t="s">
        <v>681</v>
      </c>
      <c r="K130" s="29">
        <v>5</v>
      </c>
      <c r="L130" s="29">
        <v>6</v>
      </c>
      <c r="M130" s="24" t="s">
        <v>570</v>
      </c>
      <c r="N130" s="29">
        <v>0</v>
      </c>
      <c r="O130" s="29">
        <f t="shared" si="20"/>
        <v>4</v>
      </c>
      <c r="P130" s="29">
        <f t="shared" si="20"/>
        <v>5</v>
      </c>
      <c r="R130" t="s">
        <v>915</v>
      </c>
      <c r="S130" s="31" t="s">
        <v>884</v>
      </c>
      <c r="T130" t="str">
        <f t="shared" si="9"/>
        <v>white/black</v>
      </c>
    </row>
    <row r="131" spans="1:20" x14ac:dyDescent="0.25">
      <c r="A131" s="26" t="s">
        <v>761</v>
      </c>
      <c r="B131" s="26" t="s">
        <v>638</v>
      </c>
      <c r="C131" t="s">
        <v>622</v>
      </c>
      <c r="D131" s="1" t="str">
        <f>R131&amp;"/"&amp;S131&amp;"["&amp;T131&amp;"]"</f>
        <v>III/Art.Res[white/black]</v>
      </c>
      <c r="E131" s="1"/>
      <c r="G131" s="17" t="s">
        <v>641</v>
      </c>
      <c r="I131" s="29"/>
      <c r="J131" s="32" t="s">
        <v>681</v>
      </c>
      <c r="K131" s="29">
        <v>5</v>
      </c>
      <c r="L131" s="29">
        <v>6</v>
      </c>
      <c r="M131" s="24" t="s">
        <v>570</v>
      </c>
      <c r="N131" s="29">
        <v>0</v>
      </c>
      <c r="O131" s="29">
        <f t="shared" ref="O131" si="21">K131-1</f>
        <v>4</v>
      </c>
      <c r="P131" s="29">
        <f t="shared" ref="P131" si="22">L131-1</f>
        <v>5</v>
      </c>
      <c r="R131" t="s">
        <v>916</v>
      </c>
      <c r="S131" s="31" t="s">
        <v>884</v>
      </c>
      <c r="T131" t="str">
        <f>T129</f>
        <v>white/black</v>
      </c>
    </row>
    <row r="132" spans="1:20" x14ac:dyDescent="0.25">
      <c r="A132" s="26" t="s">
        <v>761</v>
      </c>
      <c r="B132" s="26" t="s">
        <v>638</v>
      </c>
      <c r="C132" t="s">
        <v>622</v>
      </c>
      <c r="D132" s="1" t="str">
        <f>R132&amp;"/"&amp;S132&amp;"["&amp;T132&amp;"]"</f>
        <v>IV/Art.Res[white/black]</v>
      </c>
      <c r="E132" s="1"/>
      <c r="G132" s="17" t="s">
        <v>641</v>
      </c>
      <c r="I132" s="29"/>
      <c r="J132" s="32" t="s">
        <v>681</v>
      </c>
      <c r="K132" s="29">
        <v>5</v>
      </c>
      <c r="L132" s="29">
        <v>6</v>
      </c>
      <c r="M132" s="24" t="s">
        <v>570</v>
      </c>
      <c r="N132" s="29">
        <v>0</v>
      </c>
      <c r="O132" s="29">
        <f t="shared" si="20"/>
        <v>4</v>
      </c>
      <c r="P132" s="29">
        <f t="shared" si="20"/>
        <v>5</v>
      </c>
      <c r="R132" t="s">
        <v>917</v>
      </c>
      <c r="S132" s="31" t="s">
        <v>884</v>
      </c>
      <c r="T132" t="str">
        <f>T130</f>
        <v>white/black</v>
      </c>
    </row>
    <row r="133" spans="1:20" x14ac:dyDescent="0.25">
      <c r="I133" s="29"/>
    </row>
    <row r="134" spans="1:20" x14ac:dyDescent="0.25">
      <c r="A134" s="26" t="s">
        <v>761</v>
      </c>
      <c r="B134" s="26" t="s">
        <v>774</v>
      </c>
      <c r="C134" s="26" t="s">
        <v>776</v>
      </c>
      <c r="D134" s="31" t="s">
        <v>850</v>
      </c>
      <c r="E134" s="26" t="s">
        <v>693</v>
      </c>
      <c r="I134" s="29"/>
      <c r="J134" s="29"/>
      <c r="K134" s="29"/>
      <c r="L134" s="29"/>
      <c r="N134" s="29"/>
    </row>
    <row r="135" spans="1:20" x14ac:dyDescent="0.25">
      <c r="A135" s="26" t="s">
        <v>761</v>
      </c>
      <c r="B135" s="26" t="s">
        <v>774</v>
      </c>
      <c r="C135" s="26" t="s">
        <v>776</v>
      </c>
      <c r="D135" s="31" t="s">
        <v>848</v>
      </c>
      <c r="E135" s="26" t="s">
        <v>693</v>
      </c>
      <c r="I135" s="29"/>
      <c r="J135" s="29"/>
      <c r="K135" s="29"/>
      <c r="L135" s="29"/>
      <c r="N135" s="29"/>
    </row>
    <row r="136" spans="1:20" x14ac:dyDescent="0.25">
      <c r="A136" s="26" t="s">
        <v>761</v>
      </c>
      <c r="B136" s="26" t="s">
        <v>774</v>
      </c>
      <c r="C136" s="26" t="s">
        <v>776</v>
      </c>
      <c r="D136" s="31" t="s">
        <v>847</v>
      </c>
      <c r="E136" s="26" t="s">
        <v>693</v>
      </c>
      <c r="I136" s="29"/>
      <c r="J136" s="29"/>
      <c r="K136" s="29"/>
      <c r="L136" s="29"/>
      <c r="N136" s="29"/>
    </row>
    <row r="137" spans="1:20" x14ac:dyDescent="0.25">
      <c r="A137" s="26" t="s">
        <v>761</v>
      </c>
      <c r="B137" s="26" t="s">
        <v>784</v>
      </c>
      <c r="C137" s="26" t="s">
        <v>778</v>
      </c>
      <c r="D137" s="1" t="str">
        <f>"Attached: "&amp;G137&amp;"["&amp;I137&amp;"/"&amp;J137&amp;"]"</f>
        <v>Attached: I/ArtRes[darkblue/white]</v>
      </c>
      <c r="G137" s="31" t="s">
        <v>767</v>
      </c>
      <c r="I137" s="30" t="s">
        <v>758</v>
      </c>
      <c r="J137" s="30" t="s">
        <v>545</v>
      </c>
      <c r="K137" s="29"/>
      <c r="L137" s="29"/>
      <c r="N137" s="29"/>
    </row>
    <row r="138" spans="1:20" x14ac:dyDescent="0.25">
      <c r="A138" s="26" t="s">
        <v>761</v>
      </c>
      <c r="B138" s="26" t="s">
        <v>784</v>
      </c>
      <c r="C138" s="26" t="s">
        <v>778</v>
      </c>
      <c r="D138" s="1" t="str">
        <f>"Attached: "&amp;G138&amp;"["&amp;I138&amp;"/"&amp;J138&amp;"]"</f>
        <v>Attached: II/ArtRes[darkblue/white]</v>
      </c>
      <c r="G138" s="31" t="s">
        <v>768</v>
      </c>
      <c r="I138" s="30" t="s">
        <v>758</v>
      </c>
      <c r="J138" s="30" t="s">
        <v>545</v>
      </c>
      <c r="K138" s="29"/>
      <c r="L138" s="29"/>
      <c r="N138" s="29"/>
    </row>
    <row r="139" spans="1:20" x14ac:dyDescent="0.25">
      <c r="A139" s="26" t="s">
        <v>761</v>
      </c>
      <c r="B139" s="26" t="s">
        <v>784</v>
      </c>
      <c r="C139" s="26" t="s">
        <v>778</v>
      </c>
      <c r="D139" s="1" t="str">
        <f>"Attached: "&amp;G139&amp;"["&amp;I139&amp;"/"&amp;J139&amp;"]"</f>
        <v>Attached: III/ArtRes[darkblue/white]</v>
      </c>
      <c r="G139" s="31" t="s">
        <v>769</v>
      </c>
      <c r="I139" s="30" t="s">
        <v>758</v>
      </c>
      <c r="J139" s="30" t="s">
        <v>545</v>
      </c>
      <c r="K139" s="29"/>
      <c r="L139" s="29"/>
      <c r="N139" s="29"/>
    </row>
    <row r="140" spans="1:20" x14ac:dyDescent="0.25">
      <c r="A140" s="26" t="s">
        <v>761</v>
      </c>
      <c r="B140" s="26" t="s">
        <v>784</v>
      </c>
      <c r="C140" s="26" t="s">
        <v>778</v>
      </c>
      <c r="D140" s="1" t="str">
        <f>"Attached: "&amp;G140&amp;"["&amp;I140&amp;"/"&amp;J140&amp;"]"</f>
        <v>Attached: IV/Art.Res[darkblue/white]</v>
      </c>
      <c r="G140" s="31" t="s">
        <v>867</v>
      </c>
      <c r="I140" s="30" t="s">
        <v>758</v>
      </c>
      <c r="J140" s="30" t="s">
        <v>545</v>
      </c>
      <c r="K140" s="29"/>
      <c r="L140" s="29"/>
      <c r="N140" s="29"/>
    </row>
    <row r="141" spans="1:20" x14ac:dyDescent="0.25">
      <c r="A141" s="26" t="s">
        <v>761</v>
      </c>
      <c r="B141" s="26" t="s">
        <v>784</v>
      </c>
      <c r="C141" s="26" t="s">
        <v>778</v>
      </c>
      <c r="D141" s="31" t="s">
        <v>849</v>
      </c>
      <c r="I141" s="29"/>
      <c r="J141" s="29"/>
      <c r="K141" s="29"/>
      <c r="L141" s="29"/>
      <c r="N141" s="29"/>
    </row>
    <row r="143" spans="1:20" x14ac:dyDescent="0.25">
      <c r="A143" s="26" t="s">
        <v>761</v>
      </c>
      <c r="B143" s="26" t="s">
        <v>782</v>
      </c>
      <c r="C143" s="26" t="s">
        <v>778</v>
      </c>
      <c r="D143" s="1" t="str">
        <f>G143&amp;"["&amp;I143&amp;"/"&amp;J143&amp;"]"</f>
        <v>[black/lightorange]</v>
      </c>
      <c r="E143">
        <v>1</v>
      </c>
      <c r="G143" s="31"/>
      <c r="I143" s="35" t="s">
        <v>334</v>
      </c>
      <c r="J143" s="35" t="s">
        <v>864</v>
      </c>
    </row>
    <row r="144" spans="1:20" x14ac:dyDescent="0.25">
      <c r="A144" s="26" t="s">
        <v>761</v>
      </c>
      <c r="B144" s="26" t="s">
        <v>783</v>
      </c>
      <c r="C144" s="26" t="s">
        <v>778</v>
      </c>
      <c r="D144" s="1" t="str">
        <f>G144&amp;"["&amp;I144&amp;"/"&amp;J144&amp;"]"</f>
        <v>Rout[black/lightorange]</v>
      </c>
      <c r="G144" s="31" t="s">
        <v>855</v>
      </c>
      <c r="I144" s="35" t="s">
        <v>334</v>
      </c>
      <c r="J144" s="35" t="s">
        <v>864</v>
      </c>
    </row>
    <row r="145" spans="1:19" x14ac:dyDescent="0.25">
      <c r="A145" s="26" t="s">
        <v>761</v>
      </c>
      <c r="B145" s="26" t="s">
        <v>783</v>
      </c>
      <c r="C145" s="26" t="s">
        <v>778</v>
      </c>
      <c r="D145" s="1" t="str">
        <f t="shared" ref="D145:D152" si="23">G145&amp;"["&amp;I145&amp;"/"&amp;J145&amp;"]"</f>
        <v>Charge[black/lightorange]</v>
      </c>
      <c r="G145" s="31" t="s">
        <v>856</v>
      </c>
      <c r="I145" s="35" t="s">
        <v>334</v>
      </c>
      <c r="J145" s="35" t="s">
        <v>864</v>
      </c>
    </row>
    <row r="146" spans="1:19" x14ac:dyDescent="0.25">
      <c r="A146" s="26" t="s">
        <v>761</v>
      </c>
      <c r="B146" s="26" t="s">
        <v>783</v>
      </c>
      <c r="C146" s="26" t="s">
        <v>778</v>
      </c>
      <c r="D146" s="1" t="str">
        <f t="shared" si="23"/>
        <v>Orders[darkgreen/lightorange]</v>
      </c>
      <c r="G146" s="31" t="s">
        <v>857</v>
      </c>
      <c r="I146" s="30" t="s">
        <v>865</v>
      </c>
      <c r="J146" s="35" t="s">
        <v>864</v>
      </c>
    </row>
    <row r="147" spans="1:19" x14ac:dyDescent="0.25">
      <c r="A147" s="26" t="s">
        <v>761</v>
      </c>
      <c r="B147" s="26" t="s">
        <v>783</v>
      </c>
      <c r="C147" s="26" t="s">
        <v>778</v>
      </c>
      <c r="D147" s="1" t="str">
        <f t="shared" si="23"/>
        <v>No orders[darkred/lightorange]</v>
      </c>
      <c r="G147" s="31" t="s">
        <v>858</v>
      </c>
      <c r="I147" s="30" t="s">
        <v>851</v>
      </c>
      <c r="J147" s="35" t="s">
        <v>864</v>
      </c>
    </row>
    <row r="148" spans="1:19" x14ac:dyDescent="0.25">
      <c r="A148" s="26" t="s">
        <v>761</v>
      </c>
      <c r="B148" s="26" t="s">
        <v>783</v>
      </c>
      <c r="C148" s="26" t="s">
        <v>778</v>
      </c>
      <c r="D148" s="1" t="str">
        <f t="shared" si="23"/>
        <v>Square[black/lightorange]</v>
      </c>
      <c r="G148" s="31" t="s">
        <v>859</v>
      </c>
      <c r="I148" s="35" t="s">
        <v>334</v>
      </c>
      <c r="J148" s="35" t="s">
        <v>864</v>
      </c>
    </row>
    <row r="149" spans="1:19" x14ac:dyDescent="0.25">
      <c r="A149" s="26" t="s">
        <v>761</v>
      </c>
      <c r="B149" s="26" t="s">
        <v>783</v>
      </c>
      <c r="C149" s="26" t="s">
        <v>778</v>
      </c>
      <c r="D149" s="1" t="str">
        <f t="shared" si="23"/>
        <v>Reinf[black/lightorange]</v>
      </c>
      <c r="G149" s="31" t="s">
        <v>860</v>
      </c>
      <c r="I149" s="35" t="s">
        <v>334</v>
      </c>
      <c r="J149" s="35" t="s">
        <v>864</v>
      </c>
    </row>
    <row r="150" spans="1:19" x14ac:dyDescent="0.25">
      <c r="A150" s="26" t="s">
        <v>761</v>
      </c>
      <c r="B150" s="26" t="s">
        <v>783</v>
      </c>
      <c r="C150" s="26" t="s">
        <v>778</v>
      </c>
      <c r="D150" s="1" t="str">
        <f t="shared" si="23"/>
        <v>Fired[black/lightorange]</v>
      </c>
      <c r="G150" s="31" t="s">
        <v>862</v>
      </c>
      <c r="I150" s="35" t="s">
        <v>334</v>
      </c>
      <c r="J150" s="35" t="s">
        <v>864</v>
      </c>
    </row>
    <row r="151" spans="1:19" x14ac:dyDescent="0.25">
      <c r="A151" s="26" t="s">
        <v>761</v>
      </c>
      <c r="B151" s="26" t="s">
        <v>783</v>
      </c>
      <c r="C151" s="26" t="s">
        <v>778</v>
      </c>
      <c r="D151" s="1" t="str">
        <f t="shared" si="23"/>
        <v>Shock[black/lightorange]</v>
      </c>
      <c r="G151" s="31" t="s">
        <v>861</v>
      </c>
      <c r="I151" s="35" t="s">
        <v>334</v>
      </c>
      <c r="J151" s="35" t="s">
        <v>864</v>
      </c>
    </row>
    <row r="152" spans="1:19" x14ac:dyDescent="0.25">
      <c r="A152" s="26" t="s">
        <v>761</v>
      </c>
      <c r="B152" s="26" t="s">
        <v>783</v>
      </c>
      <c r="C152" s="26" t="s">
        <v>778</v>
      </c>
      <c r="D152" s="1" t="str">
        <f t="shared" si="23"/>
        <v>Shock + test[black/lightorange]</v>
      </c>
      <c r="G152" s="31" t="s">
        <v>863</v>
      </c>
      <c r="I152" s="35" t="s">
        <v>334</v>
      </c>
      <c r="J152" s="35" t="s">
        <v>864</v>
      </c>
    </row>
    <row r="153" spans="1:19" x14ac:dyDescent="0.25">
      <c r="A153" s="26" t="s">
        <v>761</v>
      </c>
      <c r="B153" s="26" t="s">
        <v>866</v>
      </c>
      <c r="C153" s="26" t="s">
        <v>778</v>
      </c>
      <c r="D153" s="1">
        <v>3</v>
      </c>
      <c r="G153" s="31"/>
      <c r="I153" s="35" t="s">
        <v>334</v>
      </c>
      <c r="J153" s="35" t="s">
        <v>864</v>
      </c>
    </row>
    <row r="155" spans="1:19" x14ac:dyDescent="0.25">
      <c r="A155" s="26"/>
      <c r="B155" s="26"/>
      <c r="F155" s="29"/>
      <c r="G155" s="17"/>
      <c r="I155" s="29"/>
      <c r="J155" s="29"/>
      <c r="K155" s="29"/>
      <c r="L155" s="29"/>
      <c r="M155" s="29"/>
      <c r="N155" s="29"/>
      <c r="O155" s="29"/>
      <c r="P155" s="29"/>
      <c r="S155" s="1"/>
    </row>
    <row r="156" spans="1:19" x14ac:dyDescent="0.25">
      <c r="A156" s="26"/>
      <c r="B156" s="26" t="s">
        <v>774</v>
      </c>
      <c r="C156" t="s">
        <v>777</v>
      </c>
      <c r="D156" s="1" t="s">
        <v>781</v>
      </c>
      <c r="E156" t="s">
        <v>693</v>
      </c>
      <c r="F156" s="29">
        <v>1</v>
      </c>
      <c r="G156" s="17"/>
      <c r="I156" s="29"/>
      <c r="J156" s="29"/>
      <c r="K156" s="29"/>
      <c r="L156" s="29"/>
      <c r="M156" s="29"/>
      <c r="N156" s="29"/>
      <c r="O156" s="29"/>
      <c r="P156" s="29"/>
      <c r="S156" s="1"/>
    </row>
    <row r="157" spans="1:19" x14ac:dyDescent="0.25">
      <c r="A157" s="26"/>
      <c r="B157" s="26" t="s">
        <v>782</v>
      </c>
      <c r="C157" t="s">
        <v>779</v>
      </c>
      <c r="D157" s="1" t="s">
        <v>789</v>
      </c>
      <c r="F157" s="29"/>
      <c r="G157" s="17"/>
      <c r="I157" s="29"/>
      <c r="J157" s="29"/>
      <c r="K157" s="29"/>
      <c r="L157" s="29"/>
      <c r="M157" s="29"/>
      <c r="N157" s="29"/>
      <c r="O157" s="29"/>
      <c r="P157" s="29"/>
      <c r="S157" s="1"/>
    </row>
    <row r="158" spans="1:19" x14ac:dyDescent="0.25">
      <c r="A158" s="26"/>
      <c r="B158" s="26" t="s">
        <v>783</v>
      </c>
      <c r="C158" t="s">
        <v>779</v>
      </c>
      <c r="D158" s="1" t="s">
        <v>786</v>
      </c>
      <c r="F158" s="29"/>
      <c r="G158" s="17"/>
      <c r="I158" s="29"/>
      <c r="J158" s="29"/>
      <c r="K158" s="29"/>
      <c r="L158" s="29"/>
      <c r="M158" s="29"/>
      <c r="N158" s="29"/>
      <c r="O158" s="29"/>
      <c r="P158" s="29"/>
      <c r="S158" s="1"/>
    </row>
    <row r="159" spans="1:19" x14ac:dyDescent="0.25">
      <c r="A159" s="26"/>
      <c r="B159" s="26" t="s">
        <v>784</v>
      </c>
      <c r="C159" t="s">
        <v>778</v>
      </c>
      <c r="D159" s="1" t="s">
        <v>790</v>
      </c>
      <c r="F159" s="29"/>
      <c r="G159" s="17"/>
      <c r="I159" s="29"/>
      <c r="J159" s="29"/>
      <c r="K159" s="29"/>
      <c r="L159" s="29"/>
      <c r="M159" s="29"/>
      <c r="N159" s="29"/>
      <c r="O159" s="29"/>
      <c r="P159" s="29"/>
      <c r="S159" s="1"/>
    </row>
    <row r="160" spans="1:19" x14ac:dyDescent="0.25">
      <c r="A160" s="26"/>
      <c r="B160" s="26" t="s">
        <v>785</v>
      </c>
      <c r="C160" t="s">
        <v>779</v>
      </c>
      <c r="D160" s="1" t="s">
        <v>787</v>
      </c>
      <c r="F160" s="29"/>
      <c r="G160" s="17"/>
      <c r="I160" s="29"/>
      <c r="J160" s="29"/>
      <c r="K160" s="29"/>
      <c r="L160" s="29"/>
      <c r="M160" s="29"/>
      <c r="N160" s="29"/>
      <c r="O160" s="29"/>
      <c r="P160" s="29"/>
      <c r="S160" s="1"/>
    </row>
    <row r="161" spans="1:14" ht="39.6" x14ac:dyDescent="0.25">
      <c r="A161" s="26"/>
      <c r="B161" s="26" t="s">
        <v>783</v>
      </c>
      <c r="C161" t="s">
        <v>779</v>
      </c>
      <c r="D161" s="34" t="s">
        <v>814</v>
      </c>
      <c r="E161" s="1"/>
      <c r="F161" s="29"/>
      <c r="I161" s="29"/>
      <c r="J161" s="29"/>
      <c r="K161" s="29"/>
      <c r="L161" s="29"/>
      <c r="N161" s="29"/>
    </row>
    <row r="162" spans="1:14" x14ac:dyDescent="0.25">
      <c r="A162" s="26"/>
      <c r="B162" s="26" t="s">
        <v>784</v>
      </c>
      <c r="C162" t="s">
        <v>779</v>
      </c>
      <c r="D162" s="1" t="s">
        <v>804</v>
      </c>
      <c r="E162" s="1"/>
      <c r="F162" s="29"/>
      <c r="J162" s="29"/>
      <c r="K162" s="29"/>
      <c r="L162" s="29"/>
      <c r="N162" s="29"/>
    </row>
    <row r="163" spans="1:14" x14ac:dyDescent="0.25">
      <c r="A163" s="26"/>
      <c r="B163" s="26" t="s">
        <v>784</v>
      </c>
      <c r="C163" t="s">
        <v>779</v>
      </c>
      <c r="D163" s="1" t="s">
        <v>803</v>
      </c>
      <c r="E163" s="1"/>
      <c r="F163" s="29"/>
      <c r="J163" s="29"/>
      <c r="K163" s="29"/>
      <c r="L163" s="29"/>
      <c r="N163" s="29"/>
    </row>
    <row r="164" spans="1:14" x14ac:dyDescent="0.25">
      <c r="A164" s="26"/>
      <c r="B164" s="26" t="s">
        <v>784</v>
      </c>
      <c r="C164" t="s">
        <v>779</v>
      </c>
      <c r="D164" s="1" t="s">
        <v>805</v>
      </c>
      <c r="E164" s="1"/>
      <c r="F164" s="29"/>
      <c r="J164" s="29"/>
      <c r="K164" s="29"/>
      <c r="L164" s="29"/>
      <c r="N164" s="29"/>
    </row>
    <row r="165" spans="1:14" x14ac:dyDescent="0.25">
      <c r="A165" s="26"/>
      <c r="B165" s="26" t="s">
        <v>784</v>
      </c>
      <c r="C165" t="s">
        <v>779</v>
      </c>
      <c r="D165" s="1" t="s">
        <v>806</v>
      </c>
      <c r="E165" s="1"/>
      <c r="F165" s="29"/>
      <c r="J165" s="29"/>
      <c r="K165" s="29"/>
      <c r="L165" s="29"/>
      <c r="N165" s="29"/>
    </row>
    <row r="166" spans="1:14" x14ac:dyDescent="0.25">
      <c r="A166" s="26"/>
      <c r="B166" s="26" t="s">
        <v>784</v>
      </c>
      <c r="C166" t="s">
        <v>779</v>
      </c>
      <c r="D166" s="1" t="s">
        <v>807</v>
      </c>
      <c r="E166" s="1"/>
      <c r="F166" s="29"/>
      <c r="J166" s="29"/>
      <c r="K166" s="29"/>
      <c r="L166" s="29"/>
      <c r="N166" s="29"/>
    </row>
    <row r="167" spans="1:14" x14ac:dyDescent="0.25">
      <c r="A167" s="26"/>
      <c r="B167" s="26" t="s">
        <v>784</v>
      </c>
      <c r="C167" t="s">
        <v>779</v>
      </c>
      <c r="D167" s="1" t="s">
        <v>808</v>
      </c>
      <c r="E167" s="1"/>
      <c r="F167" s="29"/>
      <c r="J167" s="29"/>
      <c r="K167" s="29"/>
      <c r="L167" s="29"/>
      <c r="N167" s="29"/>
    </row>
    <row r="168" spans="1:14" x14ac:dyDescent="0.25">
      <c r="A168" s="26"/>
      <c r="B168" s="26" t="s">
        <v>784</v>
      </c>
      <c r="C168" t="s">
        <v>779</v>
      </c>
      <c r="D168" s="1" t="s">
        <v>809</v>
      </c>
      <c r="E168" s="1"/>
      <c r="F168" s="29"/>
      <c r="J168" s="29"/>
      <c r="K168" s="29"/>
      <c r="L168" s="29"/>
      <c r="N168" s="29"/>
    </row>
    <row r="169" spans="1:14" x14ac:dyDescent="0.25">
      <c r="A169" s="26"/>
      <c r="B169" s="26" t="s">
        <v>784</v>
      </c>
      <c r="C169" t="s">
        <v>779</v>
      </c>
      <c r="D169" s="1" t="s">
        <v>810</v>
      </c>
      <c r="E169" s="1"/>
      <c r="F169" s="29"/>
      <c r="J169" s="29"/>
      <c r="K169" s="29"/>
      <c r="L169" s="29"/>
      <c r="N169" s="29"/>
    </row>
    <row r="170" spans="1:14" x14ac:dyDescent="0.25">
      <c r="A170" s="26"/>
      <c r="B170" s="26" t="s">
        <v>784</v>
      </c>
      <c r="C170" t="s">
        <v>779</v>
      </c>
      <c r="D170" s="1" t="s">
        <v>811</v>
      </c>
      <c r="E170" s="1"/>
      <c r="F170" s="29"/>
      <c r="I170" s="29"/>
      <c r="J170" s="29"/>
      <c r="K170" s="29"/>
      <c r="L170" s="29"/>
      <c r="N170" s="29"/>
    </row>
    <row r="171" spans="1:14" x14ac:dyDescent="0.25">
      <c r="A171" s="26"/>
      <c r="B171" s="26" t="s">
        <v>784</v>
      </c>
      <c r="C171" t="s">
        <v>779</v>
      </c>
      <c r="D171" s="1" t="s">
        <v>812</v>
      </c>
      <c r="E171" s="1"/>
      <c r="F171" s="29"/>
      <c r="I171" s="29"/>
      <c r="J171" s="29"/>
      <c r="K171" s="29"/>
      <c r="L171" s="29"/>
      <c r="N171" s="29"/>
    </row>
    <row r="172" spans="1:14" x14ac:dyDescent="0.25">
      <c r="A172" s="26"/>
      <c r="B172" s="26" t="s">
        <v>784</v>
      </c>
      <c r="C172" t="s">
        <v>779</v>
      </c>
      <c r="D172" s="1" t="s">
        <v>813</v>
      </c>
      <c r="E172" s="1"/>
      <c r="F172" s="29"/>
      <c r="I172" s="29"/>
      <c r="J172" s="29"/>
      <c r="K172" s="29"/>
      <c r="L172" s="29"/>
      <c r="N172" s="29"/>
    </row>
    <row r="173" spans="1:14" x14ac:dyDescent="0.25">
      <c r="A173" s="26"/>
      <c r="B173" s="26" t="s">
        <v>784</v>
      </c>
      <c r="C173" t="s">
        <v>779</v>
      </c>
      <c r="D173" s="1" t="str">
        <f>F173&amp;"[blue/"&amp;F173&amp;"]"</f>
        <v>rgb_k[blue/rgb_k]</v>
      </c>
      <c r="F173" t="s">
        <v>816</v>
      </c>
      <c r="I173" s="29"/>
      <c r="J173" s="29"/>
      <c r="K173" s="29"/>
      <c r="L173" s="29"/>
      <c r="N173" s="29"/>
    </row>
    <row r="174" spans="1:14" x14ac:dyDescent="0.25">
      <c r="A174" s="26"/>
      <c r="B174" s="26" t="s">
        <v>784</v>
      </c>
      <c r="C174" t="s">
        <v>779</v>
      </c>
      <c r="D174" s="1" t="str">
        <f t="shared" ref="D174:D185" si="24">F174&amp;"[blue/"&amp;F174&amp;"]"</f>
        <v>rgb_1[blue/rgb_1]</v>
      </c>
      <c r="F174" t="s">
        <v>817</v>
      </c>
      <c r="I174" s="29"/>
      <c r="J174" s="29"/>
      <c r="K174" s="29"/>
      <c r="L174" s="29"/>
      <c r="N174" s="29"/>
    </row>
    <row r="175" spans="1:14" x14ac:dyDescent="0.25">
      <c r="A175" s="26"/>
      <c r="B175" s="26" t="s">
        <v>784</v>
      </c>
      <c r="C175" t="s">
        <v>779</v>
      </c>
      <c r="D175" s="1" t="str">
        <f t="shared" si="24"/>
        <v>rgb_2[blue/rgb_2]</v>
      </c>
      <c r="F175" t="s">
        <v>818</v>
      </c>
      <c r="I175" s="29"/>
      <c r="J175" s="29"/>
      <c r="K175" s="29"/>
      <c r="L175" s="29"/>
      <c r="N175" s="29"/>
    </row>
    <row r="176" spans="1:14" x14ac:dyDescent="0.25">
      <c r="A176" s="26"/>
      <c r="B176" s="26" t="s">
        <v>784</v>
      </c>
      <c r="C176" t="s">
        <v>779</v>
      </c>
      <c r="D176" s="1" t="str">
        <f t="shared" si="24"/>
        <v>rgb_3[blue/rgb_3]</v>
      </c>
      <c r="F176" t="s">
        <v>819</v>
      </c>
      <c r="I176" s="29"/>
      <c r="J176" s="29"/>
      <c r="K176" s="29"/>
      <c r="L176" s="29"/>
      <c r="N176" s="29"/>
    </row>
    <row r="177" spans="1:14" x14ac:dyDescent="0.25">
      <c r="A177" s="26"/>
      <c r="B177" s="26" t="s">
        <v>784</v>
      </c>
      <c r="C177" t="s">
        <v>779</v>
      </c>
      <c r="D177" s="1" t="str">
        <f t="shared" si="24"/>
        <v>rgb_4[blue/rgb_4]</v>
      </c>
      <c r="F177" t="s">
        <v>820</v>
      </c>
      <c r="I177" s="29"/>
      <c r="J177" s="29"/>
      <c r="K177" s="29"/>
      <c r="L177" s="29"/>
      <c r="N177" s="29"/>
    </row>
    <row r="178" spans="1:14" x14ac:dyDescent="0.25">
      <c r="A178" s="26"/>
      <c r="B178" s="26" t="s">
        <v>784</v>
      </c>
      <c r="C178" t="s">
        <v>779</v>
      </c>
      <c r="D178" s="1" t="str">
        <f t="shared" si="24"/>
        <v>rgb_5[blue/rgb_5]</v>
      </c>
      <c r="F178" t="s">
        <v>821</v>
      </c>
      <c r="I178" s="29"/>
      <c r="J178" s="29"/>
      <c r="K178" s="29"/>
      <c r="L178" s="29"/>
      <c r="N178" s="29"/>
    </row>
    <row r="179" spans="1:14" x14ac:dyDescent="0.25">
      <c r="A179" s="26"/>
      <c r="B179" s="26" t="s">
        <v>784</v>
      </c>
      <c r="C179" t="s">
        <v>779</v>
      </c>
      <c r="D179" s="1" t="str">
        <f t="shared" si="24"/>
        <v>rgb_6[blue/rgb_6]</v>
      </c>
      <c r="F179" t="s">
        <v>822</v>
      </c>
      <c r="I179" s="29"/>
      <c r="J179" s="29"/>
      <c r="K179" s="29"/>
      <c r="L179" s="29"/>
      <c r="N179" s="29"/>
    </row>
    <row r="180" spans="1:14" x14ac:dyDescent="0.25">
      <c r="A180" s="26"/>
      <c r="B180" s="26" t="s">
        <v>784</v>
      </c>
      <c r="C180" t="s">
        <v>779</v>
      </c>
      <c r="D180" s="1" t="str">
        <f t="shared" si="24"/>
        <v>rgb_7[blue/rgb_7]</v>
      </c>
      <c r="F180" t="s">
        <v>823</v>
      </c>
      <c r="I180" s="29"/>
      <c r="J180" s="29"/>
      <c r="K180" s="29"/>
      <c r="L180" s="29"/>
      <c r="N180" s="29"/>
    </row>
    <row r="181" spans="1:14" x14ac:dyDescent="0.25">
      <c r="A181" s="26"/>
      <c r="B181" s="26" t="s">
        <v>784</v>
      </c>
      <c r="C181" t="s">
        <v>779</v>
      </c>
      <c r="D181" s="1" t="str">
        <f t="shared" si="24"/>
        <v>rgb_8[blue/rgb_8]</v>
      </c>
      <c r="F181" t="s">
        <v>824</v>
      </c>
      <c r="I181" s="29"/>
      <c r="J181" s="29"/>
      <c r="K181" s="29"/>
      <c r="L181" s="29"/>
      <c r="N181" s="29"/>
    </row>
    <row r="182" spans="1:14" x14ac:dyDescent="0.25">
      <c r="A182" s="26"/>
      <c r="B182" s="26" t="s">
        <v>784</v>
      </c>
      <c r="C182" t="s">
        <v>779</v>
      </c>
      <c r="D182" s="1" t="str">
        <f t="shared" si="24"/>
        <v>rgb_9[blue/rgb_9]</v>
      </c>
      <c r="F182" t="s">
        <v>825</v>
      </c>
      <c r="I182" s="29"/>
      <c r="J182" s="29"/>
      <c r="K182" s="29"/>
      <c r="L182" s="29"/>
      <c r="N182" s="29"/>
    </row>
    <row r="183" spans="1:14" x14ac:dyDescent="0.25">
      <c r="A183" s="26"/>
      <c r="B183" s="26" t="s">
        <v>784</v>
      </c>
      <c r="C183" t="s">
        <v>779</v>
      </c>
      <c r="D183" s="1" t="str">
        <f t="shared" si="24"/>
        <v>rgb_10[blue/rgb_10]</v>
      </c>
      <c r="F183" t="s">
        <v>826</v>
      </c>
      <c r="I183" s="29"/>
      <c r="J183" s="29"/>
      <c r="K183" s="29"/>
      <c r="L183" s="29"/>
      <c r="N183" s="29"/>
    </row>
    <row r="184" spans="1:14" x14ac:dyDescent="0.25">
      <c r="A184" s="26"/>
      <c r="B184" s="26" t="s">
        <v>784</v>
      </c>
      <c r="C184" t="s">
        <v>779</v>
      </c>
      <c r="D184" s="1" t="str">
        <f t="shared" si="24"/>
        <v>rgb_11[blue/rgb_11]</v>
      </c>
      <c r="F184" t="s">
        <v>827</v>
      </c>
      <c r="I184" s="29"/>
      <c r="J184" s="29"/>
      <c r="K184" s="29"/>
      <c r="L184" s="29"/>
      <c r="N184" s="29"/>
    </row>
    <row r="185" spans="1:14" x14ac:dyDescent="0.25">
      <c r="A185" s="26"/>
      <c r="B185" s="26" t="s">
        <v>784</v>
      </c>
      <c r="C185" t="s">
        <v>779</v>
      </c>
      <c r="D185" s="1" t="str">
        <f t="shared" si="24"/>
        <v>rgb_br_1[blue/rgb_br_1]</v>
      </c>
      <c r="F185" t="s">
        <v>831</v>
      </c>
      <c r="I185" s="29"/>
      <c r="J185" s="29"/>
      <c r="K185" s="29"/>
      <c r="L185" s="29"/>
      <c r="N185" s="29"/>
    </row>
    <row r="186" spans="1:14" x14ac:dyDescent="0.25">
      <c r="A186" s="26"/>
      <c r="B186" s="26" t="s">
        <v>784</v>
      </c>
      <c r="C186" t="s">
        <v>779</v>
      </c>
      <c r="D186" s="1" t="str">
        <f t="shared" ref="D186:D198" si="25">F186&amp;"[blue/"&amp;F186&amp;"]"</f>
        <v>rgb_br_2[blue/rgb_br_2]</v>
      </c>
      <c r="F186" t="s">
        <v>832</v>
      </c>
      <c r="I186" s="29"/>
      <c r="J186" s="29"/>
      <c r="K186" s="29"/>
      <c r="L186" s="29"/>
      <c r="N186" s="29"/>
    </row>
    <row r="187" spans="1:14" x14ac:dyDescent="0.25">
      <c r="A187" s="26"/>
      <c r="B187" s="26" t="s">
        <v>784</v>
      </c>
      <c r="C187" t="s">
        <v>779</v>
      </c>
      <c r="D187" s="1" t="str">
        <f t="shared" si="25"/>
        <v>rgb_br_3[blue/rgb_br_3]</v>
      </c>
      <c r="F187" t="s">
        <v>833</v>
      </c>
      <c r="I187" s="29"/>
      <c r="J187" s="29"/>
      <c r="K187" s="29"/>
      <c r="L187" s="29"/>
      <c r="N187" s="29"/>
    </row>
    <row r="188" spans="1:14" x14ac:dyDescent="0.25">
      <c r="A188" s="26"/>
      <c r="B188" s="26" t="s">
        <v>784</v>
      </c>
      <c r="C188" t="s">
        <v>779</v>
      </c>
      <c r="D188" s="1" t="str">
        <f t="shared" si="25"/>
        <v>br_1[blue/br_1]</v>
      </c>
      <c r="F188" t="s">
        <v>834</v>
      </c>
      <c r="I188" s="29"/>
      <c r="J188" s="29"/>
      <c r="K188" s="29"/>
      <c r="L188" s="29"/>
      <c r="N188" s="29"/>
    </row>
    <row r="189" spans="1:14" x14ac:dyDescent="0.25">
      <c r="A189" s="26"/>
      <c r="B189" s="26" t="s">
        <v>784</v>
      </c>
      <c r="C189" t="s">
        <v>779</v>
      </c>
      <c r="D189" s="1" t="str">
        <f t="shared" si="25"/>
        <v>br_2[blue/br_2]</v>
      </c>
      <c r="F189" t="s">
        <v>835</v>
      </c>
      <c r="I189" s="29"/>
      <c r="J189" s="29"/>
      <c r="K189" s="29"/>
      <c r="L189" s="29"/>
      <c r="N189" s="29"/>
    </row>
    <row r="190" spans="1:14" x14ac:dyDescent="0.25">
      <c r="A190" s="26"/>
      <c r="B190" s="26" t="s">
        <v>784</v>
      </c>
      <c r="C190" t="s">
        <v>779</v>
      </c>
      <c r="D190" s="1" t="str">
        <f t="shared" si="25"/>
        <v>br_3[blue/br_3]</v>
      </c>
      <c r="F190" t="s">
        <v>836</v>
      </c>
      <c r="I190" s="29"/>
      <c r="J190" s="29"/>
      <c r="K190" s="29"/>
      <c r="L190" s="29"/>
      <c r="N190" s="29"/>
    </row>
    <row r="191" spans="1:14" x14ac:dyDescent="0.25">
      <c r="A191" s="26"/>
      <c r="B191" s="26" t="s">
        <v>784</v>
      </c>
      <c r="C191" t="s">
        <v>779</v>
      </c>
      <c r="D191" s="1" t="str">
        <f t="shared" si="25"/>
        <v>br_4[blue/br_4]</v>
      </c>
      <c r="F191" t="s">
        <v>837</v>
      </c>
      <c r="I191" s="29"/>
      <c r="J191" s="29"/>
      <c r="K191" s="29"/>
      <c r="L191" s="29"/>
      <c r="N191" s="29"/>
    </row>
    <row r="192" spans="1:14" x14ac:dyDescent="0.25">
      <c r="A192" s="26"/>
      <c r="B192" s="26" t="s">
        <v>784</v>
      </c>
      <c r="C192" t="s">
        <v>779</v>
      </c>
      <c r="D192" s="1" t="str">
        <f t="shared" si="25"/>
        <v>br_5[blue/br_5]</v>
      </c>
      <c r="F192" t="s">
        <v>838</v>
      </c>
      <c r="I192" s="29"/>
      <c r="J192" s="29"/>
      <c r="K192" s="29"/>
      <c r="L192" s="29"/>
      <c r="N192" s="29"/>
    </row>
    <row r="193" spans="1:14" x14ac:dyDescent="0.25">
      <c r="A193" s="26"/>
      <c r="B193" s="26" t="s">
        <v>784</v>
      </c>
      <c r="C193" t="s">
        <v>779</v>
      </c>
      <c r="D193" s="1" t="str">
        <f t="shared" si="25"/>
        <v>br_6[blue/br_6]</v>
      </c>
      <c r="F193" t="s">
        <v>839</v>
      </c>
      <c r="I193" s="29"/>
      <c r="J193" s="29"/>
      <c r="K193" s="29"/>
      <c r="L193" s="29"/>
      <c r="N193" s="29"/>
    </row>
    <row r="194" spans="1:14" x14ac:dyDescent="0.25">
      <c r="A194" s="26"/>
      <c r="B194" s="26" t="s">
        <v>784</v>
      </c>
      <c r="C194" t="s">
        <v>779</v>
      </c>
      <c r="D194" s="1" t="str">
        <f t="shared" si="25"/>
        <v>br_7[blue/br_7]</v>
      </c>
      <c r="F194" t="s">
        <v>840</v>
      </c>
      <c r="I194" s="29"/>
      <c r="J194" s="29"/>
      <c r="K194" s="29"/>
      <c r="L194" s="29"/>
      <c r="N194" s="29"/>
    </row>
    <row r="195" spans="1:14" x14ac:dyDescent="0.25">
      <c r="A195" s="26"/>
      <c r="B195" s="26" t="s">
        <v>784</v>
      </c>
      <c r="C195" t="s">
        <v>779</v>
      </c>
      <c r="D195" s="1" t="str">
        <f t="shared" si="25"/>
        <v>br_8[blue/br_8]</v>
      </c>
      <c r="F195" t="s">
        <v>841</v>
      </c>
      <c r="I195" s="29"/>
      <c r="J195" s="29"/>
      <c r="K195" s="29"/>
      <c r="L195" s="29"/>
      <c r="N195" s="29"/>
    </row>
    <row r="196" spans="1:14" x14ac:dyDescent="0.25">
      <c r="A196" s="26"/>
      <c r="B196" s="26" t="s">
        <v>784</v>
      </c>
      <c r="C196" t="s">
        <v>779</v>
      </c>
      <c r="D196" s="1" t="str">
        <f t="shared" si="25"/>
        <v>br_9[blue/br_9]</v>
      </c>
      <c r="F196" t="s">
        <v>842</v>
      </c>
      <c r="I196" s="29"/>
      <c r="J196" s="29"/>
      <c r="K196" s="29"/>
      <c r="L196" s="29"/>
      <c r="N196" s="29"/>
    </row>
    <row r="197" spans="1:14" x14ac:dyDescent="0.25">
      <c r="A197" s="26"/>
      <c r="B197" s="26" t="s">
        <v>784</v>
      </c>
      <c r="C197" t="s">
        <v>779</v>
      </c>
      <c r="D197" s="1" t="str">
        <f t="shared" si="25"/>
        <v>br_10[blue/br_10]</v>
      </c>
      <c r="F197" t="s">
        <v>843</v>
      </c>
      <c r="I197" s="29"/>
      <c r="J197" s="29"/>
      <c r="K197" s="29"/>
      <c r="L197" s="29"/>
      <c r="N197" s="29"/>
    </row>
    <row r="198" spans="1:14" x14ac:dyDescent="0.25">
      <c r="A198" s="26"/>
      <c r="B198" s="26" t="s">
        <v>784</v>
      </c>
      <c r="C198" t="s">
        <v>779</v>
      </c>
      <c r="D198" s="1" t="str">
        <f t="shared" si="25"/>
        <v>br_11[blue/br_11]</v>
      </c>
      <c r="F198" t="s">
        <v>844</v>
      </c>
      <c r="I198" s="29"/>
      <c r="J198" s="29"/>
      <c r="K198" s="29"/>
      <c r="L198" s="29"/>
      <c r="N198" s="2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LetsGo">
                <anchor moveWithCells="1" sizeWithCells="1">
                  <from>
                    <xdr:col>10</xdr:col>
                    <xdr:colOff>464820</xdr:colOff>
                    <xdr:row>0</xdr:row>
                    <xdr:rowOff>68580</xdr:rowOff>
                  </from>
                  <to>
                    <xdr:col>13</xdr:col>
                    <xdr:colOff>411480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100.88671875" defaultRowHeight="13.2" x14ac:dyDescent="0.25"/>
  <sheetData/>
  <pageMargins left="0.19685039370078741" right="0.19685039370078741" top="0.19685039370078741" bottom="0.19685039370078741" header="0.31496062992125984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</vt:i4>
      </vt:variant>
    </vt:vector>
  </HeadingPairs>
  <TitlesOfParts>
    <vt:vector size="19" baseType="lpstr">
      <vt:lpstr>To do</vt:lpstr>
      <vt:lpstr>Parameters</vt:lpstr>
      <vt:lpstr>Sizes</vt:lpstr>
      <vt:lpstr>Templates</vt:lpstr>
      <vt:lpstr>Elements</vt:lpstr>
      <vt:lpstr>Schemes</vt:lpstr>
      <vt:lpstr>ElementColours</vt:lpstr>
      <vt:lpstr>Gradients</vt:lpstr>
      <vt:lpstr>SysColours</vt:lpstr>
      <vt:lpstr>UserColours</vt:lpstr>
      <vt:lpstr>Shapes</vt:lpstr>
      <vt:lpstr>Bgde_regt</vt:lpstr>
      <vt:lpstr>Sheet1</vt:lpstr>
      <vt:lpstr>bordercolour</vt:lpstr>
      <vt:lpstr>commonfolder</vt:lpstr>
      <vt:lpstr>doublesided</vt:lpstr>
      <vt:lpstr>imagefolder</vt:lpstr>
      <vt:lpstr>margin</vt:lpstr>
      <vt:lpstr>sprueheight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Newell, Christopher (IE Dundrum)</dc:creator>
  <cp:lastModifiedBy>Newell, Christopher (Ireland Dundrum)</cp:lastModifiedBy>
  <cp:lastPrinted>2020-07-30T09:53:42Z</cp:lastPrinted>
  <dcterms:created xsi:type="dcterms:W3CDTF">2020-03-03T11:19:15Z</dcterms:created>
  <dcterms:modified xsi:type="dcterms:W3CDTF">2020-07-30T10:41:04Z</dcterms:modified>
</cp:coreProperties>
</file>