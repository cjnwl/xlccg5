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19980" windowHeight="12936" firstSheet="9" activeTab="12"/>
  </bookViews>
  <sheets>
    <sheet name="VersionHistory" sheetId="707" r:id="rId1"/>
    <sheet name="To do" sheetId="407" r:id="rId2"/>
    <sheet name="Parameters" sheetId="430" r:id="rId3"/>
    <sheet name="Sizes" sheetId="31" r:id="rId4"/>
    <sheet name="Templates" sheetId="34" r:id="rId5"/>
    <sheet name="Elements" sheetId="32" r:id="rId6"/>
    <sheet name="Schemes" sheetId="36" r:id="rId7"/>
    <sheet name="ElementColours" sheetId="35" r:id="rId8"/>
    <sheet name="Gradients" sheetId="426" state="hidden" r:id="rId9"/>
    <sheet name="SysColours" sheetId="465" r:id="rId10"/>
    <sheet name="UserColours" sheetId="622" r:id="rId11"/>
    <sheet name="Shapes" sheetId="423" r:id="rId12"/>
    <sheet name="Borkowo" sheetId="687" r:id="rId13"/>
  </sheets>
  <functionGroups builtInGroupCount="17"/>
  <definedNames>
    <definedName name="_xlnm._FilterDatabase" localSheetId="5" hidden="1">Elements!$A$1:$V$54</definedName>
    <definedName name="bordercolour">Parameters!$B$6</definedName>
    <definedName name="commonfolder">Parameters!$B$5</definedName>
    <definedName name="doublesided">Parameters!$B$7</definedName>
    <definedName name="imagefolder">Parameters!$B$4</definedName>
    <definedName name="margin">Parameters!$B$2</definedName>
    <definedName name="sprueheight">Parameters!$B$3</definedName>
  </definedNames>
  <calcPr calcId="145621"/>
</workbook>
</file>

<file path=xl/calcChain.xml><?xml version="1.0" encoding="utf-8"?>
<calcChain xmlns="http://schemas.openxmlformats.org/spreadsheetml/2006/main">
  <c r="E169" i="465" l="1"/>
  <c r="E170" i="465"/>
  <c r="E168" i="465"/>
  <c r="J3" i="622" l="1"/>
  <c r="J4" i="622"/>
  <c r="J5" i="622"/>
  <c r="J6" i="622"/>
  <c r="J7" i="622"/>
  <c r="J8" i="622"/>
  <c r="J9" i="622"/>
  <c r="J10" i="622"/>
  <c r="J11" i="622"/>
  <c r="J12" i="622"/>
  <c r="I3" i="622"/>
  <c r="I4" i="622"/>
  <c r="I5" i="622"/>
  <c r="I6" i="622"/>
  <c r="I7" i="622"/>
  <c r="I8" i="622"/>
  <c r="I9" i="622"/>
  <c r="I10" i="622"/>
  <c r="I11" i="622"/>
  <c r="I12" i="622"/>
  <c r="I13" i="622"/>
  <c r="E66" i="622" l="1"/>
  <c r="E65" i="622"/>
  <c r="E64" i="622"/>
  <c r="E63" i="622"/>
  <c r="E62" i="622"/>
  <c r="E61" i="622"/>
  <c r="E60" i="622"/>
  <c r="E59" i="622"/>
  <c r="E58" i="622"/>
  <c r="E57" i="622"/>
  <c r="E56" i="622"/>
  <c r="E55" i="622"/>
  <c r="E54" i="622"/>
  <c r="E53" i="622"/>
  <c r="E52" i="622"/>
  <c r="E51" i="622"/>
  <c r="E50" i="622"/>
  <c r="E49" i="622"/>
  <c r="E48" i="622"/>
  <c r="E47" i="622"/>
  <c r="E46" i="622"/>
  <c r="E45" i="622"/>
  <c r="E44" i="622"/>
  <c r="E43" i="622"/>
  <c r="E42" i="622"/>
  <c r="E41" i="622"/>
  <c r="E40" i="622"/>
  <c r="E39" i="622"/>
  <c r="E38" i="622"/>
  <c r="E37" i="622"/>
  <c r="E36" i="622"/>
  <c r="E35" i="622"/>
  <c r="E34" i="622"/>
  <c r="E33" i="622"/>
  <c r="E32" i="622"/>
  <c r="E31" i="622"/>
  <c r="E30" i="622"/>
  <c r="E29" i="622"/>
  <c r="E28" i="622"/>
</calcChain>
</file>

<file path=xl/sharedStrings.xml><?xml version="1.0" encoding="utf-8"?>
<sst xmlns="http://schemas.openxmlformats.org/spreadsheetml/2006/main" count="1508" uniqueCount="716">
  <si>
    <t>Name</t>
  </si>
  <si>
    <t>FRANCE</t>
  </si>
  <si>
    <t>RUSSIA_2</t>
  </si>
  <si>
    <t>GERMANY</t>
  </si>
  <si>
    <t>ITALY</t>
  </si>
  <si>
    <t>RUSSIA</t>
  </si>
  <si>
    <t>PRUSSIA</t>
  </si>
  <si>
    <t>AUSTRIA</t>
  </si>
  <si>
    <t>BRITAIN</t>
  </si>
  <si>
    <t>SPAIN</t>
  </si>
  <si>
    <t>PORTUGAL</t>
  </si>
  <si>
    <t>OTTOMAN</t>
  </si>
  <si>
    <t>RUSSIA_GD</t>
  </si>
  <si>
    <t>USA_DK</t>
  </si>
  <si>
    <t>USA_LT</t>
  </si>
  <si>
    <t>COMMONWEALTH</t>
  </si>
  <si>
    <t>GERMANY_SS</t>
  </si>
  <si>
    <t>FRANCE_2</t>
  </si>
  <si>
    <t>ROMANIA</t>
  </si>
  <si>
    <t>HUNGARY</t>
  </si>
  <si>
    <t>H</t>
  </si>
  <si>
    <t>POLAND</t>
  </si>
  <si>
    <t>SWEDEN</t>
  </si>
  <si>
    <t>SAXONY</t>
  </si>
  <si>
    <t>name</t>
  </si>
  <si>
    <t>rgb</t>
  </si>
  <si>
    <t>font</t>
  </si>
  <si>
    <t>size</t>
  </si>
  <si>
    <t>bold</t>
  </si>
  <si>
    <t>uline</t>
  </si>
  <si>
    <t>orientation</t>
  </si>
  <si>
    <t>align</t>
  </si>
  <si>
    <t>transp</t>
  </si>
  <si>
    <t>text</t>
  </si>
  <si>
    <t>Scheme</t>
  </si>
  <si>
    <t>FG</t>
  </si>
  <si>
    <t>BG</t>
  </si>
  <si>
    <t>Nature</t>
  </si>
  <si>
    <t>left</t>
  </si>
  <si>
    <t>top</t>
  </si>
  <si>
    <t>width</t>
  </si>
  <si>
    <t>height</t>
  </si>
  <si>
    <t>f</t>
  </si>
  <si>
    <t>b</t>
  </si>
  <si>
    <t>empty</t>
  </si>
  <si>
    <t>r</t>
  </si>
  <si>
    <t>g</t>
  </si>
  <si>
    <t>Different size units (LCU, SCU, etc)</t>
  </si>
  <si>
    <t>Different shapes (rectangle, circle, hexagon, etc)</t>
  </si>
  <si>
    <t>Output formats: - CounterSheet/DTP/ZunTsu - Individual/Vassal - GTL/Cyberboard</t>
  </si>
  <si>
    <t>V</t>
  </si>
  <si>
    <t>DD</t>
  </si>
  <si>
    <t>CE</t>
  </si>
  <si>
    <t>BG2</t>
  </si>
  <si>
    <t>Gradient type can be one of the following values:</t>
  </si>
  <si>
    <t>Vertical</t>
  </si>
  <si>
    <t>Horizontal</t>
  </si>
  <si>
    <t>DU</t>
  </si>
  <si>
    <t>Diagonal up</t>
  </si>
  <si>
    <t>Diagonal down</t>
  </si>
  <si>
    <t>CO</t>
  </si>
  <si>
    <t>From corner</t>
  </si>
  <si>
    <t>From centre</t>
  </si>
  <si>
    <t>Subtype is 1 to 4, except for type CE, where only 1 and 2 are allowed.</t>
  </si>
  <si>
    <t>Any other value will cause the programme to crash.</t>
  </si>
  <si>
    <t>To know what the types and subtypes correspond to, see the examples below:</t>
  </si>
  <si>
    <t>frontback</t>
  </si>
  <si>
    <t>gradtype</t>
  </si>
  <si>
    <t>gradval</t>
  </si>
  <si>
    <t>Different coloured elements (eg: dots)</t>
  </si>
  <si>
    <t>Italic</t>
  </si>
  <si>
    <t>3.3: italic</t>
  </si>
  <si>
    <t>3.3: dbseek to simplify rewrites</t>
  </si>
  <si>
    <t>mso name</t>
  </si>
  <si>
    <t>shape</t>
  </si>
  <si>
    <t>param1</t>
  </si>
  <si>
    <t>param2</t>
  </si>
  <si>
    <t xml:space="preserve">16pointStar </t>
  </si>
  <si>
    <t>4pointStar</t>
  </si>
  <si>
    <t>5pointStar</t>
  </si>
  <si>
    <t>8pointStar</t>
  </si>
  <si>
    <t>Arc</t>
  </si>
  <si>
    <t>BlockArc</t>
  </si>
  <si>
    <t>Can</t>
  </si>
  <si>
    <t>Chevron</t>
  </si>
  <si>
    <t>Cross</t>
  </si>
  <si>
    <t>Cube</t>
  </si>
  <si>
    <t>Diamond</t>
  </si>
  <si>
    <t>DoubleWave</t>
  </si>
  <si>
    <t>DownArrow</t>
  </si>
  <si>
    <t>Explosion1</t>
  </si>
  <si>
    <t>Explosion2</t>
  </si>
  <si>
    <t>Hexagon</t>
  </si>
  <si>
    <t>IsoscelesTriangle</t>
  </si>
  <si>
    <t>LeftArrow</t>
  </si>
  <si>
    <t>LeftRightArrow</t>
  </si>
  <si>
    <t>Moon</t>
  </si>
  <si>
    <t>Octagon</t>
  </si>
  <si>
    <t>Oval</t>
  </si>
  <si>
    <t>Parallelogram</t>
  </si>
  <si>
    <t>Pentagon</t>
  </si>
  <si>
    <t>Rectangle</t>
  </si>
  <si>
    <t>RegularPentagon</t>
  </si>
  <si>
    <t>RightArrow</t>
  </si>
  <si>
    <t>RightTriangle</t>
  </si>
  <si>
    <t>RoundedRectangle</t>
  </si>
  <si>
    <t>Sun</t>
  </si>
  <si>
    <t>Trapezoid</t>
  </si>
  <si>
    <t>UpArrow</t>
  </si>
  <si>
    <t>UpDownArrow</t>
  </si>
  <si>
    <t>Wave</t>
  </si>
  <si>
    <t>shapes:</t>
  </si>
  <si>
    <t>- basic done</t>
  </si>
  <si>
    <t>- rotation</t>
  </si>
  <si>
    <t>- variable fill colour (if -1 then transparent)</t>
  </si>
  <si>
    <t>- shape params p1 &amp; p2 (determine limits)</t>
  </si>
  <si>
    <t>0 - 0.5</t>
  </si>
  <si>
    <t>-180 - 180</t>
  </si>
  <si>
    <t>0 - 1</t>
  </si>
  <si>
    <t>0 - 0.1</t>
  </si>
  <si>
    <t>0.4 - 0.6</t>
  </si>
  <si>
    <t>0 - 0.875</t>
  </si>
  <si>
    <t>0 - 0.2</t>
  </si>
  <si>
    <t>p1</t>
  </si>
  <si>
    <t>p2</t>
  </si>
  <si>
    <t>angle</t>
  </si>
  <si>
    <t>- line</t>
  </si>
  <si>
    <t>0.125 - 0.47</t>
  </si>
  <si>
    <t>- flip horizontal &amp; vertical</t>
  </si>
  <si>
    <t>p1p2</t>
  </si>
  <si>
    <t>line</t>
  </si>
  <si>
    <t>sizes</t>
  </si>
  <si>
    <t>angled text</t>
  </si>
  <si>
    <t>flip</t>
  </si>
  <si>
    <t>move unit f &amp; b fill to schemes tab</t>
  </si>
  <si>
    <t>write help file</t>
  </si>
  <si>
    <t>pdl</t>
  </si>
  <si>
    <t>pcl</t>
  </si>
  <si>
    <t>hpcl</t>
  </si>
  <si>
    <t>svg</t>
  </si>
  <si>
    <t>png</t>
  </si>
  <si>
    <t>scheme designer</t>
  </si>
  <si>
    <t>Width</t>
  </si>
  <si>
    <t>Height</t>
  </si>
  <si>
    <t>n identical counters</t>
  </si>
  <si>
    <t>separate app from data (à la AC)  ====&gt; v.5</t>
  </si>
  <si>
    <t>standalone compiled app ====&gt; v.6</t>
  </si>
  <si>
    <t>v4 (change of major version as change of structure)</t>
  </si>
  <si>
    <t>rewrite code</t>
  </si>
  <si>
    <t>image subfolder</t>
  </si>
  <si>
    <t>Margin</t>
  </si>
  <si>
    <t>Sprue Height</t>
  </si>
  <si>
    <t>Image folder</t>
  </si>
  <si>
    <t>Parameter</t>
  </si>
  <si>
    <t>Value</t>
  </si>
  <si>
    <t>pb with single gridsize for shapes (squares, circles)</t>
  </si>
  <si>
    <t>sprues, number of rows per bloc (depends on size)</t>
  </si>
  <si>
    <t xml:space="preserve">  =&gt; hgridsize and vgridsize</t>
  </si>
  <si>
    <t>coordinates (text/shape/image and line)</t>
  </si>
  <si>
    <t>flip/rotate pictures</t>
  </si>
  <si>
    <t>hex values for colours</t>
  </si>
  <si>
    <t>true colours on colours tab</t>
  </si>
  <si>
    <t>HGridsize</t>
  </si>
  <si>
    <t>VGridsize</t>
  </si>
  <si>
    <t>autoit, basic, awk, convert…</t>
  </si>
  <si>
    <t>generate svg file</t>
  </si>
  <si>
    <t>Half inch</t>
  </si>
  <si>
    <t>Five eighths</t>
  </si>
  <si>
    <t>Three quarters</t>
  </si>
  <si>
    <t>One inch</t>
  </si>
  <si>
    <t>US card width</t>
  </si>
  <si>
    <t>US card height</t>
  </si>
  <si>
    <t>increment values on identical counters (/+)</t>
  </si>
  <si>
    <t>v4.1</t>
  </si>
  <si>
    <t>image</t>
  </si>
  <si>
    <t>double sided as option</t>
  </si>
  <si>
    <t>parameterize border colour</t>
  </si>
  <si>
    <t>check coordinates calculations</t>
  </si>
  <si>
    <t>x hides counter</t>
  </si>
  <si>
    <t>Two</t>
  </si>
  <si>
    <t>Three</t>
  </si>
  <si>
    <t>Four</t>
  </si>
  <si>
    <t>Five</t>
  </si>
  <si>
    <t>Six</t>
  </si>
  <si>
    <t>Seven</t>
  </si>
  <si>
    <t>Eight</t>
  </si>
  <si>
    <t>Nine</t>
  </si>
  <si>
    <t>Ten</t>
  </si>
  <si>
    <t>Joker</t>
  </si>
  <si>
    <t>Ace</t>
  </si>
  <si>
    <t>Red</t>
  </si>
  <si>
    <t>front</t>
  </si>
  <si>
    <t>back</t>
  </si>
  <si>
    <t>Border colour</t>
  </si>
  <si>
    <t>Double sided</t>
  </si>
  <si>
    <t>hex</t>
  </si>
  <si>
    <t>00FF00</t>
  </si>
  <si>
    <t>FF00FF</t>
  </si>
  <si>
    <t>008B8B</t>
  </si>
  <si>
    <t>B8860B</t>
  </si>
  <si>
    <t>A9A9A9</t>
  </si>
  <si>
    <t>BDB76B</t>
  </si>
  <si>
    <t>8B008B</t>
  </si>
  <si>
    <t>556B2F</t>
  </si>
  <si>
    <t>FF8C00</t>
  </si>
  <si>
    <t>9932CC</t>
  </si>
  <si>
    <t>E9967A</t>
  </si>
  <si>
    <t>8FBC8F</t>
  </si>
  <si>
    <t>483D8B</t>
  </si>
  <si>
    <t>2F4F4F</t>
  </si>
  <si>
    <t>00CED1</t>
  </si>
  <si>
    <t>9400D3</t>
  </si>
  <si>
    <t>FF1493</t>
  </si>
  <si>
    <t>00BFFF</t>
  </si>
  <si>
    <t>1E90FF</t>
  </si>
  <si>
    <t>B22222</t>
  </si>
  <si>
    <t>FFFAF0</t>
  </si>
  <si>
    <t>228B22</t>
  </si>
  <si>
    <t>DCDCDC</t>
  </si>
  <si>
    <t>F8F8FF</t>
  </si>
  <si>
    <t>FFD700</t>
  </si>
  <si>
    <t>DAA520</t>
  </si>
  <si>
    <t>ADFF2F</t>
  </si>
  <si>
    <t>F0FFF0</t>
  </si>
  <si>
    <t>FF69B4</t>
  </si>
  <si>
    <t>CD5C5C</t>
  </si>
  <si>
    <t>4B0082</t>
  </si>
  <si>
    <t>FFFFF0</t>
  </si>
  <si>
    <t>F0E68C</t>
  </si>
  <si>
    <t>FFF0F5</t>
  </si>
  <si>
    <t>7CFC00</t>
  </si>
  <si>
    <t>FFFACD</t>
  </si>
  <si>
    <t>F08080</t>
  </si>
  <si>
    <t>E0FFFF</t>
  </si>
  <si>
    <t>FAFAD2</t>
  </si>
  <si>
    <t>D3D3D3</t>
  </si>
  <si>
    <t>90EE90</t>
  </si>
  <si>
    <t>FFB6C1</t>
  </si>
  <si>
    <t>FFA07A</t>
  </si>
  <si>
    <t>20B2AA</t>
  </si>
  <si>
    <t>87CEFA</t>
  </si>
  <si>
    <t>B0C4DE</t>
  </si>
  <si>
    <t>FFFFE0</t>
  </si>
  <si>
    <t>32CD32</t>
  </si>
  <si>
    <t>FAF0E6</t>
  </si>
  <si>
    <t>66CDAA</t>
  </si>
  <si>
    <t>0000CD</t>
  </si>
  <si>
    <t>BA55D3</t>
  </si>
  <si>
    <t>3CB371</t>
  </si>
  <si>
    <t>7B68EE</t>
  </si>
  <si>
    <t>00FA9A</t>
  </si>
  <si>
    <t>48D1CC</t>
  </si>
  <si>
    <t>C71585</t>
  </si>
  <si>
    <t>F5FFFA</t>
  </si>
  <si>
    <t>FFE4E1</t>
  </si>
  <si>
    <t>FFE4B5</t>
  </si>
  <si>
    <t>FFDEAD</t>
  </si>
  <si>
    <t>FDF5E6</t>
  </si>
  <si>
    <t>6B8E23</t>
  </si>
  <si>
    <t>FFA500</t>
  </si>
  <si>
    <t>FF4500</t>
  </si>
  <si>
    <t>DA70D6</t>
  </si>
  <si>
    <t>EEE8AA</t>
  </si>
  <si>
    <t>98FB98</t>
  </si>
  <si>
    <t>AFEEEE</t>
  </si>
  <si>
    <t>FFEFD5</t>
  </si>
  <si>
    <t>FFDAB9</t>
  </si>
  <si>
    <t>CD853F</t>
  </si>
  <si>
    <t>FFC0CB</t>
  </si>
  <si>
    <t>B0E0E6</t>
  </si>
  <si>
    <t>FF0000</t>
  </si>
  <si>
    <t>BC8F8F</t>
  </si>
  <si>
    <t>8B4513</t>
  </si>
  <si>
    <t>FA8072</t>
  </si>
  <si>
    <t>F4A460</t>
  </si>
  <si>
    <t>2E8B57</t>
  </si>
  <si>
    <t>FFF5EE</t>
  </si>
  <si>
    <t>A0522D</t>
  </si>
  <si>
    <t>C0C0C0</t>
  </si>
  <si>
    <t>87CEEB</t>
  </si>
  <si>
    <t>6A5ACD</t>
  </si>
  <si>
    <t>FFFAFA</t>
  </si>
  <si>
    <t>00FF7F</t>
  </si>
  <si>
    <t>4682B4</t>
  </si>
  <si>
    <t>D2B48C</t>
  </si>
  <si>
    <t>D8BFD8</t>
  </si>
  <si>
    <t>FF6347</t>
  </si>
  <si>
    <t>40E0D0</t>
  </si>
  <si>
    <t>EE82EE</t>
  </si>
  <si>
    <t>F5DEB3</t>
  </si>
  <si>
    <t>FFFFFF</t>
  </si>
  <si>
    <t>F5F5F5</t>
  </si>
  <si>
    <t>FFFF00</t>
  </si>
  <si>
    <t>9ACD32</t>
  </si>
  <si>
    <t>000000</t>
  </si>
  <si>
    <t>008000</t>
  </si>
  <si>
    <t>000080</t>
  </si>
  <si>
    <t>008080</t>
  </si>
  <si>
    <t>696969</t>
  </si>
  <si>
    <t>808080</t>
  </si>
  <si>
    <t>778899</t>
  </si>
  <si>
    <t>800000</t>
  </si>
  <si>
    <t>191970</t>
  </si>
  <si>
    <t>808000</t>
  </si>
  <si>
    <t>800080</t>
  </si>
  <si>
    <t>708090</t>
  </si>
  <si>
    <t>sample</t>
  </si>
  <si>
    <t>00008B</t>
  </si>
  <si>
    <t>0000FF</t>
  </si>
  <si>
    <t>F0F8FF</t>
  </si>
  <si>
    <t>FAEBD7</t>
  </si>
  <si>
    <t>00FFFF</t>
  </si>
  <si>
    <t>7FFFD4</t>
  </si>
  <si>
    <t>F0FFFF</t>
  </si>
  <si>
    <t>F5F5DC</t>
  </si>
  <si>
    <t>FFE4C4</t>
  </si>
  <si>
    <t>FFEBCD</t>
  </si>
  <si>
    <t>8A2BE2</t>
  </si>
  <si>
    <t>DEB887</t>
  </si>
  <si>
    <t>5F9EA0</t>
  </si>
  <si>
    <t>7FFF00</t>
  </si>
  <si>
    <t>D2691E</t>
  </si>
  <si>
    <t>FF7F50</t>
  </si>
  <si>
    <t>6495ED</t>
  </si>
  <si>
    <t>FFF8DC</t>
  </si>
  <si>
    <t>DC143C</t>
  </si>
  <si>
    <t>don't move and resize with cells</t>
  </si>
  <si>
    <t xml:space="preserve">   if ++, till next value in field</t>
  </si>
  <si>
    <t>calculate column width and row height...</t>
  </si>
  <si>
    <t>red</t>
  </si>
  <si>
    <t>template designer</t>
  </si>
  <si>
    <t>template</t>
  </si>
  <si>
    <t>Element</t>
  </si>
  <si>
    <t>Comment</t>
  </si>
  <si>
    <t>black</t>
  </si>
  <si>
    <t>Comments</t>
  </si>
  <si>
    <t>CCCC00</t>
  </si>
  <si>
    <t>99CC00</t>
  </si>
  <si>
    <t>3366FF</t>
  </si>
  <si>
    <t>99CCFF</t>
  </si>
  <si>
    <t>CC99FF</t>
  </si>
  <si>
    <t>333333</t>
  </si>
  <si>
    <t>666666</t>
  </si>
  <si>
    <t>999999</t>
  </si>
  <si>
    <t>CCCCCC</t>
  </si>
  <si>
    <t>E5E5E5</t>
  </si>
  <si>
    <t>Grey10</t>
  </si>
  <si>
    <t>Grey20</t>
  </si>
  <si>
    <t>Grey40</t>
  </si>
  <si>
    <t>Grey60</t>
  </si>
  <si>
    <t>Grey80</t>
  </si>
  <si>
    <t>Grey50</t>
  </si>
  <si>
    <t>Grey30</t>
  </si>
  <si>
    <t>Grey70</t>
  </si>
  <si>
    <t>Grey90</t>
  </si>
  <si>
    <t>B3B3B3</t>
  </si>
  <si>
    <t>4C4C4C</t>
  </si>
  <si>
    <t>1A1A1A</t>
  </si>
  <si>
    <t>Crimson</t>
  </si>
  <si>
    <t>PaleGreen</t>
  </si>
  <si>
    <t>AliceBlue</t>
  </si>
  <si>
    <t>AntiqueWhite</t>
  </si>
  <si>
    <t>Aqua</t>
  </si>
  <si>
    <t>Aquamarine</t>
  </si>
  <si>
    <t>Azure</t>
  </si>
  <si>
    <t>Beige</t>
  </si>
  <si>
    <t>Bisque</t>
  </si>
  <si>
    <t>Black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</si>
  <si>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</si>
  <si>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</si>
  <si>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</si>
  <si>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</si>
  <si>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</si>
  <si>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</si>
  <si>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</si>
  <si>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</si>
  <si>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</si>
  <si>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</si>
  <si>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</si>
  <si>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Cyan</t>
  </si>
  <si>
    <t>DarkBlue</t>
  </si>
  <si>
    <t>DarkCyan</t>
  </si>
  <si>
    <t>DarkGray</t>
  </si>
  <si>
    <t>DarkGrey</t>
  </si>
  <si>
    <t>DarkKhaki</t>
  </si>
  <si>
    <t>DarkMagenta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</si>
  <si>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</si>
  <si>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</si>
  <si>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</si>
  <si>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</si>
  <si>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</si>
  <si>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</si>
  <si>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</si>
  <si>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</si>
  <si>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DarkSlateGrey</t>
  </si>
  <si>
    <t>DarkTurquoise</t>
  </si>
  <si>
    <t>DarkViolet</t>
  </si>
  <si>
    <t>DeepPink</t>
  </si>
  <si>
    <t>DeepSkyBlue</t>
  </si>
  <si>
    <t>DimGray</t>
  </si>
  <si>
    <t>DimGrey</t>
  </si>
  <si>
    <t>DodgerBlue</t>
  </si>
  <si>
    <t>FireBrick</t>
  </si>
  <si>
    <t>FloralWhite</t>
  </si>
  <si>
    <t>ForestGreen</t>
  </si>
  <si>
    <t>Fuchsia</t>
  </si>
  <si>
    <t>Gainsboro</t>
  </si>
  <si>
    <t>GhostWhite</t>
  </si>
  <si>
    <t>Gold</t>
  </si>
  <si>
    <t>Gray</t>
  </si>
  <si>
    <t>Green</t>
  </si>
  <si>
    <t>GreenYellow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</si>
  <si>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</si>
  <si>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</si>
  <si>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</si>
  <si>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</si>
  <si>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</si>
  <si>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</si>
  <si>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</si>
  <si>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</si>
  <si>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</si>
  <si>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</si>
  <si>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</si>
  <si>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</si>
  <si>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LightGray</t>
  </si>
  <si>
    <t>LightGreen</t>
  </si>
  <si>
    <t>LightGrey</t>
  </si>
  <si>
    <t>LightPink</t>
  </si>
  <si>
    <t>LightSalmon</t>
  </si>
  <si>
    <t>LightSeaGreen</t>
  </si>
  <si>
    <t>LightSkyBlue</t>
  </si>
  <si>
    <t>LightSlateGray</t>
  </si>
  <si>
    <t>LightSlateGrey</t>
  </si>
  <si>
    <t>LightSteelBlue</t>
  </si>
  <si>
    <t>LightYellow</t>
  </si>
  <si>
    <t>Lime</t>
  </si>
  <si>
    <t>LimeGreen</t>
  </si>
  <si>
    <t>Linen</t>
  </si>
  <si>
    <t>Magenta</t>
  </si>
  <si>
    <t>Maroon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</si>
  <si>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</si>
  <si>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</si>
  <si>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</si>
  <si>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</si>
  <si>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</si>
  <si>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</si>
  <si>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</si>
  <si>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</si>
  <si>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</si>
  <si>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</si>
  <si>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</si>
  <si>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</si>
  <si>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</si>
  <si>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</si>
  <si>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</si>
  <si>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</si>
  <si>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</si>
  <si>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</t>
  </si>
  <si>
    <t>OrangeRed</t>
  </si>
  <si>
    <t>Orchid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</si>
  <si>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</si>
  <si>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</si>
  <si>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</si>
  <si>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</si>
  <si>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</si>
  <si>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</si>
  <si>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</si>
  <si>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</si>
  <si>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</si>
  <si>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</si>
  <si>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</si>
  <si>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</si>
  <si>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</si>
  <si>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</si>
  <si>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</si>
  <si>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Sienna</t>
  </si>
  <si>
    <t>Silver</t>
  </si>
  <si>
    <t>SkyBlue</t>
  </si>
  <si>
    <t>SlateBlue</t>
  </si>
  <si>
    <t>SlateGray</t>
  </si>
  <si>
    <t>SlateGrey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</si>
  <si>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</si>
  <si>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</si>
  <si>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</si>
  <si>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</si>
  <si>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</si>
  <si>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</si>
  <si>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</si>
  <si>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</si>
  <si>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Violet</t>
  </si>
  <si>
    <t>Wheat</t>
  </si>
  <si>
    <t>White</t>
  </si>
  <si>
    <t>WhiteSmoke</t>
  </si>
  <si>
    <t>Yellow</t>
  </si>
  <si>
    <t>YellowGreen</t>
  </si>
  <si>
    <t>LightGoldenrodYellow</t>
  </si>
  <si>
    <t>PaleGoldenrod</t>
  </si>
  <si>
    <t>DarkGreen</t>
  </si>
  <si>
    <t>MediumAquamarine</t>
  </si>
  <si>
    <t>Goldenrod</t>
  </si>
  <si>
    <t>DarkGoldenrod</t>
  </si>
  <si>
    <t>Honeydew</t>
  </si>
  <si>
    <t>Seashell</t>
  </si>
  <si>
    <t>symbol</t>
  </si>
  <si>
    <t>GREY20</t>
  </si>
  <si>
    <t>BLACK</t>
  </si>
  <si>
    <t>GREY40</t>
  </si>
  <si>
    <t>GOLD</t>
  </si>
  <si>
    <t>YELLOW</t>
  </si>
  <si>
    <t>Margin size in points between the edge of the page and the counters</t>
  </si>
  <si>
    <t>Vertical separation between blocks of counters</t>
  </si>
  <si>
    <t>Where any images are stored</t>
  </si>
  <si>
    <t>8B0000</t>
  </si>
  <si>
    <t>DB7093</t>
  </si>
  <si>
    <t>E6E6FA</t>
  </si>
  <si>
    <t>DDA0DD</t>
  </si>
  <si>
    <t>9370DB</t>
  </si>
  <si>
    <t>006400</t>
  </si>
  <si>
    <t>4169E1</t>
  </si>
  <si>
    <t>ADD8E6</t>
  </si>
  <si>
    <t>A52A2A</t>
  </si>
  <si>
    <t>Grey</t>
  </si>
  <si>
    <t>Gray30</t>
  </si>
  <si>
    <t>Gray40</t>
  </si>
  <si>
    <t>Gray50</t>
  </si>
  <si>
    <t>Gray60</t>
  </si>
  <si>
    <t>Gray70</t>
  </si>
  <si>
    <t>Gray80</t>
  </si>
  <si>
    <t>Gray90</t>
  </si>
  <si>
    <t>Gray10</t>
  </si>
  <si>
    <t>Gray20</t>
  </si>
  <si>
    <t>33CC33</t>
  </si>
  <si>
    <t>FFFF66</t>
  </si>
  <si>
    <t>FF8080</t>
  </si>
  <si>
    <t>FFCC00</t>
  </si>
  <si>
    <t>99FF33</t>
  </si>
  <si>
    <t>CC9900</t>
  </si>
  <si>
    <t>809900</t>
  </si>
  <si>
    <t>99FF66</t>
  </si>
  <si>
    <t>6699FF</t>
  </si>
  <si>
    <t>33CCCC</t>
  </si>
  <si>
    <t>FALSE for single-sided counters</t>
  </si>
  <si>
    <t>grey50</t>
  </si>
  <si>
    <t>up</t>
  </si>
  <si>
    <t>fb</t>
  </si>
  <si>
    <t>white</t>
  </si>
  <si>
    <t>Common image folder</t>
  </si>
  <si>
    <t>Look here if not found in previous folder</t>
  </si>
  <si>
    <t>BlockWidth</t>
  </si>
  <si>
    <t>BlockHeight</t>
  </si>
  <si>
    <t>flag</t>
  </si>
  <si>
    <t>pic</t>
  </si>
  <si>
    <t>middle</t>
  </si>
  <si>
    <t>right</t>
  </si>
  <si>
    <t>jdg ldr</t>
  </si>
  <si>
    <t>jdg fr ldr</t>
  </si>
  <si>
    <t>NAP flag France</t>
  </si>
  <si>
    <t>Klein</t>
  </si>
  <si>
    <t>jdg ma</t>
  </si>
  <si>
    <t>Lasalles</t>
  </si>
  <si>
    <t>reduced</t>
  </si>
  <si>
    <t>subunit</t>
  </si>
  <si>
    <t>elite</t>
  </si>
  <si>
    <t>heavy</t>
  </si>
  <si>
    <t>eng</t>
  </si>
  <si>
    <t>jdg cav</t>
  </si>
  <si>
    <t>2°Hussards</t>
  </si>
  <si>
    <t>NAP unit cav dummy</t>
  </si>
  <si>
    <t>jdg inf</t>
  </si>
  <si>
    <t>NAP unit inf dummy</t>
  </si>
  <si>
    <t>(1)</t>
  </si>
  <si>
    <t>2-4</t>
  </si>
  <si>
    <t>Dorokhov</t>
  </si>
  <si>
    <t>0</t>
  </si>
  <si>
    <t>3</t>
  </si>
  <si>
    <t>2</t>
  </si>
  <si>
    <t>5</t>
  </si>
  <si>
    <t>4</t>
  </si>
  <si>
    <t>8</t>
  </si>
  <si>
    <t>1</t>
  </si>
  <si>
    <t>7</t>
  </si>
  <si>
    <t>6</t>
  </si>
  <si>
    <t>SIZE</t>
  </si>
  <si>
    <t>TEMPLATE</t>
  </si>
  <si>
    <t>SCHEME</t>
  </si>
  <si>
    <t>JDG</t>
  </si>
  <si>
    <t>JDG 3/4 inch</t>
  </si>
  <si>
    <t>3++</t>
  </si>
  <si>
    <t>fleft</t>
  </si>
  <si>
    <t>fmiddle</t>
  </si>
  <si>
    <t>fright</t>
  </si>
  <si>
    <t>bleft</t>
  </si>
  <si>
    <t>bmiddle</t>
  </si>
  <si>
    <t>bright</t>
  </si>
  <si>
    <t>RED</t>
  </si>
  <si>
    <t>PALE_BLUE</t>
  </si>
  <si>
    <t>LIME</t>
  </si>
  <si>
    <t>WHITE</t>
  </si>
  <si>
    <t>DK_RED</t>
  </si>
  <si>
    <t>LT_RED</t>
  </si>
  <si>
    <t>ROSE</t>
  </si>
  <si>
    <t>BROWN</t>
  </si>
  <si>
    <t>ORANGE</t>
  </si>
  <si>
    <t>LT_ORANGE</t>
  </si>
  <si>
    <t>TAN</t>
  </si>
  <si>
    <t>DK_OLIVE</t>
  </si>
  <si>
    <t>DK_YELLOW</t>
  </si>
  <si>
    <t>LT_YELLOW</t>
  </si>
  <si>
    <t>DK_GREEN</t>
  </si>
  <si>
    <t>GREEN</t>
  </si>
  <si>
    <t>SEA_GREEN</t>
  </si>
  <si>
    <t>BT_GREEN</t>
  </si>
  <si>
    <t>LT_GREEN</t>
  </si>
  <si>
    <t>TEAL</t>
  </si>
  <si>
    <t>AQUA</t>
  </si>
  <si>
    <t>TURQUOISE</t>
  </si>
  <si>
    <t>LT_TURQUOISE</t>
  </si>
  <si>
    <t>DK_BLUE</t>
  </si>
  <si>
    <t>BLUE</t>
  </si>
  <si>
    <t>LT_BLUE</t>
  </si>
  <si>
    <t>SKY_BLUE</t>
  </si>
  <si>
    <t>INDIGO</t>
  </si>
  <si>
    <t>BLUE_GREY</t>
  </si>
  <si>
    <t>VIOLET</t>
  </si>
  <si>
    <t>PLUM</t>
  </si>
  <si>
    <t>LAVENDER</t>
  </si>
  <si>
    <t>GREY80</t>
  </si>
  <si>
    <t>GREY60</t>
  </si>
  <si>
    <t>4++</t>
  </si>
  <si>
    <t>4.0.4</t>
  </si>
  <si>
    <t>March 2020</t>
  </si>
  <si>
    <t>orange</t>
  </si>
  <si>
    <t>jdg fr</t>
  </si>
  <si>
    <t>jdg fr ma</t>
  </si>
  <si>
    <t>jdg fr cbt</t>
  </si>
  <si>
    <t>ldr3</t>
  </si>
  <si>
    <t>dims</t>
  </si>
  <si>
    <t>bot</t>
  </si>
  <si>
    <t>yellow</t>
  </si>
  <si>
    <t>aqua</t>
  </si>
  <si>
    <t>green</t>
  </si>
  <si>
    <t>blue</t>
  </si>
  <si>
    <t>rose</t>
  </si>
  <si>
    <t>seagreen</t>
  </si>
  <si>
    <t>lightgray</t>
  </si>
  <si>
    <t>overrides for all types of element</t>
  </si>
  <si>
    <t>image frame</t>
  </si>
  <si>
    <t>back values in same column : 4|2</t>
  </si>
  <si>
    <t>qty as fixed column after scheme</t>
  </si>
  <si>
    <t>check size and pos calculations, 1 pixel border around each unit</t>
  </si>
  <si>
    <t>Fénérols[white/black]</t>
  </si>
  <si>
    <t>4° Dragons[white/black]</t>
  </si>
  <si>
    <t>14° Dragons[white/black]</t>
  </si>
  <si>
    <t>26° Dragons[white/black]</t>
  </si>
  <si>
    <t>2° Art[white/black]</t>
  </si>
  <si>
    <t>1° Dragons[black/limegreen]</t>
  </si>
  <si>
    <t>jdg art</t>
  </si>
  <si>
    <t>Fauconnet[black/limegreen]</t>
  </si>
  <si>
    <t>2° Dragons[black/limegreen]</t>
  </si>
  <si>
    <t>20° Dragons[black/limegreen]</t>
  </si>
  <si>
    <t>7° Hussards[black/salmon]</t>
  </si>
  <si>
    <t>5° Hussards[black/salmon]</t>
  </si>
  <si>
    <t>Lasalle[black/salmon]</t>
  </si>
  <si>
    <t>overrides for font, size, all colours etc</t>
  </si>
  <si>
    <t>text outline</t>
  </si>
  <si>
    <t>art2</t>
  </si>
  <si>
    <t>2++</t>
  </si>
  <si>
    <t>NAP flag russia</t>
  </si>
  <si>
    <t>jdg ru cbt</t>
  </si>
  <si>
    <t>jdg ru ma</t>
  </si>
  <si>
    <t>jdg ru ldr</t>
  </si>
  <si>
    <t>arial narrow</t>
  </si>
  <si>
    <t>element order</t>
  </si>
  <si>
    <t>Cavalerie[black/salmon]</t>
  </si>
  <si>
    <t>I/Huss.d'Izioum[black/salmon]</t>
  </si>
  <si>
    <t>II/Huss.d'Izioum[black/salmon]</t>
  </si>
  <si>
    <t>III/Huss.d'Izioum[black/salmon]</t>
  </si>
  <si>
    <t>Coss. Novalski[black/salmon]</t>
  </si>
  <si>
    <t>Art. Div.[black/salmon]</t>
  </si>
  <si>
    <t>recalc of coordinates (text element only ?)</t>
  </si>
  <si>
    <t>Colour override for both FG and BG (text element only)</t>
  </si>
  <si>
    <t>define colour combos ? Eg : fauconnet = "black/salmon"</t>
  </si>
  <si>
    <t>russia_lt</t>
  </si>
  <si>
    <t>I/3° Chasseurs[yellow/royalblue]</t>
  </si>
  <si>
    <t>II/3° Chasseurs[yellow/royalblue]</t>
  </si>
  <si>
    <t>III/3° Chasseurs[yellow/royalblue]</t>
  </si>
  <si>
    <t>Infanterie[yellow/royalblue]</t>
  </si>
  <si>
    <t>dpi, paper size</t>
  </si>
  <si>
    <t>viewport</t>
  </si>
  <si>
    <t>reverse: side-by-side, following, fronts-only backs-only</t>
  </si>
  <si>
    <t>attribute order (alignment on sheets tab)</t>
  </si>
  <si>
    <t>image aspect ratio (viewport)</t>
  </si>
  <si>
    <t>sizes, units (inches, cm)</t>
  </si>
  <si>
    <t>svg output</t>
  </si>
  <si>
    <t>output: svg, png/jpg/bmp/etc, gtl, nandeck, imagemagick</t>
  </si>
  <si>
    <t>jdg ha</t>
  </si>
  <si>
    <t>horsehead-trans</t>
  </si>
  <si>
    <t>O</t>
  </si>
  <si>
    <t>centre</t>
  </si>
  <si>
    <t>eras bold itc</t>
  </si>
  <si>
    <t>DarkPink</t>
  </si>
  <si>
    <t>FF6AAF</t>
  </si>
  <si>
    <t>DarkPink1</t>
  </si>
  <si>
    <t>darkblue</t>
  </si>
  <si>
    <t>jdg</t>
  </si>
  <si>
    <t>cornflowerblue</t>
  </si>
  <si>
    <t>common</t>
  </si>
  <si>
    <t>outline</t>
  </si>
  <si>
    <t>gradstart</t>
  </si>
  <si>
    <t>gradend</t>
  </si>
  <si>
    <t>Cav</t>
  </si>
  <si>
    <t>Inf</t>
  </si>
  <si>
    <t>La</t>
  </si>
  <si>
    <t>Fa</t>
  </si>
  <si>
    <t>Fé</t>
  </si>
  <si>
    <t>darkgreen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</si>
</sst>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0"/>
      <color indexed="48"/>
      <name val="Arial"/>
      <family val="2"/>
    </font>
    <font>
      <b/>
      <sz val="10"/>
      <color indexed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3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/>
    <xf numFmtId="49" fontId="2" fillId="2" borderId="1" xfId="0" applyNumberFormat="1" applyFont="1" applyFill="1" applyBorder="1"/>
    <xf numFmtId="49" fontId="0" fillId="0" borderId="0" xfId="0" applyNumberFormat="1"/>
    <xf numFmtId="0" fontId="2" fillId="2" borderId="1" xfId="0" applyNumberFormat="1" applyFont="1" applyFill="1" applyBorder="1"/>
    <xf numFmtId="0" fontId="0" fillId="0" borderId="0" xfId="0" applyNumberFormat="1"/>
    <xf numFmtId="0" fontId="0" fillId="0" borderId="0" xfId="0" applyBorder="1"/>
    <xf numFmtId="0" fontId="0" fillId="0" borderId="0" xfId="0" applyAlignment="1">
      <alignment vertical="center"/>
    </xf>
    <xf numFmtId="49" fontId="3" fillId="0" borderId="0" xfId="0" applyNumberFormat="1" applyFont="1"/>
    <xf numFmtId="49" fontId="0" fillId="0" borderId="0" xfId="0" applyNumberFormat="1" applyAlignment="1">
      <alignment vertical="center"/>
    </xf>
    <xf numFmtId="0" fontId="2" fillId="2" borderId="0" xfId="0" applyFont="1" applyFill="1" applyBorder="1"/>
    <xf numFmtId="0" fontId="4" fillId="0" borderId="0" xfId="0" applyFont="1" applyAlignment="1">
      <alignment vertical="center"/>
    </xf>
    <xf numFmtId="0" fontId="2" fillId="0" borderId="0" xfId="0" applyFont="1"/>
    <xf numFmtId="49" fontId="5" fillId="0" borderId="0" xfId="0" applyNumberFormat="1" applyFont="1"/>
    <xf numFmtId="49" fontId="2" fillId="0" borderId="0" xfId="0" applyNumberFormat="1" applyFont="1"/>
    <xf numFmtId="49" fontId="6" fillId="0" borderId="0" xfId="0" applyNumberFormat="1" applyFont="1"/>
    <xf numFmtId="49" fontId="0" fillId="0" borderId="0" xfId="0" applyNumberFormat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0" xfId="0" applyNumberFormat="1" applyAlignment="1"/>
    <xf numFmtId="49" fontId="0" fillId="3" borderId="0" xfId="0" applyNumberFormat="1" applyFill="1"/>
    <xf numFmtId="49" fontId="4" fillId="0" borderId="0" xfId="0" applyNumberFormat="1" applyFont="1" applyAlignment="1">
      <alignment horizontal="left"/>
    </xf>
    <xf numFmtId="49" fontId="0" fillId="3" borderId="0" xfId="0" applyNumberFormat="1" applyFill="1" applyAlignment="1">
      <alignment horizontal="left"/>
    </xf>
    <xf numFmtId="49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49" fontId="4" fillId="0" borderId="0" xfId="0" applyNumberFormat="1" applyFont="1" applyAlignment="1">
      <alignment horizontal="center"/>
    </xf>
    <xf numFmtId="49" fontId="4" fillId="0" borderId="0" xfId="0" applyNumberFormat="1" applyFont="1"/>
    <xf numFmtId="0" fontId="4" fillId="0" borderId="0" xfId="0" applyFont="1"/>
    <xf numFmtId="0" fontId="0" fillId="0" borderId="0" xfId="0" applyFont="1"/>
    <xf numFmtId="49" fontId="0" fillId="0" borderId="0" xfId="0" applyNumberFormat="1" applyFont="1"/>
    <xf numFmtId="0" fontId="4" fillId="0" borderId="0" xfId="0" applyFont="1" applyAlignment="1">
      <alignment horizontal="left"/>
    </xf>
    <xf numFmtId="49" fontId="2" fillId="2" borderId="0" xfId="0" applyNumberFormat="1" applyFont="1" applyFill="1" applyBorder="1"/>
  </cellXfs>
  <cellStyles count="2">
    <cellStyle name="Non défini" xfId="1"/>
    <cellStyle name="Normal" xfId="0" builtinId="0"/>
  </cellStyles>
  <dxfs count="6"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B0B9E8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A3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0</xdr:row>
          <xdr:rowOff>106680</xdr:rowOff>
        </xdr:from>
        <xdr:to>
          <xdr:col>13</xdr:col>
          <xdr:colOff>381000</xdr:colOff>
          <xdr:row>4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2:C4"/>
  <sheetViews>
    <sheetView workbookViewId="0">
      <selection activeCell="C5" sqref="C5"/>
    </sheetView>
  </sheetViews>
  <sheetFormatPr defaultRowHeight="13.2" x14ac:dyDescent="0.25"/>
  <cols>
    <col min="1" max="1" width="7.5546875" style="4" customWidth="1"/>
    <col min="2" max="2" width="13.33203125" style="4" customWidth="1"/>
    <col min="3" max="3" width="29.77734375" style="4" bestFit="1" customWidth="1"/>
    <col min="4" max="16384" width="8.88671875" style="4"/>
  </cols>
  <sheetData>
    <row r="2" spans="1:3" x14ac:dyDescent="0.25">
      <c r="A2" s="4" t="s">
        <v>629</v>
      </c>
      <c r="B2" s="27" t="s">
        <v>630</v>
      </c>
      <c r="C2" s="27" t="s">
        <v>680</v>
      </c>
    </row>
    <row r="3" spans="1:3" x14ac:dyDescent="0.25">
      <c r="C3" s="4" t="s">
        <v>679</v>
      </c>
    </row>
    <row r="4" spans="1:3" x14ac:dyDescent="0.25">
      <c r="C4" s="27" t="s">
        <v>693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3"/>
  <sheetViews>
    <sheetView topLeftCell="A57" workbookViewId="0">
      <selection activeCell="A74" sqref="A74"/>
    </sheetView>
  </sheetViews>
  <sheetFormatPr defaultColWidth="9.109375" defaultRowHeight="13.2" x14ac:dyDescent="0.25"/>
  <cols>
    <col min="1" max="1" width="68.88671875" bestFit="1" customWidth="1"/>
    <col min="2" max="2" width="24.21875" bestFit="1" customWidth="1"/>
    <col min="3" max="3" width="4.33203125" bestFit="1" customWidth="1"/>
    <col min="5" max="5" width="6" bestFit="1" customWidth="1"/>
  </cols>
  <sheetData>
    <row r="1" spans="1:3" x14ac:dyDescent="0.25">
      <c r="A1" s="4" t="s">
        <v>47</v>
      </c>
    </row>
    <row r="2" spans="1:3" x14ac:dyDescent="0.25">
      <c r="A2" s="9" t="s">
        <v>48</v>
      </c>
    </row>
    <row r="3" spans="1:3" x14ac:dyDescent="0.25">
      <c r="A3" s="9" t="s">
        <v>69</v>
      </c>
    </row>
    <row r="4" spans="1:3" x14ac:dyDescent="0.25">
      <c r="A4" s="4" t="s">
        <v>49</v>
      </c>
      <c r="C4" t="s">
        <v>136</v>
      </c>
    </row>
    <row r="5" spans="1:3" x14ac:dyDescent="0.25">
      <c r="C5" t="s">
        <v>137</v>
      </c>
    </row>
    <row r="6" spans="1:3" x14ac:dyDescent="0.25">
      <c r="A6" s="4" t="s">
        <v>72</v>
      </c>
      <c r="C6" t="s">
        <v>138</v>
      </c>
    </row>
    <row r="7" spans="1:3" x14ac:dyDescent="0.25">
      <c r="A7" s="4" t="s">
        <v>71</v>
      </c>
      <c r="C7" t="s">
        <v>139</v>
      </c>
    </row>
    <row r="8" spans="1:3" x14ac:dyDescent="0.25">
      <c r="C8" t="s">
        <v>140</v>
      </c>
    </row>
    <row r="9" spans="1:3" x14ac:dyDescent="0.25">
      <c r="A9" s="4" t="s">
        <v>111</v>
      </c>
    </row>
    <row r="10" spans="1:3" x14ac:dyDescent="0.25">
      <c r="A10" s="9" t="s">
        <v>112</v>
      </c>
    </row>
    <row r="11" spans="1:3" x14ac:dyDescent="0.25">
      <c r="A11" s="9" t="s">
        <v>115</v>
      </c>
    </row>
    <row r="12" spans="1:3" x14ac:dyDescent="0.25">
      <c r="A12" s="9" t="s">
        <v>113</v>
      </c>
    </row>
    <row r="13" spans="1:3" x14ac:dyDescent="0.25">
      <c r="A13" s="9" t="s">
        <v>114</v>
      </c>
    </row>
    <row r="14" spans="1:3" x14ac:dyDescent="0.25">
      <c r="A14" s="9" t="s">
        <v>128</v>
      </c>
    </row>
    <row r="15" spans="1:3" x14ac:dyDescent="0.25">
      <c r="A15" s="9" t="s">
        <v>126</v>
      </c>
    </row>
    <row r="17" spans="1:5" x14ac:dyDescent="0.25">
      <c r="A17" s="9" t="s">
        <v>129</v>
      </c>
    </row>
    <row r="18" spans="1:5" x14ac:dyDescent="0.25">
      <c r="A18" s="9" t="s">
        <v>130</v>
      </c>
    </row>
    <row r="19" spans="1:5" x14ac:dyDescent="0.25">
      <c r="A19" s="9" t="s">
        <v>133</v>
      </c>
    </row>
    <row r="20" spans="1:5" x14ac:dyDescent="0.25">
      <c r="A20" s="9"/>
    </row>
    <row r="21" spans="1:5" x14ac:dyDescent="0.25">
      <c r="A21" s="16" t="s">
        <v>147</v>
      </c>
    </row>
    <row r="22" spans="1:5" x14ac:dyDescent="0.25">
      <c r="A22" s="9" t="s">
        <v>148</v>
      </c>
    </row>
    <row r="23" spans="1:5" x14ac:dyDescent="0.25">
      <c r="A23" s="9" t="s">
        <v>158</v>
      </c>
    </row>
    <row r="24" spans="1:5" x14ac:dyDescent="0.25">
      <c r="A24" s="9" t="s">
        <v>131</v>
      </c>
    </row>
    <row r="25" spans="1:5" x14ac:dyDescent="0.25">
      <c r="A25" s="14" t="s">
        <v>134</v>
      </c>
    </row>
    <row r="26" spans="1:5" x14ac:dyDescent="0.25">
      <c r="A26" s="9" t="s">
        <v>144</v>
      </c>
      <c r="B26" t="s">
        <v>166</v>
      </c>
      <c r="C26">
        <v>36</v>
      </c>
      <c r="E26" s="1" t="s">
        <v>189</v>
      </c>
    </row>
    <row r="27" spans="1:5" x14ac:dyDescent="0.25">
      <c r="A27" s="9" t="s">
        <v>149</v>
      </c>
      <c r="B27" t="s">
        <v>167</v>
      </c>
      <c r="C27">
        <v>45</v>
      </c>
      <c r="E27" s="1" t="s">
        <v>179</v>
      </c>
    </row>
    <row r="28" spans="1:5" x14ac:dyDescent="0.25">
      <c r="A28" s="9" t="s">
        <v>156</v>
      </c>
      <c r="B28" t="s">
        <v>168</v>
      </c>
      <c r="C28">
        <v>54</v>
      </c>
      <c r="E28" s="1" t="s">
        <v>180</v>
      </c>
    </row>
    <row r="29" spans="1:5" x14ac:dyDescent="0.25">
      <c r="A29" s="9" t="s">
        <v>155</v>
      </c>
      <c r="B29" t="s">
        <v>169</v>
      </c>
      <c r="C29">
        <v>72</v>
      </c>
      <c r="E29" s="1" t="s">
        <v>181</v>
      </c>
    </row>
    <row r="30" spans="1:5" x14ac:dyDescent="0.25">
      <c r="A30" s="9" t="s">
        <v>157</v>
      </c>
      <c r="B30" t="s">
        <v>170</v>
      </c>
      <c r="C30">
        <v>162</v>
      </c>
      <c r="E30" s="1" t="s">
        <v>182</v>
      </c>
    </row>
    <row r="31" spans="1:5" x14ac:dyDescent="0.25">
      <c r="A31" s="14" t="s">
        <v>159</v>
      </c>
      <c r="B31" t="s">
        <v>171</v>
      </c>
      <c r="C31">
        <v>234</v>
      </c>
      <c r="E31" s="1" t="s">
        <v>183</v>
      </c>
    </row>
    <row r="32" spans="1:5" x14ac:dyDescent="0.25">
      <c r="A32" s="9" t="s">
        <v>178</v>
      </c>
      <c r="E32" s="1" t="s">
        <v>184</v>
      </c>
    </row>
    <row r="33" spans="1:5" x14ac:dyDescent="0.25">
      <c r="A33" s="9" t="s">
        <v>176</v>
      </c>
      <c r="E33" s="1" t="s">
        <v>185</v>
      </c>
    </row>
    <row r="34" spans="1:5" x14ac:dyDescent="0.25">
      <c r="A34" s="9" t="s">
        <v>175</v>
      </c>
      <c r="E34" s="1" t="s">
        <v>186</v>
      </c>
    </row>
    <row r="35" spans="1:5" x14ac:dyDescent="0.25">
      <c r="A35" s="4" t="s">
        <v>177</v>
      </c>
      <c r="E35" s="1" t="s">
        <v>187</v>
      </c>
    </row>
    <row r="36" spans="1:5" x14ac:dyDescent="0.25">
      <c r="A36" s="9" t="s">
        <v>172</v>
      </c>
      <c r="E36" s="1" t="s">
        <v>188</v>
      </c>
    </row>
    <row r="37" spans="1:5" x14ac:dyDescent="0.25">
      <c r="A37" s="4" t="s">
        <v>327</v>
      </c>
    </row>
    <row r="38" spans="1:5" x14ac:dyDescent="0.25">
      <c r="A38" s="4" t="s">
        <v>328</v>
      </c>
    </row>
    <row r="39" spans="1:5" x14ac:dyDescent="0.25">
      <c r="A39" s="4" t="s">
        <v>326</v>
      </c>
    </row>
    <row r="41" spans="1:5" x14ac:dyDescent="0.25">
      <c r="A41" s="15" t="s">
        <v>173</v>
      </c>
    </row>
    <row r="42" spans="1:5" x14ac:dyDescent="0.25">
      <c r="A42" s="4" t="s">
        <v>160</v>
      </c>
    </row>
    <row r="43" spans="1:5" x14ac:dyDescent="0.25">
      <c r="A43" s="9" t="s">
        <v>161</v>
      </c>
    </row>
    <row r="44" spans="1:5" x14ac:dyDescent="0.25">
      <c r="A44" s="4" t="s">
        <v>132</v>
      </c>
    </row>
    <row r="46" spans="1:5" x14ac:dyDescent="0.25">
      <c r="A46" s="4" t="s">
        <v>165</v>
      </c>
    </row>
    <row r="48" spans="1:5" x14ac:dyDescent="0.25">
      <c r="A48" s="4" t="s">
        <v>135</v>
      </c>
    </row>
    <row r="50" spans="1:2" x14ac:dyDescent="0.25">
      <c r="A50" s="15" t="s">
        <v>145</v>
      </c>
    </row>
    <row r="52" spans="1:2" x14ac:dyDescent="0.25">
      <c r="A52" s="15" t="s">
        <v>146</v>
      </c>
      <c r="B52" t="s">
        <v>164</v>
      </c>
    </row>
    <row r="54" spans="1:2" x14ac:dyDescent="0.25">
      <c r="A54" s="4" t="s">
        <v>330</v>
      </c>
    </row>
    <row r="55" spans="1:2" x14ac:dyDescent="0.25">
      <c r="A55" s="4" t="s">
        <v>141</v>
      </c>
    </row>
    <row r="57" spans="1:2" x14ac:dyDescent="0.25">
      <c r="A57" s="28" t="s">
        <v>645</v>
      </c>
    </row>
    <row r="58" spans="1:2" x14ac:dyDescent="0.25">
      <c r="A58" s="28" t="s">
        <v>646</v>
      </c>
    </row>
    <row r="59" spans="1:2" x14ac:dyDescent="0.25">
      <c r="A59" s="28" t="s">
        <v>663</v>
      </c>
    </row>
    <row r="60" spans="1:2" x14ac:dyDescent="0.25">
      <c r="A60" s="28" t="s">
        <v>647</v>
      </c>
    </row>
    <row r="61" spans="1:2" x14ac:dyDescent="0.25">
      <c r="A61" s="28" t="s">
        <v>648</v>
      </c>
    </row>
    <row r="62" spans="1:2" x14ac:dyDescent="0.25">
      <c r="A62" s="28" t="s">
        <v>649</v>
      </c>
    </row>
    <row r="63" spans="1:2" x14ac:dyDescent="0.25">
      <c r="A63" s="28" t="s">
        <v>691</v>
      </c>
    </row>
    <row r="64" spans="1:2" x14ac:dyDescent="0.25">
      <c r="A64" s="28" t="s">
        <v>664</v>
      </c>
    </row>
    <row r="65" spans="1:1" x14ac:dyDescent="0.25">
      <c r="A65" s="28" t="s">
        <v>672</v>
      </c>
    </row>
    <row r="66" spans="1:1" x14ac:dyDescent="0.25">
      <c r="A66" s="28" t="s">
        <v>690</v>
      </c>
    </row>
    <row r="67" spans="1:1" x14ac:dyDescent="0.25">
      <c r="A67" s="28" t="s">
        <v>681</v>
      </c>
    </row>
    <row r="68" spans="1:1" x14ac:dyDescent="0.25">
      <c r="A68" s="28" t="s">
        <v>687</v>
      </c>
    </row>
    <row r="69" spans="1:1" x14ac:dyDescent="0.25">
      <c r="A69" s="28" t="s">
        <v>692</v>
      </c>
    </row>
    <row r="70" spans="1:1" x14ac:dyDescent="0.25">
      <c r="A70" s="28" t="s">
        <v>688</v>
      </c>
    </row>
    <row r="71" spans="1:1" x14ac:dyDescent="0.25">
      <c r="A71" s="28" t="s">
        <v>689</v>
      </c>
    </row>
    <row r="73" spans="1:1" x14ac:dyDescent="0.25">
      <c r="A73" s="28" t="s">
        <v>694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"/>
  <sheetViews>
    <sheetView workbookViewId="0">
      <selection activeCell="B6" sqref="B6"/>
    </sheetView>
  </sheetViews>
  <sheetFormatPr defaultRowHeight="13.2" x14ac:dyDescent="0.25"/>
  <sheetData>
    <row r="1" spans="1:5" x14ac:dyDescent="0.25">
      <c r="A1" s="2" t="s">
        <v>153</v>
      </c>
      <c r="B1" s="18" t="s">
        <v>154</v>
      </c>
      <c r="C1" s="2" t="s">
        <v>335</v>
      </c>
    </row>
    <row r="2" spans="1:5" x14ac:dyDescent="0.25">
      <c r="A2" t="s">
        <v>150</v>
      </c>
      <c r="B2" s="1">
        <v>5</v>
      </c>
      <c r="C2" t="s">
        <v>509</v>
      </c>
    </row>
    <row r="3" spans="1:5" x14ac:dyDescent="0.25">
      <c r="A3" t="s">
        <v>151</v>
      </c>
      <c r="B3" s="1">
        <v>10</v>
      </c>
      <c r="C3" t="s">
        <v>510</v>
      </c>
    </row>
    <row r="4" spans="1:5" x14ac:dyDescent="0.25">
      <c r="A4" t="s">
        <v>152</v>
      </c>
      <c r="B4" s="31" t="s">
        <v>704</v>
      </c>
      <c r="C4" t="s">
        <v>511</v>
      </c>
      <c r="E4" s="1"/>
    </row>
    <row r="5" spans="1:5" x14ac:dyDescent="0.25">
      <c r="A5" t="s">
        <v>546</v>
      </c>
      <c r="B5" s="31" t="s">
        <v>706</v>
      </c>
      <c r="C5" t="s">
        <v>547</v>
      </c>
      <c r="E5" s="1"/>
    </row>
    <row r="6" spans="1:5" x14ac:dyDescent="0.25">
      <c r="A6" t="s">
        <v>193</v>
      </c>
      <c r="B6" s="1" t="s">
        <v>542</v>
      </c>
      <c r="C6" t="s">
        <v>193</v>
      </c>
    </row>
    <row r="7" spans="1:5" x14ac:dyDescent="0.25">
      <c r="A7" t="s">
        <v>194</v>
      </c>
      <c r="B7" s="1" t="b">
        <v>1</v>
      </c>
      <c r="C7" t="s">
        <v>541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"/>
  <sheetViews>
    <sheetView workbookViewId="0">
      <selection activeCell="D2" sqref="D2"/>
    </sheetView>
  </sheetViews>
  <sheetFormatPr defaultColWidth="9.109375" defaultRowHeight="13.2" x14ac:dyDescent="0.25"/>
  <sheetData>
    <row r="1" spans="1:8" x14ac:dyDescent="0.25">
      <c r="A1" s="19" t="s">
        <v>0</v>
      </c>
      <c r="B1" s="19" t="s">
        <v>142</v>
      </c>
      <c r="C1" s="19" t="s">
        <v>143</v>
      </c>
      <c r="D1" s="19" t="s">
        <v>548</v>
      </c>
      <c r="E1" s="19" t="s">
        <v>549</v>
      </c>
      <c r="F1" s="19" t="s">
        <v>162</v>
      </c>
      <c r="G1" s="19" t="s">
        <v>163</v>
      </c>
      <c r="H1" s="18" t="s">
        <v>335</v>
      </c>
    </row>
    <row r="2" spans="1:8" x14ac:dyDescent="0.25">
      <c r="A2" t="s">
        <v>585</v>
      </c>
      <c r="B2">
        <v>52</v>
      </c>
      <c r="C2">
        <v>52</v>
      </c>
      <c r="D2">
        <v>6</v>
      </c>
      <c r="E2">
        <v>2</v>
      </c>
      <c r="F2">
        <v>26</v>
      </c>
      <c r="G2">
        <v>26</v>
      </c>
      <c r="H2" t="s">
        <v>586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workbookViewId="0">
      <selection activeCell="A9" sqref="A9"/>
    </sheetView>
  </sheetViews>
  <sheetFormatPr defaultColWidth="9.109375" defaultRowHeight="13.2" x14ac:dyDescent="0.25"/>
  <sheetData>
    <row r="1" spans="1:2" x14ac:dyDescent="0.25">
      <c r="A1" s="2" t="s">
        <v>0</v>
      </c>
      <c r="B1" s="2" t="s">
        <v>333</v>
      </c>
    </row>
    <row r="2" spans="1:2" x14ac:dyDescent="0.25">
      <c r="A2" t="s">
        <v>558</v>
      </c>
    </row>
    <row r="3" spans="1:2" x14ac:dyDescent="0.25">
      <c r="A3" t="s">
        <v>568</v>
      </c>
    </row>
    <row r="4" spans="1:2" x14ac:dyDescent="0.25">
      <c r="A4" t="s">
        <v>554</v>
      </c>
    </row>
    <row r="5" spans="1:2" x14ac:dyDescent="0.25">
      <c r="A5" t="s">
        <v>565</v>
      </c>
    </row>
    <row r="6" spans="1:2" x14ac:dyDescent="0.25">
      <c r="A6" s="28" t="s">
        <v>636</v>
      </c>
    </row>
    <row r="7" spans="1:2" x14ac:dyDescent="0.25">
      <c r="A7" s="28" t="s">
        <v>656</v>
      </c>
    </row>
    <row r="8" spans="1:2" x14ac:dyDescent="0.25">
      <c r="A8" s="28" t="s">
        <v>695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7"/>
  <sheetViews>
    <sheetView workbookViewId="0">
      <pane ySplit="1" topLeftCell="A2" activePane="bottomLeft" state="frozen"/>
      <selection pane="bottomLeft" activeCell="F5" sqref="F5"/>
    </sheetView>
  </sheetViews>
  <sheetFormatPr defaultColWidth="9.109375" defaultRowHeight="13.2" x14ac:dyDescent="0.25"/>
  <sheetData>
    <row r="1" spans="1:22" s="7" customFormat="1" x14ac:dyDescent="0.25">
      <c r="A1" s="11" t="s">
        <v>331</v>
      </c>
      <c r="B1" s="11" t="s">
        <v>0</v>
      </c>
      <c r="C1" s="11" t="s">
        <v>37</v>
      </c>
      <c r="D1" s="11" t="s">
        <v>66</v>
      </c>
      <c r="E1" s="11" t="s">
        <v>38</v>
      </c>
      <c r="F1" s="11" t="s">
        <v>39</v>
      </c>
      <c r="G1" s="11" t="s">
        <v>40</v>
      </c>
      <c r="H1" s="11" t="s">
        <v>41</v>
      </c>
      <c r="I1" s="11" t="s">
        <v>26</v>
      </c>
      <c r="J1" s="11" t="s">
        <v>27</v>
      </c>
      <c r="K1" s="11" t="s">
        <v>28</v>
      </c>
      <c r="L1" s="11" t="s">
        <v>70</v>
      </c>
      <c r="M1" s="11" t="s">
        <v>29</v>
      </c>
      <c r="N1" s="11" t="s">
        <v>707</v>
      </c>
      <c r="O1" s="11" t="s">
        <v>30</v>
      </c>
      <c r="P1" s="11" t="s">
        <v>31</v>
      </c>
      <c r="Q1" s="11" t="s">
        <v>32</v>
      </c>
      <c r="R1" s="11" t="s">
        <v>44</v>
      </c>
      <c r="S1" s="11" t="s">
        <v>123</v>
      </c>
      <c r="T1" s="11" t="s">
        <v>124</v>
      </c>
      <c r="U1" s="11" t="s">
        <v>125</v>
      </c>
      <c r="V1" s="11" t="s">
        <v>133</v>
      </c>
    </row>
    <row r="2" spans="1:22" x14ac:dyDescent="0.25">
      <c r="A2" t="s">
        <v>554</v>
      </c>
      <c r="B2" t="s">
        <v>550</v>
      </c>
      <c r="C2" t="s">
        <v>174</v>
      </c>
      <c r="D2" t="s">
        <v>544</v>
      </c>
      <c r="E2">
        <v>0</v>
      </c>
      <c r="F2">
        <v>0</v>
      </c>
      <c r="G2">
        <v>26</v>
      </c>
      <c r="H2">
        <v>26</v>
      </c>
    </row>
    <row r="3" spans="1:22" x14ac:dyDescent="0.25">
      <c r="A3" t="s">
        <v>554</v>
      </c>
      <c r="B3" t="s">
        <v>560</v>
      </c>
      <c r="C3" t="s">
        <v>33</v>
      </c>
      <c r="D3" t="s">
        <v>43</v>
      </c>
      <c r="E3">
        <v>0</v>
      </c>
      <c r="F3">
        <v>10</v>
      </c>
      <c r="G3">
        <v>26</v>
      </c>
      <c r="H3">
        <v>6</v>
      </c>
      <c r="R3" t="b">
        <v>1</v>
      </c>
    </row>
    <row r="4" spans="1:22" x14ac:dyDescent="0.25">
      <c r="A4" t="s">
        <v>554</v>
      </c>
      <c r="B4" t="s">
        <v>24</v>
      </c>
      <c r="C4" t="s">
        <v>33</v>
      </c>
      <c r="D4" t="s">
        <v>544</v>
      </c>
      <c r="E4">
        <v>0</v>
      </c>
      <c r="F4">
        <v>1</v>
      </c>
      <c r="G4">
        <v>6</v>
      </c>
      <c r="H4">
        <v>18</v>
      </c>
      <c r="I4" t="s">
        <v>671</v>
      </c>
      <c r="K4" t="b">
        <v>1</v>
      </c>
      <c r="O4" t="s">
        <v>543</v>
      </c>
      <c r="P4" t="s">
        <v>553</v>
      </c>
      <c r="Q4">
        <v>1</v>
      </c>
      <c r="R4" t="b">
        <v>1</v>
      </c>
    </row>
    <row r="5" spans="1:22" x14ac:dyDescent="0.25">
      <c r="A5" t="s">
        <v>554</v>
      </c>
      <c r="B5" t="s">
        <v>551</v>
      </c>
      <c r="C5" t="s">
        <v>174</v>
      </c>
      <c r="D5" t="s">
        <v>544</v>
      </c>
      <c r="E5">
        <v>6</v>
      </c>
      <c r="F5">
        <v>2</v>
      </c>
      <c r="G5">
        <v>20</v>
      </c>
      <c r="H5">
        <v>20</v>
      </c>
    </row>
    <row r="6" spans="1:22" x14ac:dyDescent="0.25">
      <c r="A6" t="s">
        <v>554</v>
      </c>
      <c r="B6" t="s">
        <v>38</v>
      </c>
      <c r="C6" t="s">
        <v>33</v>
      </c>
      <c r="D6" t="s">
        <v>544</v>
      </c>
      <c r="E6">
        <v>3</v>
      </c>
      <c r="F6">
        <v>18</v>
      </c>
      <c r="G6">
        <v>6</v>
      </c>
      <c r="H6">
        <v>8</v>
      </c>
      <c r="K6" t="b">
        <v>1</v>
      </c>
      <c r="Q6">
        <v>1</v>
      </c>
    </row>
    <row r="7" spans="1:22" x14ac:dyDescent="0.25">
      <c r="A7" t="s">
        <v>554</v>
      </c>
      <c r="B7" t="s">
        <v>552</v>
      </c>
      <c r="C7" t="s">
        <v>33</v>
      </c>
      <c r="D7" t="s">
        <v>544</v>
      </c>
      <c r="E7">
        <v>11</v>
      </c>
      <c r="F7">
        <v>18</v>
      </c>
      <c r="G7">
        <v>6</v>
      </c>
      <c r="H7">
        <v>8</v>
      </c>
      <c r="K7" t="b">
        <v>1</v>
      </c>
      <c r="Q7">
        <v>1</v>
      </c>
    </row>
    <row r="8" spans="1:22" x14ac:dyDescent="0.25">
      <c r="A8" t="s">
        <v>554</v>
      </c>
      <c r="B8" t="s">
        <v>553</v>
      </c>
      <c r="C8" t="s">
        <v>33</v>
      </c>
      <c r="D8" t="s">
        <v>544</v>
      </c>
      <c r="E8">
        <v>19</v>
      </c>
      <c r="F8">
        <v>18</v>
      </c>
      <c r="G8">
        <v>6</v>
      </c>
      <c r="H8">
        <v>8</v>
      </c>
      <c r="K8" t="b">
        <v>1</v>
      </c>
      <c r="Q8">
        <v>1</v>
      </c>
    </row>
    <row r="9" spans="1:22" x14ac:dyDescent="0.25">
      <c r="A9" t="s">
        <v>568</v>
      </c>
      <c r="B9" t="s">
        <v>24</v>
      </c>
      <c r="C9" t="s">
        <v>33</v>
      </c>
      <c r="D9" t="s">
        <v>544</v>
      </c>
      <c r="E9">
        <v>0</v>
      </c>
      <c r="F9">
        <v>0</v>
      </c>
      <c r="G9">
        <v>26</v>
      </c>
      <c r="H9">
        <v>6</v>
      </c>
      <c r="I9" t="s">
        <v>671</v>
      </c>
      <c r="K9" t="b">
        <v>1</v>
      </c>
      <c r="P9" t="s">
        <v>553</v>
      </c>
      <c r="R9" t="b">
        <v>1</v>
      </c>
    </row>
    <row r="10" spans="1:22" x14ac:dyDescent="0.25">
      <c r="A10" t="s">
        <v>568</v>
      </c>
      <c r="B10" t="s">
        <v>560</v>
      </c>
      <c r="C10" t="s">
        <v>33</v>
      </c>
      <c r="D10" t="s">
        <v>43</v>
      </c>
      <c r="E10">
        <v>0</v>
      </c>
      <c r="F10">
        <v>10</v>
      </c>
      <c r="G10">
        <v>26</v>
      </c>
      <c r="H10">
        <v>6</v>
      </c>
      <c r="R10" t="b">
        <v>1</v>
      </c>
    </row>
    <row r="11" spans="1:22" x14ac:dyDescent="0.25">
      <c r="A11" t="s">
        <v>568</v>
      </c>
      <c r="B11" t="s">
        <v>561</v>
      </c>
      <c r="C11" t="s">
        <v>33</v>
      </c>
      <c r="D11" t="s">
        <v>544</v>
      </c>
      <c r="E11">
        <v>2</v>
      </c>
      <c r="F11">
        <v>6</v>
      </c>
      <c r="G11">
        <v>3</v>
      </c>
      <c r="H11">
        <v>3</v>
      </c>
      <c r="K11" t="b">
        <v>1</v>
      </c>
      <c r="Q11">
        <v>1</v>
      </c>
    </row>
    <row r="12" spans="1:22" x14ac:dyDescent="0.25">
      <c r="A12" t="s">
        <v>568</v>
      </c>
      <c r="B12" t="s">
        <v>503</v>
      </c>
      <c r="C12" t="s">
        <v>174</v>
      </c>
      <c r="D12" t="s">
        <v>544</v>
      </c>
      <c r="E12">
        <v>8</v>
      </c>
      <c r="F12">
        <v>6</v>
      </c>
      <c r="G12">
        <v>15</v>
      </c>
      <c r="H12">
        <v>17</v>
      </c>
    </row>
    <row r="13" spans="1:22" x14ac:dyDescent="0.25">
      <c r="A13" t="s">
        <v>568</v>
      </c>
      <c r="B13" t="s">
        <v>562</v>
      </c>
      <c r="C13" t="s">
        <v>174</v>
      </c>
      <c r="D13" t="s">
        <v>544</v>
      </c>
      <c r="E13">
        <v>2</v>
      </c>
      <c r="F13">
        <v>10</v>
      </c>
      <c r="G13">
        <v>3</v>
      </c>
      <c r="H13">
        <v>3</v>
      </c>
    </row>
    <row r="14" spans="1:22" x14ac:dyDescent="0.25">
      <c r="A14" t="s">
        <v>568</v>
      </c>
      <c r="B14" t="s">
        <v>563</v>
      </c>
      <c r="C14" t="s">
        <v>33</v>
      </c>
      <c r="D14" t="s">
        <v>544</v>
      </c>
      <c r="E14">
        <v>2</v>
      </c>
      <c r="F14">
        <v>10</v>
      </c>
      <c r="G14">
        <v>6</v>
      </c>
      <c r="H14">
        <v>6</v>
      </c>
      <c r="K14" t="b">
        <v>1</v>
      </c>
      <c r="Q14">
        <v>1</v>
      </c>
    </row>
    <row r="15" spans="1:22" x14ac:dyDescent="0.25">
      <c r="A15" t="s">
        <v>568</v>
      </c>
      <c r="B15" t="s">
        <v>588</v>
      </c>
      <c r="C15" t="s">
        <v>33</v>
      </c>
      <c r="D15" t="s">
        <v>42</v>
      </c>
      <c r="E15">
        <v>2</v>
      </c>
      <c r="F15">
        <v>18</v>
      </c>
      <c r="G15">
        <v>7</v>
      </c>
      <c r="H15">
        <v>8</v>
      </c>
      <c r="K15" t="b">
        <v>1</v>
      </c>
      <c r="Q15">
        <v>1</v>
      </c>
    </row>
    <row r="16" spans="1:22" x14ac:dyDescent="0.25">
      <c r="A16" t="s">
        <v>568</v>
      </c>
      <c r="B16" t="s">
        <v>589</v>
      </c>
      <c r="C16" t="s">
        <v>33</v>
      </c>
      <c r="D16" t="s">
        <v>42</v>
      </c>
      <c r="E16">
        <v>14</v>
      </c>
      <c r="F16">
        <v>18</v>
      </c>
      <c r="G16">
        <v>6</v>
      </c>
      <c r="H16">
        <v>8</v>
      </c>
      <c r="K16" t="b">
        <v>1</v>
      </c>
      <c r="Q16">
        <v>1</v>
      </c>
    </row>
    <row r="17" spans="1:18" x14ac:dyDescent="0.25">
      <c r="A17" t="s">
        <v>568</v>
      </c>
      <c r="B17" t="s">
        <v>590</v>
      </c>
      <c r="C17" t="s">
        <v>33</v>
      </c>
      <c r="D17" t="s">
        <v>42</v>
      </c>
      <c r="E17">
        <v>19</v>
      </c>
      <c r="F17">
        <v>18</v>
      </c>
      <c r="G17">
        <v>7</v>
      </c>
      <c r="H17">
        <v>8</v>
      </c>
      <c r="K17" t="b">
        <v>1</v>
      </c>
      <c r="Q17">
        <v>1</v>
      </c>
    </row>
    <row r="18" spans="1:18" x14ac:dyDescent="0.25">
      <c r="A18" t="s">
        <v>568</v>
      </c>
      <c r="B18" t="s">
        <v>564</v>
      </c>
      <c r="C18" t="s">
        <v>33</v>
      </c>
      <c r="D18" t="s">
        <v>42</v>
      </c>
      <c r="E18">
        <v>20</v>
      </c>
      <c r="F18">
        <v>8</v>
      </c>
      <c r="G18">
        <v>6</v>
      </c>
      <c r="H18">
        <v>7</v>
      </c>
      <c r="K18" t="b">
        <v>1</v>
      </c>
      <c r="Q18">
        <v>1</v>
      </c>
    </row>
    <row r="19" spans="1:18" x14ac:dyDescent="0.25">
      <c r="A19" t="s">
        <v>568</v>
      </c>
      <c r="B19" t="s">
        <v>591</v>
      </c>
      <c r="C19" t="s">
        <v>33</v>
      </c>
      <c r="D19" t="s">
        <v>43</v>
      </c>
      <c r="E19">
        <v>2</v>
      </c>
      <c r="F19">
        <v>18</v>
      </c>
      <c r="G19">
        <v>7</v>
      </c>
      <c r="H19">
        <v>8</v>
      </c>
      <c r="K19" t="b">
        <v>1</v>
      </c>
      <c r="Q19">
        <v>1</v>
      </c>
    </row>
    <row r="20" spans="1:18" x14ac:dyDescent="0.25">
      <c r="A20" t="s">
        <v>568</v>
      </c>
      <c r="B20" t="s">
        <v>592</v>
      </c>
      <c r="C20" t="s">
        <v>33</v>
      </c>
      <c r="D20" t="s">
        <v>43</v>
      </c>
      <c r="E20">
        <v>14</v>
      </c>
      <c r="F20">
        <v>18</v>
      </c>
      <c r="G20">
        <v>6</v>
      </c>
      <c r="H20">
        <v>8</v>
      </c>
      <c r="K20" t="b">
        <v>1</v>
      </c>
      <c r="Q20">
        <v>1</v>
      </c>
    </row>
    <row r="21" spans="1:18" x14ac:dyDescent="0.25">
      <c r="A21" t="s">
        <v>568</v>
      </c>
      <c r="B21" t="s">
        <v>593</v>
      </c>
      <c r="C21" t="s">
        <v>33</v>
      </c>
      <c r="D21" t="s">
        <v>43</v>
      </c>
      <c r="E21">
        <v>19</v>
      </c>
      <c r="F21">
        <v>18</v>
      </c>
      <c r="G21">
        <v>7</v>
      </c>
      <c r="H21">
        <v>8</v>
      </c>
      <c r="K21" t="b">
        <v>1</v>
      </c>
      <c r="Q21">
        <v>1</v>
      </c>
    </row>
    <row r="22" spans="1:18" x14ac:dyDescent="0.25">
      <c r="A22" t="s">
        <v>558</v>
      </c>
      <c r="B22" t="s">
        <v>550</v>
      </c>
      <c r="C22" s="28" t="s">
        <v>174</v>
      </c>
      <c r="D22" s="28" t="s">
        <v>42</v>
      </c>
      <c r="E22">
        <v>0</v>
      </c>
      <c r="F22">
        <v>0</v>
      </c>
      <c r="G22">
        <v>26</v>
      </c>
      <c r="H22">
        <v>26</v>
      </c>
      <c r="I22" s="28"/>
      <c r="K22" t="b">
        <v>1</v>
      </c>
      <c r="Q22">
        <v>1</v>
      </c>
    </row>
    <row r="23" spans="1:18" x14ac:dyDescent="0.25">
      <c r="A23" t="s">
        <v>558</v>
      </c>
      <c r="B23" s="28" t="s">
        <v>33</v>
      </c>
      <c r="C23" s="28" t="s">
        <v>33</v>
      </c>
      <c r="D23" s="28" t="s">
        <v>42</v>
      </c>
      <c r="E23">
        <v>5</v>
      </c>
      <c r="F23">
        <v>4</v>
      </c>
      <c r="G23">
        <v>20</v>
      </c>
      <c r="H23">
        <v>17</v>
      </c>
      <c r="I23" s="28" t="s">
        <v>699</v>
      </c>
      <c r="J23" s="28">
        <v>80</v>
      </c>
      <c r="K23" t="b">
        <v>1</v>
      </c>
      <c r="Q23">
        <v>1</v>
      </c>
    </row>
    <row r="24" spans="1:18" x14ac:dyDescent="0.25">
      <c r="A24" t="s">
        <v>558</v>
      </c>
      <c r="B24" t="s">
        <v>24</v>
      </c>
      <c r="C24" t="s">
        <v>33</v>
      </c>
      <c r="D24" t="s">
        <v>42</v>
      </c>
      <c r="E24">
        <v>0</v>
      </c>
      <c r="F24">
        <v>0</v>
      </c>
      <c r="G24">
        <v>6</v>
      </c>
      <c r="H24">
        <v>19</v>
      </c>
      <c r="I24" t="s">
        <v>671</v>
      </c>
      <c r="K24" t="b">
        <v>1</v>
      </c>
      <c r="O24" t="s">
        <v>543</v>
      </c>
      <c r="P24" s="28" t="s">
        <v>698</v>
      </c>
      <c r="R24" t="b">
        <v>1</v>
      </c>
    </row>
    <row r="25" spans="1:18" x14ac:dyDescent="0.25">
      <c r="A25" t="s">
        <v>558</v>
      </c>
      <c r="B25" t="s">
        <v>38</v>
      </c>
      <c r="C25" t="s">
        <v>33</v>
      </c>
      <c r="D25" t="s">
        <v>42</v>
      </c>
      <c r="E25">
        <v>3</v>
      </c>
      <c r="F25">
        <v>18</v>
      </c>
      <c r="G25">
        <v>6</v>
      </c>
      <c r="H25">
        <v>8</v>
      </c>
      <c r="K25" t="b">
        <v>1</v>
      </c>
      <c r="N25" t="b">
        <v>1</v>
      </c>
      <c r="Q25">
        <v>1</v>
      </c>
      <c r="R25" t="b">
        <v>1</v>
      </c>
    </row>
    <row r="26" spans="1:18" x14ac:dyDescent="0.25">
      <c r="A26" t="s">
        <v>558</v>
      </c>
      <c r="B26" t="s">
        <v>553</v>
      </c>
      <c r="C26" t="s">
        <v>33</v>
      </c>
      <c r="D26" t="s">
        <v>42</v>
      </c>
      <c r="E26">
        <v>19</v>
      </c>
      <c r="F26">
        <v>18</v>
      </c>
      <c r="G26">
        <v>6</v>
      </c>
      <c r="H26">
        <v>8</v>
      </c>
      <c r="K26" t="b">
        <v>1</v>
      </c>
      <c r="Q26">
        <v>1</v>
      </c>
      <c r="R26" t="b">
        <v>1</v>
      </c>
    </row>
    <row r="27" spans="1:18" x14ac:dyDescent="0.25">
      <c r="A27" t="s">
        <v>565</v>
      </c>
      <c r="B27" t="s">
        <v>24</v>
      </c>
      <c r="C27" t="s">
        <v>33</v>
      </c>
      <c r="D27" t="s">
        <v>544</v>
      </c>
      <c r="E27">
        <v>0</v>
      </c>
      <c r="F27">
        <v>0</v>
      </c>
      <c r="G27">
        <v>26</v>
      </c>
      <c r="H27">
        <v>6</v>
      </c>
      <c r="I27" t="s">
        <v>671</v>
      </c>
      <c r="K27" t="b">
        <v>1</v>
      </c>
      <c r="P27" t="s">
        <v>553</v>
      </c>
      <c r="R27" t="b">
        <v>1</v>
      </c>
    </row>
    <row r="28" spans="1:18" x14ac:dyDescent="0.25">
      <c r="A28" t="s">
        <v>565</v>
      </c>
      <c r="B28" t="s">
        <v>560</v>
      </c>
      <c r="C28" t="s">
        <v>33</v>
      </c>
      <c r="D28" t="s">
        <v>43</v>
      </c>
      <c r="E28">
        <v>0</v>
      </c>
      <c r="F28">
        <v>10</v>
      </c>
      <c r="G28">
        <v>26</v>
      </c>
      <c r="H28">
        <v>6</v>
      </c>
      <c r="R28" t="b">
        <v>1</v>
      </c>
    </row>
    <row r="29" spans="1:18" x14ac:dyDescent="0.25">
      <c r="A29" t="s">
        <v>565</v>
      </c>
      <c r="B29" t="s">
        <v>561</v>
      </c>
      <c r="C29" t="s">
        <v>33</v>
      </c>
      <c r="D29" t="s">
        <v>544</v>
      </c>
      <c r="E29">
        <v>2</v>
      </c>
      <c r="F29">
        <v>6</v>
      </c>
      <c r="G29">
        <v>3</v>
      </c>
      <c r="H29">
        <v>3</v>
      </c>
      <c r="K29" t="b">
        <v>1</v>
      </c>
      <c r="Q29">
        <v>1</v>
      </c>
    </row>
    <row r="30" spans="1:18" x14ac:dyDescent="0.25">
      <c r="A30" t="s">
        <v>565</v>
      </c>
      <c r="B30" t="s">
        <v>503</v>
      </c>
      <c r="C30" t="s">
        <v>174</v>
      </c>
      <c r="D30" t="s">
        <v>544</v>
      </c>
      <c r="E30">
        <v>6</v>
      </c>
      <c r="F30">
        <v>5</v>
      </c>
      <c r="G30">
        <v>15</v>
      </c>
      <c r="H30">
        <v>17</v>
      </c>
    </row>
    <row r="31" spans="1:18" x14ac:dyDescent="0.25">
      <c r="A31" t="s">
        <v>565</v>
      </c>
      <c r="B31" t="s">
        <v>562</v>
      </c>
      <c r="C31" t="s">
        <v>174</v>
      </c>
      <c r="D31" t="s">
        <v>544</v>
      </c>
      <c r="E31">
        <v>2</v>
      </c>
      <c r="F31">
        <v>10</v>
      </c>
      <c r="G31">
        <v>3</v>
      </c>
      <c r="H31">
        <v>3</v>
      </c>
    </row>
    <row r="32" spans="1:18" x14ac:dyDescent="0.25">
      <c r="A32" t="s">
        <v>565</v>
      </c>
      <c r="B32" t="s">
        <v>563</v>
      </c>
      <c r="C32" t="s">
        <v>33</v>
      </c>
      <c r="D32" t="s">
        <v>544</v>
      </c>
      <c r="E32">
        <v>2</v>
      </c>
      <c r="F32">
        <v>7</v>
      </c>
      <c r="G32">
        <v>6</v>
      </c>
      <c r="H32">
        <v>7</v>
      </c>
      <c r="K32" t="b">
        <v>1</v>
      </c>
      <c r="Q32">
        <v>1</v>
      </c>
    </row>
    <row r="33" spans="1:18" x14ac:dyDescent="0.25">
      <c r="A33" t="s">
        <v>565</v>
      </c>
      <c r="B33" t="s">
        <v>588</v>
      </c>
      <c r="C33" t="s">
        <v>33</v>
      </c>
      <c r="D33" t="s">
        <v>42</v>
      </c>
      <c r="E33">
        <v>2</v>
      </c>
      <c r="F33">
        <v>18</v>
      </c>
      <c r="G33">
        <v>7</v>
      </c>
      <c r="H33">
        <v>8</v>
      </c>
      <c r="K33" t="b">
        <v>1</v>
      </c>
      <c r="Q33">
        <v>1</v>
      </c>
    </row>
    <row r="34" spans="1:18" x14ac:dyDescent="0.25">
      <c r="A34" t="s">
        <v>565</v>
      </c>
      <c r="B34" t="s">
        <v>589</v>
      </c>
      <c r="C34" t="s">
        <v>33</v>
      </c>
      <c r="D34" t="s">
        <v>42</v>
      </c>
      <c r="E34">
        <v>11</v>
      </c>
      <c r="F34">
        <v>18</v>
      </c>
      <c r="G34">
        <v>6</v>
      </c>
      <c r="H34">
        <v>8</v>
      </c>
      <c r="K34" t="b">
        <v>1</v>
      </c>
      <c r="Q34">
        <v>1</v>
      </c>
    </row>
    <row r="35" spans="1:18" x14ac:dyDescent="0.25">
      <c r="A35" t="s">
        <v>565</v>
      </c>
      <c r="B35" t="s">
        <v>590</v>
      </c>
      <c r="C35" t="s">
        <v>33</v>
      </c>
      <c r="D35" t="s">
        <v>42</v>
      </c>
      <c r="E35">
        <v>18</v>
      </c>
      <c r="F35">
        <v>18</v>
      </c>
      <c r="G35">
        <v>7</v>
      </c>
      <c r="H35">
        <v>8</v>
      </c>
      <c r="K35" t="b">
        <v>1</v>
      </c>
      <c r="Q35">
        <v>1</v>
      </c>
    </row>
    <row r="36" spans="1:18" x14ac:dyDescent="0.25">
      <c r="A36" t="s">
        <v>565</v>
      </c>
      <c r="B36" t="s">
        <v>564</v>
      </c>
      <c r="C36" t="s">
        <v>33</v>
      </c>
      <c r="D36" t="s">
        <v>42</v>
      </c>
      <c r="E36">
        <v>20</v>
      </c>
      <c r="F36">
        <v>7</v>
      </c>
      <c r="G36">
        <v>6</v>
      </c>
      <c r="H36">
        <v>7</v>
      </c>
      <c r="K36" t="b">
        <v>1</v>
      </c>
      <c r="Q36">
        <v>1</v>
      </c>
    </row>
    <row r="37" spans="1:18" x14ac:dyDescent="0.25">
      <c r="A37" t="s">
        <v>565</v>
      </c>
      <c r="B37" t="s">
        <v>591</v>
      </c>
      <c r="C37" t="s">
        <v>33</v>
      </c>
      <c r="D37" t="s">
        <v>43</v>
      </c>
      <c r="E37">
        <v>2</v>
      </c>
      <c r="F37">
        <v>18</v>
      </c>
      <c r="G37">
        <v>7</v>
      </c>
      <c r="H37">
        <v>8</v>
      </c>
      <c r="K37" t="b">
        <v>1</v>
      </c>
      <c r="Q37">
        <v>1</v>
      </c>
    </row>
    <row r="38" spans="1:18" x14ac:dyDescent="0.25">
      <c r="A38" t="s">
        <v>565</v>
      </c>
      <c r="B38" t="s">
        <v>592</v>
      </c>
      <c r="C38" t="s">
        <v>33</v>
      </c>
      <c r="D38" t="s">
        <v>43</v>
      </c>
      <c r="E38">
        <v>11</v>
      </c>
      <c r="F38">
        <v>18</v>
      </c>
      <c r="G38">
        <v>6</v>
      </c>
      <c r="H38">
        <v>8</v>
      </c>
      <c r="K38" t="b">
        <v>1</v>
      </c>
      <c r="Q38">
        <v>1</v>
      </c>
    </row>
    <row r="39" spans="1:18" x14ac:dyDescent="0.25">
      <c r="A39" t="s">
        <v>565</v>
      </c>
      <c r="B39" t="s">
        <v>593</v>
      </c>
      <c r="C39" t="s">
        <v>33</v>
      </c>
      <c r="D39" t="s">
        <v>43</v>
      </c>
      <c r="E39">
        <v>18</v>
      </c>
      <c r="F39">
        <v>18</v>
      </c>
      <c r="G39">
        <v>7</v>
      </c>
      <c r="H39">
        <v>8</v>
      </c>
      <c r="K39" t="b">
        <v>1</v>
      </c>
      <c r="Q39">
        <v>1</v>
      </c>
    </row>
    <row r="40" spans="1:18" x14ac:dyDescent="0.25">
      <c r="A40" s="29" t="s">
        <v>636</v>
      </c>
      <c r="B40" s="29" t="s">
        <v>39</v>
      </c>
      <c r="C40" s="29" t="s">
        <v>33</v>
      </c>
      <c r="D40" s="29" t="s">
        <v>42</v>
      </c>
      <c r="E40">
        <v>0</v>
      </c>
      <c r="F40">
        <v>0</v>
      </c>
      <c r="G40">
        <v>26</v>
      </c>
      <c r="H40">
        <v>13</v>
      </c>
      <c r="R40" t="b">
        <v>1</v>
      </c>
    </row>
    <row r="41" spans="1:18" x14ac:dyDescent="0.25">
      <c r="A41" s="29" t="s">
        <v>636</v>
      </c>
      <c r="B41" s="29" t="s">
        <v>637</v>
      </c>
      <c r="C41" s="29" t="s">
        <v>33</v>
      </c>
      <c r="D41" s="29" t="s">
        <v>42</v>
      </c>
      <c r="E41">
        <v>0</v>
      </c>
      <c r="F41">
        <v>13</v>
      </c>
      <c r="G41">
        <v>26</v>
      </c>
      <c r="H41">
        <v>13</v>
      </c>
    </row>
    <row r="42" spans="1:18" x14ac:dyDescent="0.25">
      <c r="A42" t="s">
        <v>656</v>
      </c>
      <c r="B42" t="s">
        <v>24</v>
      </c>
      <c r="C42" t="s">
        <v>33</v>
      </c>
      <c r="D42" t="s">
        <v>544</v>
      </c>
      <c r="E42">
        <v>8</v>
      </c>
      <c r="F42">
        <v>0</v>
      </c>
      <c r="G42">
        <v>18</v>
      </c>
      <c r="H42">
        <v>6</v>
      </c>
      <c r="I42" t="s">
        <v>671</v>
      </c>
      <c r="K42" t="b">
        <v>1</v>
      </c>
      <c r="P42" t="s">
        <v>553</v>
      </c>
      <c r="R42" t="b">
        <v>1</v>
      </c>
    </row>
    <row r="43" spans="1:18" x14ac:dyDescent="0.25">
      <c r="A43" t="s">
        <v>656</v>
      </c>
      <c r="B43" t="s">
        <v>560</v>
      </c>
      <c r="C43" t="s">
        <v>33</v>
      </c>
      <c r="D43" t="s">
        <v>43</v>
      </c>
      <c r="E43">
        <v>0</v>
      </c>
      <c r="F43">
        <v>10</v>
      </c>
      <c r="G43">
        <v>26</v>
      </c>
      <c r="H43">
        <v>6</v>
      </c>
      <c r="R43" t="b">
        <v>1</v>
      </c>
    </row>
    <row r="44" spans="1:18" x14ac:dyDescent="0.25">
      <c r="A44" t="s">
        <v>656</v>
      </c>
      <c r="B44" t="s">
        <v>561</v>
      </c>
      <c r="C44" t="s">
        <v>33</v>
      </c>
      <c r="D44" t="s">
        <v>544</v>
      </c>
      <c r="E44">
        <v>2</v>
      </c>
      <c r="F44">
        <v>6</v>
      </c>
      <c r="G44">
        <v>3</v>
      </c>
      <c r="H44">
        <v>3</v>
      </c>
      <c r="K44" t="b">
        <v>1</v>
      </c>
      <c r="Q44">
        <v>1</v>
      </c>
    </row>
    <row r="45" spans="1:18" x14ac:dyDescent="0.25">
      <c r="A45" t="s">
        <v>656</v>
      </c>
      <c r="B45" t="s">
        <v>503</v>
      </c>
      <c r="C45" t="s">
        <v>174</v>
      </c>
      <c r="D45" t="s">
        <v>544</v>
      </c>
      <c r="E45">
        <v>3</v>
      </c>
      <c r="F45">
        <v>7</v>
      </c>
      <c r="G45">
        <v>20</v>
      </c>
      <c r="H45">
        <v>12</v>
      </c>
    </row>
    <row r="46" spans="1:18" x14ac:dyDescent="0.25">
      <c r="A46" t="s">
        <v>656</v>
      </c>
      <c r="B46" t="s">
        <v>562</v>
      </c>
      <c r="C46" t="s">
        <v>174</v>
      </c>
      <c r="D46" t="s">
        <v>544</v>
      </c>
      <c r="E46">
        <v>2</v>
      </c>
      <c r="F46">
        <v>10</v>
      </c>
      <c r="G46">
        <v>3</v>
      </c>
      <c r="H46">
        <v>3</v>
      </c>
    </row>
    <row r="47" spans="1:18" x14ac:dyDescent="0.25">
      <c r="A47" t="s">
        <v>656</v>
      </c>
      <c r="B47" t="s">
        <v>563</v>
      </c>
      <c r="C47" t="s">
        <v>33</v>
      </c>
      <c r="D47" t="s">
        <v>544</v>
      </c>
      <c r="E47">
        <v>2</v>
      </c>
      <c r="F47">
        <v>10</v>
      </c>
      <c r="G47">
        <v>6</v>
      </c>
      <c r="H47">
        <v>6</v>
      </c>
      <c r="K47" t="b">
        <v>1</v>
      </c>
      <c r="Q47">
        <v>1</v>
      </c>
    </row>
    <row r="48" spans="1:18" x14ac:dyDescent="0.25">
      <c r="A48" t="s">
        <v>656</v>
      </c>
      <c r="B48" t="s">
        <v>588</v>
      </c>
      <c r="C48" t="s">
        <v>33</v>
      </c>
      <c r="D48" t="s">
        <v>42</v>
      </c>
      <c r="E48">
        <v>2</v>
      </c>
      <c r="F48">
        <v>18</v>
      </c>
      <c r="G48">
        <v>8</v>
      </c>
      <c r="H48">
        <v>7</v>
      </c>
      <c r="K48" t="b">
        <v>1</v>
      </c>
      <c r="Q48">
        <v>1</v>
      </c>
    </row>
    <row r="49" spans="1:18" x14ac:dyDescent="0.25">
      <c r="A49" t="s">
        <v>656</v>
      </c>
      <c r="B49" t="s">
        <v>589</v>
      </c>
      <c r="C49" t="s">
        <v>33</v>
      </c>
      <c r="D49" t="s">
        <v>42</v>
      </c>
      <c r="E49">
        <v>11</v>
      </c>
      <c r="F49">
        <v>18</v>
      </c>
      <c r="G49">
        <v>6</v>
      </c>
      <c r="H49">
        <v>8</v>
      </c>
      <c r="K49" t="b">
        <v>1</v>
      </c>
      <c r="Q49">
        <v>1</v>
      </c>
    </row>
    <row r="50" spans="1:18" x14ac:dyDescent="0.25">
      <c r="A50" t="s">
        <v>656</v>
      </c>
      <c r="B50" t="s">
        <v>590</v>
      </c>
      <c r="C50" t="s">
        <v>33</v>
      </c>
      <c r="D50" t="s">
        <v>42</v>
      </c>
      <c r="E50">
        <v>18</v>
      </c>
      <c r="F50">
        <v>18</v>
      </c>
      <c r="G50">
        <v>7</v>
      </c>
      <c r="H50">
        <v>8</v>
      </c>
      <c r="K50" t="b">
        <v>1</v>
      </c>
      <c r="Q50">
        <v>1</v>
      </c>
    </row>
    <row r="51" spans="1:18" x14ac:dyDescent="0.25">
      <c r="A51" t="s">
        <v>656</v>
      </c>
      <c r="B51" t="s">
        <v>564</v>
      </c>
      <c r="C51" t="s">
        <v>33</v>
      </c>
      <c r="D51" t="s">
        <v>42</v>
      </c>
      <c r="E51">
        <v>0</v>
      </c>
      <c r="F51">
        <v>0</v>
      </c>
      <c r="G51">
        <v>8</v>
      </c>
      <c r="H51">
        <v>5</v>
      </c>
      <c r="K51" t="b">
        <v>1</v>
      </c>
      <c r="Q51">
        <v>1</v>
      </c>
    </row>
    <row r="52" spans="1:18" x14ac:dyDescent="0.25">
      <c r="A52" t="s">
        <v>656</v>
      </c>
      <c r="B52" t="s">
        <v>591</v>
      </c>
      <c r="C52" t="s">
        <v>33</v>
      </c>
      <c r="D52" t="s">
        <v>43</v>
      </c>
      <c r="E52">
        <v>2</v>
      </c>
      <c r="F52">
        <v>18</v>
      </c>
      <c r="G52">
        <v>7</v>
      </c>
      <c r="H52">
        <v>8</v>
      </c>
      <c r="K52" t="b">
        <v>1</v>
      </c>
      <c r="Q52">
        <v>1</v>
      </c>
    </row>
    <row r="53" spans="1:18" x14ac:dyDescent="0.25">
      <c r="A53" t="s">
        <v>656</v>
      </c>
      <c r="B53" t="s">
        <v>592</v>
      </c>
      <c r="C53" t="s">
        <v>33</v>
      </c>
      <c r="D53" t="s">
        <v>43</v>
      </c>
      <c r="E53">
        <v>11</v>
      </c>
      <c r="F53">
        <v>18</v>
      </c>
      <c r="G53">
        <v>6</v>
      </c>
      <c r="H53">
        <v>8</v>
      </c>
      <c r="K53" t="b">
        <v>1</v>
      </c>
      <c r="Q53">
        <v>1</v>
      </c>
    </row>
    <row r="54" spans="1:18" x14ac:dyDescent="0.25">
      <c r="A54" t="s">
        <v>656</v>
      </c>
      <c r="B54" t="s">
        <v>593</v>
      </c>
      <c r="C54" t="s">
        <v>33</v>
      </c>
      <c r="D54" t="s">
        <v>43</v>
      </c>
      <c r="E54">
        <v>18</v>
      </c>
      <c r="F54">
        <v>18</v>
      </c>
      <c r="G54">
        <v>7</v>
      </c>
      <c r="H54">
        <v>8</v>
      </c>
      <c r="K54" t="b">
        <v>1</v>
      </c>
      <c r="Q54">
        <v>1</v>
      </c>
    </row>
    <row r="55" spans="1:18" x14ac:dyDescent="0.25">
      <c r="A55" s="28" t="s">
        <v>695</v>
      </c>
      <c r="B55" t="s">
        <v>24</v>
      </c>
      <c r="C55" t="s">
        <v>33</v>
      </c>
      <c r="D55" t="s">
        <v>544</v>
      </c>
      <c r="E55">
        <v>8</v>
      </c>
      <c r="F55">
        <v>0</v>
      </c>
      <c r="G55">
        <v>18</v>
      </c>
      <c r="H55">
        <v>6</v>
      </c>
      <c r="I55" t="s">
        <v>671</v>
      </c>
      <c r="K55" t="b">
        <v>1</v>
      </c>
      <c r="P55" t="s">
        <v>553</v>
      </c>
      <c r="R55" t="b">
        <v>1</v>
      </c>
    </row>
    <row r="56" spans="1:18" x14ac:dyDescent="0.25">
      <c r="A56" s="28" t="s">
        <v>695</v>
      </c>
      <c r="B56" t="s">
        <v>560</v>
      </c>
      <c r="C56" t="s">
        <v>33</v>
      </c>
      <c r="D56" t="s">
        <v>43</v>
      </c>
      <c r="E56">
        <v>0</v>
      </c>
      <c r="F56">
        <v>10</v>
      </c>
      <c r="G56">
        <v>26</v>
      </c>
      <c r="H56">
        <v>6</v>
      </c>
      <c r="R56" t="b">
        <v>1</v>
      </c>
    </row>
    <row r="57" spans="1:18" x14ac:dyDescent="0.25">
      <c r="A57" s="28" t="s">
        <v>695</v>
      </c>
      <c r="B57" t="s">
        <v>561</v>
      </c>
      <c r="C57" t="s">
        <v>33</v>
      </c>
      <c r="D57" t="s">
        <v>544</v>
      </c>
      <c r="E57">
        <v>2</v>
      </c>
      <c r="F57">
        <v>6</v>
      </c>
      <c r="G57">
        <v>3</v>
      </c>
      <c r="H57">
        <v>3</v>
      </c>
      <c r="K57" t="b">
        <v>1</v>
      </c>
      <c r="Q57">
        <v>1</v>
      </c>
    </row>
    <row r="58" spans="1:18" x14ac:dyDescent="0.25">
      <c r="A58" s="28" t="s">
        <v>695</v>
      </c>
      <c r="B58" t="s">
        <v>503</v>
      </c>
      <c r="C58" t="s">
        <v>174</v>
      </c>
      <c r="D58" t="s">
        <v>544</v>
      </c>
      <c r="E58">
        <v>2</v>
      </c>
      <c r="F58">
        <v>8</v>
      </c>
      <c r="G58">
        <v>16</v>
      </c>
      <c r="H58">
        <v>10</v>
      </c>
    </row>
    <row r="59" spans="1:18" x14ac:dyDescent="0.25">
      <c r="A59" s="28" t="s">
        <v>695</v>
      </c>
      <c r="B59" t="s">
        <v>562</v>
      </c>
      <c r="C59" t="s">
        <v>174</v>
      </c>
      <c r="D59" t="s">
        <v>544</v>
      </c>
      <c r="E59">
        <v>14</v>
      </c>
      <c r="F59">
        <v>4</v>
      </c>
      <c r="G59">
        <v>12</v>
      </c>
      <c r="H59">
        <v>12</v>
      </c>
    </row>
    <row r="60" spans="1:18" x14ac:dyDescent="0.25">
      <c r="A60" s="28" t="s">
        <v>695</v>
      </c>
      <c r="B60" t="s">
        <v>563</v>
      </c>
      <c r="C60" t="s">
        <v>33</v>
      </c>
      <c r="D60" t="s">
        <v>544</v>
      </c>
      <c r="E60">
        <v>2</v>
      </c>
      <c r="F60">
        <v>14</v>
      </c>
      <c r="G60">
        <v>3</v>
      </c>
      <c r="H60">
        <v>3</v>
      </c>
      <c r="K60" t="b">
        <v>1</v>
      </c>
      <c r="Q60">
        <v>1</v>
      </c>
    </row>
    <row r="61" spans="1:18" x14ac:dyDescent="0.25">
      <c r="A61" s="28" t="s">
        <v>695</v>
      </c>
      <c r="B61" t="s">
        <v>588</v>
      </c>
      <c r="C61" t="s">
        <v>33</v>
      </c>
      <c r="D61" t="s">
        <v>42</v>
      </c>
      <c r="E61">
        <v>2</v>
      </c>
      <c r="F61">
        <v>18</v>
      </c>
      <c r="G61">
        <v>8</v>
      </c>
      <c r="H61">
        <v>7</v>
      </c>
      <c r="K61" t="b">
        <v>1</v>
      </c>
      <c r="Q61">
        <v>1</v>
      </c>
    </row>
    <row r="62" spans="1:18" x14ac:dyDescent="0.25">
      <c r="A62" s="28" t="s">
        <v>695</v>
      </c>
      <c r="B62" t="s">
        <v>589</v>
      </c>
      <c r="C62" t="s">
        <v>33</v>
      </c>
      <c r="D62" t="s">
        <v>42</v>
      </c>
      <c r="E62">
        <v>11</v>
      </c>
      <c r="F62">
        <v>18</v>
      </c>
      <c r="G62">
        <v>6</v>
      </c>
      <c r="H62">
        <v>8</v>
      </c>
      <c r="K62" t="b">
        <v>1</v>
      </c>
      <c r="Q62">
        <v>1</v>
      </c>
    </row>
    <row r="63" spans="1:18" x14ac:dyDescent="0.25">
      <c r="A63" s="28" t="s">
        <v>695</v>
      </c>
      <c r="B63" t="s">
        <v>590</v>
      </c>
      <c r="C63" t="s">
        <v>33</v>
      </c>
      <c r="D63" t="s">
        <v>42</v>
      </c>
      <c r="E63">
        <v>18</v>
      </c>
      <c r="F63">
        <v>18</v>
      </c>
      <c r="G63">
        <v>7</v>
      </c>
      <c r="H63">
        <v>8</v>
      </c>
      <c r="K63" t="b">
        <v>1</v>
      </c>
      <c r="Q63">
        <v>1</v>
      </c>
    </row>
    <row r="64" spans="1:18" x14ac:dyDescent="0.25">
      <c r="A64" s="28" t="s">
        <v>695</v>
      </c>
      <c r="B64" t="s">
        <v>564</v>
      </c>
      <c r="C64" t="s">
        <v>33</v>
      </c>
      <c r="D64" t="s">
        <v>42</v>
      </c>
      <c r="E64">
        <v>0</v>
      </c>
      <c r="F64">
        <v>0</v>
      </c>
      <c r="G64">
        <v>8</v>
      </c>
      <c r="H64">
        <v>5</v>
      </c>
      <c r="K64" t="b">
        <v>1</v>
      </c>
      <c r="Q64">
        <v>1</v>
      </c>
    </row>
    <row r="65" spans="1:17" x14ac:dyDescent="0.25">
      <c r="A65" s="28" t="s">
        <v>695</v>
      </c>
      <c r="B65" t="s">
        <v>591</v>
      </c>
      <c r="C65" t="s">
        <v>33</v>
      </c>
      <c r="D65" t="s">
        <v>43</v>
      </c>
      <c r="E65">
        <v>2</v>
      </c>
      <c r="F65">
        <v>18</v>
      </c>
      <c r="G65">
        <v>7</v>
      </c>
      <c r="H65">
        <v>8</v>
      </c>
      <c r="K65" t="b">
        <v>1</v>
      </c>
      <c r="Q65">
        <v>1</v>
      </c>
    </row>
    <row r="66" spans="1:17" x14ac:dyDescent="0.25">
      <c r="A66" s="28" t="s">
        <v>695</v>
      </c>
      <c r="B66" t="s">
        <v>592</v>
      </c>
      <c r="C66" t="s">
        <v>33</v>
      </c>
      <c r="D66" t="s">
        <v>43</v>
      </c>
      <c r="E66">
        <v>11</v>
      </c>
      <c r="F66">
        <v>18</v>
      </c>
      <c r="G66">
        <v>6</v>
      </c>
      <c r="H66">
        <v>8</v>
      </c>
      <c r="K66" t="b">
        <v>1</v>
      </c>
      <c r="Q66">
        <v>1</v>
      </c>
    </row>
    <row r="67" spans="1:17" x14ac:dyDescent="0.25">
      <c r="A67" s="28" t="s">
        <v>695</v>
      </c>
      <c r="B67" t="s">
        <v>593</v>
      </c>
      <c r="C67" t="s">
        <v>33</v>
      </c>
      <c r="D67" t="s">
        <v>43</v>
      </c>
      <c r="E67">
        <v>18</v>
      </c>
      <c r="F67">
        <v>18</v>
      </c>
      <c r="G67">
        <v>7</v>
      </c>
      <c r="H67">
        <v>8</v>
      </c>
      <c r="K67" t="b">
        <v>1</v>
      </c>
      <c r="Q67">
        <v>1</v>
      </c>
    </row>
  </sheetData>
  <autoFilter ref="A1:V54"/>
  <conditionalFormatting sqref="A2:XFD2 A22:XFD23">
    <cfRule type="expression" dxfId="5" priority="5">
      <formula>($A2&lt;&gt;$A4)</formula>
    </cfRule>
  </conditionalFormatting>
  <conditionalFormatting sqref="A60:XFD70 A59:D59 I59:XFD59 A4:XFD21 A24:XFD56">
    <cfRule type="expression" dxfId="4" priority="4">
      <formula>($A4&lt;&gt;$A5)</formula>
    </cfRule>
  </conditionalFormatting>
  <conditionalFormatting sqref="A3:XFD3">
    <cfRule type="expression" dxfId="3" priority="3">
      <formula>($A3&lt;&gt;$A4)</formula>
    </cfRule>
  </conditionalFormatting>
  <conditionalFormatting sqref="A57:XFD57">
    <cfRule type="expression" dxfId="2" priority="6">
      <formula>($A57&lt;&gt;#REF!)</formula>
    </cfRule>
  </conditionalFormatting>
  <conditionalFormatting sqref="A58:XFD58">
    <cfRule type="expression" dxfId="1" priority="8">
      <formula>($A58&lt;&gt;#REF!)</formula>
    </cfRule>
  </conditionalFormatting>
  <conditionalFormatting sqref="E59:H59">
    <cfRule type="expression" dxfId="0" priority="1">
      <formula>($A59&lt;&gt;#REF!)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"/>
  <sheetViews>
    <sheetView workbookViewId="0">
      <selection activeCell="A9" sqref="A9:A17"/>
    </sheetView>
  </sheetViews>
  <sheetFormatPr defaultColWidth="9.109375" defaultRowHeight="13.2" x14ac:dyDescent="0.25"/>
  <sheetData>
    <row r="1" spans="1:2" x14ac:dyDescent="0.25">
      <c r="A1" s="2" t="s">
        <v>0</v>
      </c>
      <c r="B1" s="2" t="s">
        <v>335</v>
      </c>
    </row>
    <row r="2" spans="1:2" x14ac:dyDescent="0.25">
      <c r="A2" t="s">
        <v>555</v>
      </c>
    </row>
    <row r="3" spans="1:2" x14ac:dyDescent="0.25">
      <c r="A3" t="s">
        <v>634</v>
      </c>
    </row>
    <row r="4" spans="1:2" x14ac:dyDescent="0.25">
      <c r="A4" s="1" t="s">
        <v>633</v>
      </c>
    </row>
    <row r="5" spans="1:2" x14ac:dyDescent="0.25">
      <c r="A5" s="28" t="s">
        <v>636</v>
      </c>
    </row>
    <row r="6" spans="1:2" x14ac:dyDescent="0.25">
      <c r="A6" t="s">
        <v>670</v>
      </c>
    </row>
    <row r="7" spans="1:2" x14ac:dyDescent="0.25">
      <c r="A7" t="s">
        <v>668</v>
      </c>
    </row>
    <row r="8" spans="1:2" x14ac:dyDescent="0.25">
      <c r="A8" s="1" t="s">
        <v>669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78"/>
  <sheetViews>
    <sheetView workbookViewId="0">
      <pane ySplit="1" topLeftCell="A2" activePane="bottomLeft" state="frozen"/>
      <selection activeCell="B31" activeCellId="1" sqref="A1 B31"/>
      <selection pane="bottomLeft" activeCell="E17" sqref="E17"/>
    </sheetView>
  </sheetViews>
  <sheetFormatPr defaultColWidth="9.109375" defaultRowHeight="13.2" x14ac:dyDescent="0.25"/>
  <cols>
    <col min="1" max="1" width="13.44140625" bestFit="1" customWidth="1"/>
  </cols>
  <sheetData>
    <row r="1" spans="1:9" x14ac:dyDescent="0.25">
      <c r="A1" s="2" t="s">
        <v>34</v>
      </c>
      <c r="B1" s="2" t="s">
        <v>332</v>
      </c>
      <c r="C1" s="3" t="s">
        <v>35</v>
      </c>
      <c r="D1" s="3" t="s">
        <v>36</v>
      </c>
      <c r="E1" s="3" t="s">
        <v>53</v>
      </c>
      <c r="F1" s="3" t="s">
        <v>67</v>
      </c>
      <c r="G1" s="3" t="s">
        <v>68</v>
      </c>
      <c r="H1" s="32" t="s">
        <v>708</v>
      </c>
      <c r="I1" s="32" t="s">
        <v>709</v>
      </c>
    </row>
    <row r="2" spans="1:9" x14ac:dyDescent="0.25">
      <c r="A2" t="s">
        <v>555</v>
      </c>
      <c r="B2" t="s">
        <v>191</v>
      </c>
      <c r="C2" s="4" t="s">
        <v>1</v>
      </c>
      <c r="D2" s="4" t="s">
        <v>1</v>
      </c>
    </row>
    <row r="3" spans="1:9" x14ac:dyDescent="0.25">
      <c r="A3" t="s">
        <v>555</v>
      </c>
      <c r="B3" t="s">
        <v>192</v>
      </c>
      <c r="C3" s="4" t="s">
        <v>1</v>
      </c>
      <c r="D3" s="4" t="s">
        <v>1</v>
      </c>
    </row>
    <row r="4" spans="1:9" x14ac:dyDescent="0.25">
      <c r="A4" t="s">
        <v>555</v>
      </c>
      <c r="B4" t="s">
        <v>550</v>
      </c>
    </row>
    <row r="5" spans="1:9" x14ac:dyDescent="0.25">
      <c r="A5" t="s">
        <v>555</v>
      </c>
      <c r="B5" t="s">
        <v>560</v>
      </c>
      <c r="C5" s="4" t="s">
        <v>545</v>
      </c>
      <c r="D5" s="4" t="s">
        <v>545</v>
      </c>
    </row>
    <row r="6" spans="1:9" x14ac:dyDescent="0.25">
      <c r="A6" t="s">
        <v>555</v>
      </c>
      <c r="B6" t="s">
        <v>24</v>
      </c>
      <c r="C6" s="4" t="s">
        <v>505</v>
      </c>
      <c r="D6" s="4" t="s">
        <v>594</v>
      </c>
    </row>
    <row r="7" spans="1:9" x14ac:dyDescent="0.25">
      <c r="A7" t="s">
        <v>555</v>
      </c>
      <c r="B7" t="s">
        <v>551</v>
      </c>
    </row>
    <row r="8" spans="1:9" x14ac:dyDescent="0.25">
      <c r="A8" t="s">
        <v>555</v>
      </c>
      <c r="B8" t="s">
        <v>38</v>
      </c>
      <c r="C8" s="4" t="s">
        <v>334</v>
      </c>
      <c r="D8" s="4" t="s">
        <v>545</v>
      </c>
    </row>
    <row r="9" spans="1:9" x14ac:dyDescent="0.25">
      <c r="A9" t="s">
        <v>555</v>
      </c>
      <c r="B9" t="s">
        <v>552</v>
      </c>
      <c r="C9" s="4" t="s">
        <v>329</v>
      </c>
      <c r="D9" s="4" t="s">
        <v>545</v>
      </c>
    </row>
    <row r="10" spans="1:9" x14ac:dyDescent="0.25">
      <c r="A10" t="s">
        <v>555</v>
      </c>
      <c r="B10" t="s">
        <v>553</v>
      </c>
      <c r="C10" s="4" t="s">
        <v>334</v>
      </c>
      <c r="D10" s="4" t="s">
        <v>545</v>
      </c>
    </row>
    <row r="11" spans="1:9" x14ac:dyDescent="0.25">
      <c r="A11" s="1" t="s">
        <v>633</v>
      </c>
      <c r="B11" t="s">
        <v>191</v>
      </c>
      <c r="C11" s="27" t="s">
        <v>705</v>
      </c>
      <c r="D11" s="27" t="s">
        <v>705</v>
      </c>
    </row>
    <row r="12" spans="1:9" x14ac:dyDescent="0.25">
      <c r="A12" s="1" t="s">
        <v>633</v>
      </c>
      <c r="B12" t="s">
        <v>192</v>
      </c>
      <c r="C12" s="27" t="s">
        <v>705</v>
      </c>
      <c r="D12" s="27" t="s">
        <v>705</v>
      </c>
    </row>
    <row r="13" spans="1:9" x14ac:dyDescent="0.25">
      <c r="A13" s="1" t="s">
        <v>633</v>
      </c>
      <c r="B13" t="s">
        <v>550</v>
      </c>
      <c r="C13" s="4" t="s">
        <v>703</v>
      </c>
      <c r="D13" s="27" t="s">
        <v>705</v>
      </c>
    </row>
    <row r="14" spans="1:9" x14ac:dyDescent="0.25">
      <c r="A14" s="1" t="s">
        <v>633</v>
      </c>
      <c r="B14" s="28" t="s">
        <v>33</v>
      </c>
      <c r="C14" s="4" t="s">
        <v>703</v>
      </c>
      <c r="D14" s="27" t="s">
        <v>705</v>
      </c>
    </row>
    <row r="15" spans="1:9" x14ac:dyDescent="0.25">
      <c r="A15" s="1" t="s">
        <v>633</v>
      </c>
      <c r="B15" t="s">
        <v>24</v>
      </c>
      <c r="C15" s="4" t="s">
        <v>334</v>
      </c>
      <c r="D15" s="4" t="s">
        <v>596</v>
      </c>
    </row>
    <row r="16" spans="1:9" x14ac:dyDescent="0.25">
      <c r="A16" s="1" t="s">
        <v>633</v>
      </c>
      <c r="B16" t="s">
        <v>38</v>
      </c>
      <c r="C16" s="4" t="s">
        <v>334</v>
      </c>
      <c r="D16" s="4" t="s">
        <v>545</v>
      </c>
      <c r="E16" s="28" t="s">
        <v>545</v>
      </c>
      <c r="G16">
        <v>10</v>
      </c>
    </row>
    <row r="17" spans="1:4" x14ac:dyDescent="0.25">
      <c r="A17" s="1" t="s">
        <v>633</v>
      </c>
      <c r="B17" t="s">
        <v>553</v>
      </c>
      <c r="C17" s="4" t="s">
        <v>334</v>
      </c>
      <c r="D17" s="4" t="s">
        <v>545</v>
      </c>
    </row>
    <row r="18" spans="1:4" x14ac:dyDescent="0.25">
      <c r="A18" t="s">
        <v>634</v>
      </c>
      <c r="B18" t="s">
        <v>191</v>
      </c>
      <c r="C18" s="4" t="s">
        <v>1</v>
      </c>
      <c r="D18" s="4" t="s">
        <v>1</v>
      </c>
    </row>
    <row r="19" spans="1:4" x14ac:dyDescent="0.25">
      <c r="A19" t="s">
        <v>634</v>
      </c>
      <c r="B19" t="s">
        <v>192</v>
      </c>
      <c r="C19" s="4" t="s">
        <v>1</v>
      </c>
      <c r="D19" s="4" t="s">
        <v>1</v>
      </c>
    </row>
    <row r="20" spans="1:4" x14ac:dyDescent="0.25">
      <c r="A20" t="s">
        <v>634</v>
      </c>
      <c r="B20" t="s">
        <v>24</v>
      </c>
      <c r="C20" s="4" t="s">
        <v>505</v>
      </c>
      <c r="D20" s="4" t="s">
        <v>631</v>
      </c>
    </row>
    <row r="21" spans="1:4" x14ac:dyDescent="0.25">
      <c r="A21" t="s">
        <v>634</v>
      </c>
      <c r="B21" t="s">
        <v>560</v>
      </c>
      <c r="C21" s="4" t="s">
        <v>597</v>
      </c>
      <c r="D21" s="4" t="s">
        <v>597</v>
      </c>
    </row>
    <row r="22" spans="1:4" x14ac:dyDescent="0.25">
      <c r="A22" t="s">
        <v>634</v>
      </c>
      <c r="B22" t="s">
        <v>561</v>
      </c>
      <c r="C22" s="4" t="s">
        <v>334</v>
      </c>
    </row>
    <row r="23" spans="1:4" x14ac:dyDescent="0.25">
      <c r="A23" t="s">
        <v>634</v>
      </c>
      <c r="B23" t="s">
        <v>503</v>
      </c>
    </row>
    <row r="24" spans="1:4" x14ac:dyDescent="0.25">
      <c r="A24" t="s">
        <v>634</v>
      </c>
      <c r="B24" t="s">
        <v>562</v>
      </c>
    </row>
    <row r="25" spans="1:4" x14ac:dyDescent="0.25">
      <c r="A25" t="s">
        <v>634</v>
      </c>
      <c r="B25" t="s">
        <v>563</v>
      </c>
      <c r="C25" s="4" t="s">
        <v>334</v>
      </c>
    </row>
    <row r="26" spans="1:4" x14ac:dyDescent="0.25">
      <c r="A26" t="s">
        <v>634</v>
      </c>
      <c r="B26" t="s">
        <v>588</v>
      </c>
      <c r="C26" s="4" t="s">
        <v>334</v>
      </c>
    </row>
    <row r="27" spans="1:4" x14ac:dyDescent="0.25">
      <c r="A27" t="s">
        <v>634</v>
      </c>
      <c r="B27" t="s">
        <v>589</v>
      </c>
      <c r="C27" s="4" t="s">
        <v>594</v>
      </c>
    </row>
    <row r="28" spans="1:4" x14ac:dyDescent="0.25">
      <c r="A28" t="s">
        <v>634</v>
      </c>
      <c r="B28" t="s">
        <v>590</v>
      </c>
      <c r="C28" s="4" t="s">
        <v>334</v>
      </c>
    </row>
    <row r="29" spans="1:4" x14ac:dyDescent="0.25">
      <c r="A29" t="s">
        <v>634</v>
      </c>
      <c r="B29" t="s">
        <v>564</v>
      </c>
      <c r="C29" s="4" t="s">
        <v>334</v>
      </c>
    </row>
    <row r="30" spans="1:4" x14ac:dyDescent="0.25">
      <c r="A30" t="s">
        <v>634</v>
      </c>
      <c r="B30" t="s">
        <v>591</v>
      </c>
      <c r="C30" s="4" t="s">
        <v>334</v>
      </c>
    </row>
    <row r="31" spans="1:4" x14ac:dyDescent="0.25">
      <c r="A31" t="s">
        <v>634</v>
      </c>
      <c r="B31" t="s">
        <v>592</v>
      </c>
      <c r="C31" s="4" t="s">
        <v>594</v>
      </c>
    </row>
    <row r="32" spans="1:4" x14ac:dyDescent="0.25">
      <c r="A32" t="s">
        <v>634</v>
      </c>
      <c r="B32" t="s">
        <v>593</v>
      </c>
      <c r="C32" s="4" t="s">
        <v>334</v>
      </c>
    </row>
    <row r="33" spans="1:4" x14ac:dyDescent="0.25">
      <c r="A33" s="28" t="s">
        <v>636</v>
      </c>
      <c r="B33" s="28" t="s">
        <v>191</v>
      </c>
      <c r="C33" s="30" t="s">
        <v>638</v>
      </c>
      <c r="D33" s="28" t="s">
        <v>639</v>
      </c>
    </row>
    <row r="34" spans="1:4" x14ac:dyDescent="0.25">
      <c r="A34" s="28" t="s">
        <v>636</v>
      </c>
      <c r="B34" s="28" t="s">
        <v>192</v>
      </c>
      <c r="C34" s="30" t="s">
        <v>334</v>
      </c>
      <c r="D34" s="28" t="s">
        <v>640</v>
      </c>
    </row>
    <row r="35" spans="1:4" x14ac:dyDescent="0.25">
      <c r="A35" s="28" t="s">
        <v>636</v>
      </c>
      <c r="B35" s="28" t="s">
        <v>39</v>
      </c>
      <c r="C35" s="30" t="s">
        <v>641</v>
      </c>
      <c r="D35" s="28" t="s">
        <v>642</v>
      </c>
    </row>
    <row r="36" spans="1:4" x14ac:dyDescent="0.25">
      <c r="A36" s="28" t="s">
        <v>636</v>
      </c>
      <c r="B36" s="28" t="s">
        <v>637</v>
      </c>
      <c r="C36" s="30" t="s">
        <v>643</v>
      </c>
      <c r="D36" s="28" t="s">
        <v>644</v>
      </c>
    </row>
    <row r="37" spans="1:4" x14ac:dyDescent="0.25">
      <c r="A37" t="s">
        <v>670</v>
      </c>
      <c r="B37" t="s">
        <v>191</v>
      </c>
      <c r="C37" s="27" t="s">
        <v>682</v>
      </c>
      <c r="D37" s="27" t="s">
        <v>682</v>
      </c>
    </row>
    <row r="38" spans="1:4" x14ac:dyDescent="0.25">
      <c r="A38" t="s">
        <v>670</v>
      </c>
      <c r="B38" t="s">
        <v>192</v>
      </c>
      <c r="C38" s="27" t="s">
        <v>682</v>
      </c>
      <c r="D38" s="27" t="s">
        <v>682</v>
      </c>
    </row>
    <row r="39" spans="1:4" x14ac:dyDescent="0.25">
      <c r="A39" t="s">
        <v>670</v>
      </c>
      <c r="B39" t="s">
        <v>550</v>
      </c>
    </row>
    <row r="40" spans="1:4" x14ac:dyDescent="0.25">
      <c r="A40" t="s">
        <v>670</v>
      </c>
      <c r="B40" t="s">
        <v>560</v>
      </c>
      <c r="C40" s="4" t="s">
        <v>597</v>
      </c>
      <c r="D40" s="4" t="s">
        <v>597</v>
      </c>
    </row>
    <row r="41" spans="1:4" x14ac:dyDescent="0.25">
      <c r="A41" t="s">
        <v>670</v>
      </c>
      <c r="B41" t="s">
        <v>24</v>
      </c>
      <c r="C41" s="4" t="s">
        <v>505</v>
      </c>
      <c r="D41" s="4" t="s">
        <v>594</v>
      </c>
    </row>
    <row r="42" spans="1:4" x14ac:dyDescent="0.25">
      <c r="A42" t="s">
        <v>670</v>
      </c>
      <c r="B42" t="s">
        <v>551</v>
      </c>
    </row>
    <row r="43" spans="1:4" x14ac:dyDescent="0.25">
      <c r="A43" t="s">
        <v>670</v>
      </c>
      <c r="B43" t="s">
        <v>38</v>
      </c>
      <c r="C43" s="4" t="s">
        <v>334</v>
      </c>
      <c r="D43" s="4" t="s">
        <v>545</v>
      </c>
    </row>
    <row r="44" spans="1:4" x14ac:dyDescent="0.25">
      <c r="A44" t="s">
        <v>670</v>
      </c>
      <c r="B44" t="s">
        <v>552</v>
      </c>
      <c r="C44" s="4" t="s">
        <v>329</v>
      </c>
      <c r="D44" s="4" t="s">
        <v>545</v>
      </c>
    </row>
    <row r="45" spans="1:4" x14ac:dyDescent="0.25">
      <c r="A45" t="s">
        <v>670</v>
      </c>
      <c r="B45" t="s">
        <v>553</v>
      </c>
      <c r="C45" s="4" t="s">
        <v>334</v>
      </c>
      <c r="D45" s="4" t="s">
        <v>545</v>
      </c>
    </row>
    <row r="46" spans="1:4" x14ac:dyDescent="0.25">
      <c r="A46" s="1" t="s">
        <v>669</v>
      </c>
      <c r="B46" t="s">
        <v>191</v>
      </c>
      <c r="C46" s="27" t="s">
        <v>682</v>
      </c>
      <c r="D46" s="27" t="s">
        <v>682</v>
      </c>
    </row>
    <row r="47" spans="1:4" x14ac:dyDescent="0.25">
      <c r="A47" s="1" t="s">
        <v>669</v>
      </c>
      <c r="B47" t="s">
        <v>192</v>
      </c>
      <c r="C47" s="27" t="s">
        <v>682</v>
      </c>
      <c r="D47" s="27" t="s">
        <v>682</v>
      </c>
    </row>
    <row r="48" spans="1:4" x14ac:dyDescent="0.25">
      <c r="A48" s="1" t="s">
        <v>669</v>
      </c>
      <c r="B48" t="s">
        <v>550</v>
      </c>
    </row>
    <row r="49" spans="1:4" x14ac:dyDescent="0.25">
      <c r="A49" s="1" t="s">
        <v>669</v>
      </c>
      <c r="B49" s="28" t="s">
        <v>33</v>
      </c>
      <c r="C49" s="27" t="s">
        <v>715</v>
      </c>
    </row>
    <row r="50" spans="1:4" x14ac:dyDescent="0.25">
      <c r="A50" s="1" t="s">
        <v>669</v>
      </c>
      <c r="B50" t="s">
        <v>24</v>
      </c>
      <c r="C50" s="4" t="s">
        <v>334</v>
      </c>
      <c r="D50" s="4" t="s">
        <v>596</v>
      </c>
    </row>
    <row r="51" spans="1:4" x14ac:dyDescent="0.25">
      <c r="A51" s="1" t="s">
        <v>669</v>
      </c>
      <c r="B51" t="s">
        <v>38</v>
      </c>
      <c r="C51" s="4" t="s">
        <v>334</v>
      </c>
      <c r="D51" s="4" t="s">
        <v>545</v>
      </c>
    </row>
    <row r="52" spans="1:4" x14ac:dyDescent="0.25">
      <c r="A52" s="1" t="s">
        <v>669</v>
      </c>
      <c r="B52" t="s">
        <v>553</v>
      </c>
      <c r="C52" s="4" t="s">
        <v>334</v>
      </c>
      <c r="D52" s="4" t="s">
        <v>545</v>
      </c>
    </row>
    <row r="53" spans="1:4" x14ac:dyDescent="0.25">
      <c r="A53" t="s">
        <v>668</v>
      </c>
      <c r="B53" t="s">
        <v>191</v>
      </c>
      <c r="C53" s="27" t="s">
        <v>682</v>
      </c>
      <c r="D53" s="27" t="s">
        <v>682</v>
      </c>
    </row>
    <row r="54" spans="1:4" x14ac:dyDescent="0.25">
      <c r="A54" t="s">
        <v>668</v>
      </c>
      <c r="B54" t="s">
        <v>192</v>
      </c>
      <c r="C54" s="27" t="s">
        <v>682</v>
      </c>
      <c r="D54" s="27" t="s">
        <v>682</v>
      </c>
    </row>
    <row r="55" spans="1:4" x14ac:dyDescent="0.25">
      <c r="A55" t="s">
        <v>668</v>
      </c>
      <c r="B55" t="s">
        <v>24</v>
      </c>
      <c r="C55" s="4" t="s">
        <v>505</v>
      </c>
      <c r="D55" s="4" t="s">
        <v>631</v>
      </c>
    </row>
    <row r="56" spans="1:4" x14ac:dyDescent="0.25">
      <c r="A56" t="s">
        <v>668</v>
      </c>
      <c r="B56" t="s">
        <v>560</v>
      </c>
      <c r="C56" s="4" t="s">
        <v>597</v>
      </c>
      <c r="D56" s="4" t="s">
        <v>597</v>
      </c>
    </row>
    <row r="57" spans="1:4" x14ac:dyDescent="0.25">
      <c r="A57" t="s">
        <v>668</v>
      </c>
      <c r="B57" t="s">
        <v>561</v>
      </c>
      <c r="C57" s="4" t="s">
        <v>334</v>
      </c>
    </row>
    <row r="58" spans="1:4" x14ac:dyDescent="0.25">
      <c r="A58" t="s">
        <v>668</v>
      </c>
      <c r="B58" t="s">
        <v>503</v>
      </c>
    </row>
    <row r="59" spans="1:4" x14ac:dyDescent="0.25">
      <c r="A59" t="s">
        <v>668</v>
      </c>
      <c r="B59" t="s">
        <v>562</v>
      </c>
    </row>
    <row r="60" spans="1:4" x14ac:dyDescent="0.25">
      <c r="A60" t="s">
        <v>668</v>
      </c>
      <c r="B60" t="s">
        <v>563</v>
      </c>
      <c r="C60" s="4" t="s">
        <v>334</v>
      </c>
    </row>
    <row r="61" spans="1:4" x14ac:dyDescent="0.25">
      <c r="A61" t="s">
        <v>668</v>
      </c>
      <c r="B61" t="s">
        <v>588</v>
      </c>
      <c r="C61" s="4" t="s">
        <v>334</v>
      </c>
    </row>
    <row r="62" spans="1:4" x14ac:dyDescent="0.25">
      <c r="A62" t="s">
        <v>668</v>
      </c>
      <c r="B62" t="s">
        <v>589</v>
      </c>
      <c r="C62" s="4" t="s">
        <v>594</v>
      </c>
    </row>
    <row r="63" spans="1:4" x14ac:dyDescent="0.25">
      <c r="A63" t="s">
        <v>668</v>
      </c>
      <c r="B63" t="s">
        <v>590</v>
      </c>
      <c r="C63" s="4" t="s">
        <v>334</v>
      </c>
    </row>
    <row r="64" spans="1:4" x14ac:dyDescent="0.25">
      <c r="A64" t="s">
        <v>668</v>
      </c>
      <c r="B64" t="s">
        <v>564</v>
      </c>
      <c r="C64" s="4" t="s">
        <v>334</v>
      </c>
    </row>
    <row r="65" spans="1:4" x14ac:dyDescent="0.25">
      <c r="A65" t="s">
        <v>668</v>
      </c>
      <c r="B65" t="s">
        <v>591</v>
      </c>
      <c r="C65" s="4" t="s">
        <v>334</v>
      </c>
    </row>
    <row r="66" spans="1:4" x14ac:dyDescent="0.25">
      <c r="A66" t="s">
        <v>668</v>
      </c>
      <c r="B66" t="s">
        <v>592</v>
      </c>
      <c r="C66" s="4" t="s">
        <v>594</v>
      </c>
    </row>
    <row r="67" spans="1:4" x14ac:dyDescent="0.25">
      <c r="A67" t="s">
        <v>668</v>
      </c>
      <c r="B67" t="s">
        <v>593</v>
      </c>
      <c r="C67" s="4" t="s">
        <v>334</v>
      </c>
    </row>
    <row r="68" spans="1:4" x14ac:dyDescent="0.25">
      <c r="A68" s="28"/>
      <c r="C68" s="27"/>
      <c r="D68" s="27"/>
    </row>
    <row r="69" spans="1:4" x14ac:dyDescent="0.25">
      <c r="A69" s="28"/>
      <c r="C69" s="27"/>
      <c r="D69" s="27"/>
    </row>
    <row r="70" spans="1:4" x14ac:dyDescent="0.25">
      <c r="A70" s="28"/>
    </row>
    <row r="71" spans="1:4" x14ac:dyDescent="0.25">
      <c r="A71" s="28"/>
      <c r="C71" s="4"/>
      <c r="D71" s="4"/>
    </row>
    <row r="72" spans="1:4" x14ac:dyDescent="0.25">
      <c r="A72" s="28"/>
      <c r="C72" s="4"/>
      <c r="D72" s="4"/>
    </row>
    <row r="73" spans="1:4" x14ac:dyDescent="0.25">
      <c r="A73" s="28"/>
    </row>
    <row r="74" spans="1:4" x14ac:dyDescent="0.25">
      <c r="A74" s="28"/>
      <c r="C74" s="4"/>
      <c r="D74" s="4"/>
    </row>
    <row r="75" spans="1:4" x14ac:dyDescent="0.25">
      <c r="A75" s="28"/>
      <c r="C75" s="4"/>
      <c r="D75" s="4"/>
    </row>
    <row r="76" spans="1:4" x14ac:dyDescent="0.25">
      <c r="A76" s="28"/>
      <c r="C76" s="4"/>
      <c r="D76" s="4"/>
    </row>
    <row r="77" spans="1:4" x14ac:dyDescent="0.25">
      <c r="A77" s="31"/>
      <c r="C77" s="27"/>
      <c r="D77" s="27"/>
    </row>
    <row r="78" spans="1:4" x14ac:dyDescent="0.25">
      <c r="A78" s="31"/>
      <c r="C78" s="27"/>
      <c r="D78" s="27"/>
    </row>
    <row r="79" spans="1:4" x14ac:dyDescent="0.25">
      <c r="A79" s="31"/>
      <c r="C79" s="27"/>
      <c r="D79" s="27"/>
    </row>
    <row r="80" spans="1:4" x14ac:dyDescent="0.25">
      <c r="A80" s="31"/>
      <c r="C80" s="4"/>
      <c r="D80" s="4"/>
    </row>
    <row r="81" spans="1:4" x14ac:dyDescent="0.25">
      <c r="A81" s="31"/>
      <c r="C81" s="4"/>
      <c r="D81" s="4"/>
    </row>
    <row r="82" spans="1:4" x14ac:dyDescent="0.25">
      <c r="A82" s="31"/>
      <c r="C82" s="4"/>
      <c r="D82" s="4"/>
    </row>
    <row r="83" spans="1:4" x14ac:dyDescent="0.25">
      <c r="A83" s="28"/>
      <c r="C83" s="27"/>
      <c r="D83" s="27"/>
    </row>
    <row r="84" spans="1:4" x14ac:dyDescent="0.25">
      <c r="A84" s="28"/>
      <c r="C84" s="27"/>
      <c r="D84" s="27"/>
    </row>
    <row r="85" spans="1:4" x14ac:dyDescent="0.25">
      <c r="A85" s="28"/>
      <c r="C85" s="4"/>
      <c r="D85" s="4"/>
    </row>
    <row r="86" spans="1:4" x14ac:dyDescent="0.25">
      <c r="A86" s="28"/>
      <c r="C86" s="4"/>
      <c r="D86" s="4"/>
    </row>
    <row r="87" spans="1:4" x14ac:dyDescent="0.25">
      <c r="A87" s="28"/>
      <c r="C87" s="4"/>
    </row>
    <row r="88" spans="1:4" x14ac:dyDescent="0.25">
      <c r="A88" s="28"/>
    </row>
    <row r="89" spans="1:4" x14ac:dyDescent="0.25">
      <c r="A89" s="28"/>
    </row>
    <row r="90" spans="1:4" x14ac:dyDescent="0.25">
      <c r="A90" s="28"/>
      <c r="C90" s="4"/>
    </row>
    <row r="91" spans="1:4" x14ac:dyDescent="0.25">
      <c r="A91" s="28"/>
      <c r="C91" s="4"/>
    </row>
    <row r="92" spans="1:4" x14ac:dyDescent="0.25">
      <c r="A92" s="28"/>
      <c r="C92" s="4"/>
    </row>
    <row r="93" spans="1:4" x14ac:dyDescent="0.25">
      <c r="A93" s="28"/>
      <c r="C93" s="4"/>
    </row>
    <row r="94" spans="1:4" x14ac:dyDescent="0.25">
      <c r="A94" s="28"/>
      <c r="C94" s="4"/>
    </row>
    <row r="95" spans="1:4" x14ac:dyDescent="0.25">
      <c r="A95" s="28"/>
      <c r="C95" s="4"/>
    </row>
    <row r="96" spans="1:4" x14ac:dyDescent="0.25">
      <c r="A96" s="28"/>
      <c r="C96" s="4"/>
    </row>
    <row r="97" spans="1:9" x14ac:dyDescent="0.25">
      <c r="A97" s="28"/>
      <c r="C97" s="4"/>
    </row>
    <row r="98" spans="1:9" x14ac:dyDescent="0.25">
      <c r="A98" s="28"/>
      <c r="C98" s="27"/>
      <c r="D98" s="27"/>
      <c r="H98" s="27"/>
      <c r="I98" s="27"/>
    </row>
    <row r="99" spans="1:9" x14ac:dyDescent="0.25">
      <c r="A99" s="28"/>
      <c r="C99" s="27"/>
      <c r="D99" s="27"/>
      <c r="H99" s="27"/>
      <c r="I99" s="27"/>
    </row>
    <row r="100" spans="1:9" x14ac:dyDescent="0.25">
      <c r="A100" s="28"/>
      <c r="C100" s="4"/>
      <c r="D100" s="4"/>
    </row>
    <row r="101" spans="1:9" x14ac:dyDescent="0.25">
      <c r="A101" s="28"/>
      <c r="C101" s="4"/>
      <c r="D101" s="4"/>
    </row>
    <row r="102" spans="1:9" x14ac:dyDescent="0.25">
      <c r="A102" s="28"/>
      <c r="C102" s="4"/>
    </row>
    <row r="103" spans="1:9" x14ac:dyDescent="0.25">
      <c r="A103" s="28"/>
    </row>
    <row r="104" spans="1:9" x14ac:dyDescent="0.25">
      <c r="A104" s="28"/>
    </row>
    <row r="105" spans="1:9" x14ac:dyDescent="0.25">
      <c r="A105" s="28"/>
      <c r="C105" s="4"/>
    </row>
    <row r="106" spans="1:9" x14ac:dyDescent="0.25">
      <c r="A106" s="28"/>
      <c r="C106" s="4"/>
    </row>
    <row r="107" spans="1:9" x14ac:dyDescent="0.25">
      <c r="A107" s="28"/>
      <c r="C107" s="4"/>
    </row>
    <row r="108" spans="1:9" x14ac:dyDescent="0.25">
      <c r="A108" s="28"/>
      <c r="C108" s="4"/>
    </row>
    <row r="109" spans="1:9" x14ac:dyDescent="0.25">
      <c r="A109" s="28"/>
      <c r="C109" s="4"/>
    </row>
    <row r="110" spans="1:9" x14ac:dyDescent="0.25">
      <c r="A110" s="28"/>
      <c r="C110" s="4"/>
    </row>
    <row r="111" spans="1:9" x14ac:dyDescent="0.25">
      <c r="A111" s="28"/>
      <c r="C111" s="4"/>
    </row>
    <row r="112" spans="1:9" x14ac:dyDescent="0.25">
      <c r="A112" s="28"/>
      <c r="C112" s="4"/>
    </row>
    <row r="113" spans="1:4" x14ac:dyDescent="0.25">
      <c r="A113" s="28"/>
      <c r="C113" s="27"/>
      <c r="D113" s="27"/>
    </row>
    <row r="114" spans="1:4" x14ac:dyDescent="0.25">
      <c r="A114" s="28"/>
      <c r="C114" s="27"/>
      <c r="D114" s="27"/>
    </row>
    <row r="115" spans="1:4" x14ac:dyDescent="0.25">
      <c r="A115" s="28"/>
      <c r="C115" s="4"/>
      <c r="D115" s="27"/>
    </row>
    <row r="116" spans="1:4" x14ac:dyDescent="0.25">
      <c r="A116" s="28"/>
      <c r="C116" s="4"/>
      <c r="D116" s="4"/>
    </row>
    <row r="117" spans="1:4" x14ac:dyDescent="0.25">
      <c r="A117" s="28"/>
      <c r="C117" s="4"/>
    </row>
    <row r="118" spans="1:4" x14ac:dyDescent="0.25">
      <c r="A118" s="28"/>
    </row>
    <row r="119" spans="1:4" x14ac:dyDescent="0.25">
      <c r="A119" s="28"/>
    </row>
    <row r="120" spans="1:4" x14ac:dyDescent="0.25">
      <c r="A120" s="28"/>
      <c r="C120" s="4"/>
    </row>
    <row r="121" spans="1:4" x14ac:dyDescent="0.25">
      <c r="A121" s="28"/>
      <c r="C121" s="4"/>
    </row>
    <row r="122" spans="1:4" x14ac:dyDescent="0.25">
      <c r="A122" s="28"/>
      <c r="C122" s="4"/>
    </row>
    <row r="123" spans="1:4" x14ac:dyDescent="0.25">
      <c r="A123" s="28"/>
      <c r="C123" s="4"/>
    </row>
    <row r="124" spans="1:4" x14ac:dyDescent="0.25">
      <c r="A124" s="28"/>
      <c r="C124" s="4"/>
    </row>
    <row r="125" spans="1:4" x14ac:dyDescent="0.25">
      <c r="A125" s="28"/>
      <c r="C125" s="4"/>
    </row>
    <row r="126" spans="1:4" x14ac:dyDescent="0.25">
      <c r="A126" s="28"/>
      <c r="C126" s="4"/>
    </row>
    <row r="127" spans="1:4" x14ac:dyDescent="0.25">
      <c r="A127" s="28"/>
      <c r="C127" s="4"/>
    </row>
    <row r="128" spans="1:4" x14ac:dyDescent="0.25">
      <c r="A128" s="28"/>
      <c r="C128" s="27"/>
      <c r="D128" s="27"/>
    </row>
    <row r="129" spans="1:6" x14ac:dyDescent="0.25">
      <c r="A129" s="28"/>
      <c r="C129" s="27"/>
      <c r="D129" s="27"/>
    </row>
    <row r="130" spans="1:6" x14ac:dyDescent="0.25">
      <c r="A130" s="28"/>
      <c r="C130" s="4"/>
      <c r="D130" s="4"/>
    </row>
    <row r="131" spans="1:6" x14ac:dyDescent="0.25">
      <c r="A131" s="28"/>
      <c r="C131" s="4"/>
      <c r="D131" s="4"/>
    </row>
    <row r="132" spans="1:6" x14ac:dyDescent="0.25">
      <c r="A132" s="28"/>
      <c r="C132" s="4"/>
    </row>
    <row r="133" spans="1:6" x14ac:dyDescent="0.25">
      <c r="A133" s="28"/>
    </row>
    <row r="134" spans="1:6" x14ac:dyDescent="0.25">
      <c r="A134" s="28"/>
    </row>
    <row r="135" spans="1:6" x14ac:dyDescent="0.25">
      <c r="A135" s="28"/>
      <c r="C135" s="4"/>
    </row>
    <row r="136" spans="1:6" x14ac:dyDescent="0.25">
      <c r="A136" s="28"/>
      <c r="C136" s="4"/>
    </row>
    <row r="137" spans="1:6" x14ac:dyDescent="0.25">
      <c r="A137" s="28"/>
      <c r="C137" s="4"/>
    </row>
    <row r="138" spans="1:6" x14ac:dyDescent="0.25">
      <c r="A138" s="28"/>
      <c r="C138" s="4"/>
    </row>
    <row r="139" spans="1:6" x14ac:dyDescent="0.25">
      <c r="A139" s="28"/>
      <c r="C139" s="4"/>
    </row>
    <row r="140" spans="1:6" x14ac:dyDescent="0.25">
      <c r="A140" s="28"/>
      <c r="C140" s="4"/>
    </row>
    <row r="141" spans="1:6" x14ac:dyDescent="0.25">
      <c r="A141" s="28"/>
      <c r="C141" s="4"/>
    </row>
    <row r="142" spans="1:6" x14ac:dyDescent="0.25">
      <c r="A142" s="28"/>
      <c r="C142" s="4"/>
    </row>
    <row r="143" spans="1:6" x14ac:dyDescent="0.25">
      <c r="A143" s="28"/>
      <c r="C143" s="27"/>
      <c r="D143" s="27"/>
      <c r="E143" s="27"/>
      <c r="F143" s="28"/>
    </row>
    <row r="144" spans="1:6" x14ac:dyDescent="0.25">
      <c r="A144" s="28"/>
      <c r="C144" s="27"/>
      <c r="D144" s="27"/>
      <c r="E144" s="27"/>
      <c r="F144" s="28"/>
    </row>
    <row r="145" spans="1:6" x14ac:dyDescent="0.25">
      <c r="A145" s="28"/>
      <c r="C145" s="4"/>
      <c r="D145" s="4"/>
    </row>
    <row r="146" spans="1:6" x14ac:dyDescent="0.25">
      <c r="A146" s="28"/>
      <c r="C146" s="4"/>
      <c r="D146" s="4"/>
    </row>
    <row r="147" spans="1:6" x14ac:dyDescent="0.25">
      <c r="A147" s="28"/>
      <c r="C147" s="4"/>
    </row>
    <row r="148" spans="1:6" x14ac:dyDescent="0.25">
      <c r="A148" s="28"/>
    </row>
    <row r="149" spans="1:6" x14ac:dyDescent="0.25">
      <c r="A149" s="28"/>
    </row>
    <row r="150" spans="1:6" x14ac:dyDescent="0.25">
      <c r="A150" s="28"/>
      <c r="C150" s="4"/>
    </row>
    <row r="151" spans="1:6" x14ac:dyDescent="0.25">
      <c r="A151" s="28"/>
      <c r="C151" s="4"/>
    </row>
    <row r="152" spans="1:6" x14ac:dyDescent="0.25">
      <c r="A152" s="28"/>
      <c r="C152" s="4"/>
    </row>
    <row r="153" spans="1:6" x14ac:dyDescent="0.25">
      <c r="A153" s="28"/>
      <c r="C153" s="4"/>
    </row>
    <row r="154" spans="1:6" x14ac:dyDescent="0.25">
      <c r="A154" s="28"/>
      <c r="C154" s="4"/>
    </row>
    <row r="155" spans="1:6" x14ac:dyDescent="0.25">
      <c r="A155" s="28"/>
      <c r="C155" s="4"/>
    </row>
    <row r="156" spans="1:6" x14ac:dyDescent="0.25">
      <c r="A156" s="28"/>
      <c r="C156" s="4"/>
    </row>
    <row r="157" spans="1:6" x14ac:dyDescent="0.25">
      <c r="A157" s="28"/>
      <c r="C157" s="4"/>
    </row>
    <row r="158" spans="1:6" x14ac:dyDescent="0.25">
      <c r="A158" s="28"/>
      <c r="C158" s="27"/>
      <c r="D158" s="27"/>
      <c r="E158" s="28"/>
      <c r="F158" s="28"/>
    </row>
    <row r="159" spans="1:6" x14ac:dyDescent="0.25">
      <c r="A159" s="28"/>
      <c r="C159" s="27"/>
      <c r="D159" s="27"/>
      <c r="E159" s="28"/>
      <c r="F159" s="28"/>
    </row>
    <row r="160" spans="1:6" x14ac:dyDescent="0.25">
      <c r="A160" s="28"/>
      <c r="C160" s="4"/>
      <c r="D160" s="4"/>
    </row>
    <row r="161" spans="1:4" x14ac:dyDescent="0.25">
      <c r="A161" s="28"/>
      <c r="C161" s="4"/>
      <c r="D161" s="4"/>
    </row>
    <row r="162" spans="1:4" x14ac:dyDescent="0.25">
      <c r="A162" s="28"/>
      <c r="C162" s="4"/>
    </row>
    <row r="163" spans="1:4" x14ac:dyDescent="0.25">
      <c r="A163" s="28"/>
    </row>
    <row r="164" spans="1:4" x14ac:dyDescent="0.25">
      <c r="A164" s="28"/>
    </row>
    <row r="165" spans="1:4" x14ac:dyDescent="0.25">
      <c r="A165" s="28"/>
      <c r="C165" s="4"/>
    </row>
    <row r="166" spans="1:4" x14ac:dyDescent="0.25">
      <c r="A166" s="28"/>
      <c r="C166" s="4"/>
    </row>
    <row r="167" spans="1:4" x14ac:dyDescent="0.25">
      <c r="A167" s="28"/>
      <c r="C167" s="4"/>
    </row>
    <row r="168" spans="1:4" x14ac:dyDescent="0.25">
      <c r="A168" s="28"/>
      <c r="C168" s="4"/>
    </row>
    <row r="169" spans="1:4" x14ac:dyDescent="0.25">
      <c r="A169" s="28"/>
      <c r="C169" s="4"/>
    </row>
    <row r="170" spans="1:4" x14ac:dyDescent="0.25">
      <c r="A170" s="28"/>
      <c r="C170" s="4"/>
    </row>
    <row r="171" spans="1:4" x14ac:dyDescent="0.25">
      <c r="A171" s="28"/>
      <c r="C171" s="4"/>
    </row>
    <row r="172" spans="1:4" x14ac:dyDescent="0.25">
      <c r="A172" s="28"/>
      <c r="C172" s="4"/>
    </row>
    <row r="173" spans="1:4" x14ac:dyDescent="0.25">
      <c r="A173" s="31"/>
      <c r="C173" s="27"/>
      <c r="D173" s="27"/>
    </row>
    <row r="174" spans="1:4" x14ac:dyDescent="0.25">
      <c r="A174" s="31"/>
      <c r="C174" s="27"/>
      <c r="D174" s="27"/>
    </row>
    <row r="175" spans="1:4" x14ac:dyDescent="0.25">
      <c r="A175" s="31"/>
      <c r="C175" s="27"/>
      <c r="D175" s="27"/>
    </row>
    <row r="176" spans="1:4" x14ac:dyDescent="0.25">
      <c r="A176" s="31"/>
      <c r="C176" s="4"/>
      <c r="D176" s="4"/>
    </row>
    <row r="177" spans="1:4" x14ac:dyDescent="0.25">
      <c r="A177" s="31"/>
      <c r="C177" s="4"/>
      <c r="D177" s="4"/>
    </row>
    <row r="178" spans="1:4" x14ac:dyDescent="0.25">
      <c r="A178" s="31"/>
      <c r="C178" s="4"/>
      <c r="D17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5:C16"/>
  <sheetViews>
    <sheetView workbookViewId="0"/>
  </sheetViews>
  <sheetFormatPr defaultColWidth="9.109375" defaultRowHeight="13.2" x14ac:dyDescent="0.25"/>
  <sheetData>
    <row r="5" spans="2:3" x14ac:dyDescent="0.25">
      <c r="B5" s="13" t="s">
        <v>54</v>
      </c>
    </row>
    <row r="6" spans="2:3" x14ac:dyDescent="0.25">
      <c r="B6" t="s">
        <v>50</v>
      </c>
      <c r="C6" t="s">
        <v>55</v>
      </c>
    </row>
    <row r="7" spans="2:3" x14ac:dyDescent="0.25">
      <c r="B7" t="s">
        <v>20</v>
      </c>
      <c r="C7" t="s">
        <v>56</v>
      </c>
    </row>
    <row r="8" spans="2:3" x14ac:dyDescent="0.25">
      <c r="B8" t="s">
        <v>57</v>
      </c>
      <c r="C8" t="s">
        <v>58</v>
      </c>
    </row>
    <row r="9" spans="2:3" x14ac:dyDescent="0.25">
      <c r="B9" t="s">
        <v>51</v>
      </c>
      <c r="C9" t="s">
        <v>59</v>
      </c>
    </row>
    <row r="10" spans="2:3" x14ac:dyDescent="0.25">
      <c r="B10" t="s">
        <v>60</v>
      </c>
      <c r="C10" t="s">
        <v>61</v>
      </c>
    </row>
    <row r="11" spans="2:3" x14ac:dyDescent="0.25">
      <c r="B11" t="s">
        <v>52</v>
      </c>
      <c r="C11" t="s">
        <v>62</v>
      </c>
    </row>
    <row r="13" spans="2:3" x14ac:dyDescent="0.25">
      <c r="B13" s="13" t="s">
        <v>63</v>
      </c>
    </row>
    <row r="14" spans="2:3" x14ac:dyDescent="0.25">
      <c r="B14" t="s">
        <v>64</v>
      </c>
    </row>
    <row r="16" spans="2:3" x14ac:dyDescent="0.25">
      <c r="B16" t="s">
        <v>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74"/>
  <sheetViews>
    <sheetView topLeftCell="A17" workbookViewId="0">
      <selection activeCell="C103" sqref="C103"/>
    </sheetView>
  </sheetViews>
  <sheetFormatPr defaultColWidth="9.109375" defaultRowHeight="15" customHeight="1" x14ac:dyDescent="0.25"/>
  <cols>
    <col min="1" max="1" width="18.5546875" bestFit="1" customWidth="1"/>
  </cols>
  <sheetData>
    <row r="1" spans="1:10" ht="15" customHeight="1" x14ac:dyDescent="0.25">
      <c r="A1" s="2" t="s">
        <v>24</v>
      </c>
      <c r="B1" s="5" t="s">
        <v>45</v>
      </c>
      <c r="C1" s="5" t="s">
        <v>46</v>
      </c>
      <c r="D1" s="5" t="s">
        <v>43</v>
      </c>
      <c r="E1" s="2" t="s">
        <v>25</v>
      </c>
      <c r="F1" s="3" t="s">
        <v>195</v>
      </c>
      <c r="G1" s="2" t="s">
        <v>306</v>
      </c>
    </row>
    <row r="2" spans="1:10" ht="15" customHeight="1" x14ac:dyDescent="0.25">
      <c r="A2" t="s">
        <v>360</v>
      </c>
      <c r="B2">
        <v>240</v>
      </c>
      <c r="C2">
        <v>248</v>
      </c>
      <c r="D2">
        <v>255</v>
      </c>
      <c r="E2">
        <v>16775408</v>
      </c>
      <c r="F2" s="4" t="s">
        <v>309</v>
      </c>
      <c r="I2" s="20"/>
      <c r="J2" s="20"/>
    </row>
    <row r="3" spans="1:10" ht="15" customHeight="1" x14ac:dyDescent="0.25">
      <c r="A3" t="s">
        <v>361</v>
      </c>
      <c r="B3">
        <v>250</v>
      </c>
      <c r="C3">
        <v>235</v>
      </c>
      <c r="D3">
        <v>215</v>
      </c>
      <c r="E3">
        <v>14150650</v>
      </c>
      <c r="F3" s="4" t="s">
        <v>310</v>
      </c>
    </row>
    <row r="4" spans="1:10" ht="15" customHeight="1" x14ac:dyDescent="0.25">
      <c r="A4" t="s">
        <v>362</v>
      </c>
      <c r="B4">
        <v>0</v>
      </c>
      <c r="C4">
        <v>255</v>
      </c>
      <c r="D4">
        <v>255</v>
      </c>
      <c r="E4">
        <v>16776960</v>
      </c>
      <c r="F4" s="4" t="s">
        <v>311</v>
      </c>
    </row>
    <row r="5" spans="1:10" ht="15" customHeight="1" x14ac:dyDescent="0.25">
      <c r="A5" t="s">
        <v>363</v>
      </c>
      <c r="B5">
        <v>127</v>
      </c>
      <c r="C5">
        <v>255</v>
      </c>
      <c r="D5">
        <v>212</v>
      </c>
      <c r="E5">
        <v>13959039</v>
      </c>
      <c r="F5" s="4" t="s">
        <v>312</v>
      </c>
    </row>
    <row r="6" spans="1:10" ht="15" customHeight="1" x14ac:dyDescent="0.25">
      <c r="A6" t="s">
        <v>364</v>
      </c>
      <c r="B6">
        <v>240</v>
      </c>
      <c r="C6">
        <v>255</v>
      </c>
      <c r="D6">
        <v>255</v>
      </c>
      <c r="E6">
        <v>16777200</v>
      </c>
      <c r="F6" s="4" t="s">
        <v>313</v>
      </c>
    </row>
    <row r="7" spans="1:10" ht="15" customHeight="1" x14ac:dyDescent="0.25">
      <c r="A7" t="s">
        <v>365</v>
      </c>
      <c r="B7">
        <v>245</v>
      </c>
      <c r="C7">
        <v>245</v>
      </c>
      <c r="D7">
        <v>220</v>
      </c>
      <c r="E7">
        <v>14480885</v>
      </c>
      <c r="F7" s="4" t="s">
        <v>314</v>
      </c>
    </row>
    <row r="8" spans="1:10" ht="15" customHeight="1" x14ac:dyDescent="0.25">
      <c r="A8" t="s">
        <v>366</v>
      </c>
      <c r="B8">
        <v>255</v>
      </c>
      <c r="C8">
        <v>228</v>
      </c>
      <c r="D8">
        <v>196</v>
      </c>
      <c r="E8">
        <v>12903679</v>
      </c>
      <c r="F8" s="4" t="s">
        <v>315</v>
      </c>
    </row>
    <row r="9" spans="1:10" ht="15" customHeight="1" x14ac:dyDescent="0.25">
      <c r="A9" t="s">
        <v>367</v>
      </c>
      <c r="B9">
        <v>0</v>
      </c>
      <c r="C9">
        <v>0</v>
      </c>
      <c r="D9">
        <v>0</v>
      </c>
      <c r="E9">
        <v>0</v>
      </c>
      <c r="F9" s="4" t="s">
        <v>294</v>
      </c>
    </row>
    <row r="10" spans="1:10" ht="15" customHeight="1" x14ac:dyDescent="0.25">
      <c r="A10" t="s">
        <v>368</v>
      </c>
      <c r="B10">
        <v>255</v>
      </c>
      <c r="C10">
        <v>235</v>
      </c>
      <c r="D10">
        <v>205</v>
      </c>
      <c r="E10">
        <v>13495295</v>
      </c>
      <c r="F10" s="4" t="s">
        <v>316</v>
      </c>
    </row>
    <row r="11" spans="1:10" ht="15" customHeight="1" x14ac:dyDescent="0.25">
      <c r="A11" t="s">
        <v>369</v>
      </c>
      <c r="B11">
        <v>0</v>
      </c>
      <c r="C11">
        <v>0</v>
      </c>
      <c r="D11">
        <v>255</v>
      </c>
      <c r="E11">
        <v>16711680</v>
      </c>
      <c r="F11" s="4" t="s">
        <v>308</v>
      </c>
    </row>
    <row r="12" spans="1:10" ht="15" customHeight="1" x14ac:dyDescent="0.25">
      <c r="A12" t="s">
        <v>370</v>
      </c>
      <c r="B12">
        <v>138</v>
      </c>
      <c r="C12">
        <v>43</v>
      </c>
      <c r="D12">
        <v>226</v>
      </c>
      <c r="E12">
        <v>14822282</v>
      </c>
      <c r="F12" s="4" t="s">
        <v>317</v>
      </c>
    </row>
    <row r="13" spans="1:10" ht="15" customHeight="1" x14ac:dyDescent="0.25">
      <c r="A13" t="s">
        <v>371</v>
      </c>
      <c r="B13">
        <v>165</v>
      </c>
      <c r="C13">
        <v>42</v>
      </c>
      <c r="D13">
        <v>42</v>
      </c>
      <c r="E13">
        <v>2763429</v>
      </c>
      <c r="F13" s="4" t="s">
        <v>520</v>
      </c>
    </row>
    <row r="14" spans="1:10" ht="15" customHeight="1" x14ac:dyDescent="0.25">
      <c r="A14" t="s">
        <v>372</v>
      </c>
      <c r="B14">
        <v>222</v>
      </c>
      <c r="C14">
        <v>184</v>
      </c>
      <c r="D14">
        <v>135</v>
      </c>
      <c r="E14">
        <v>8894686</v>
      </c>
      <c r="F14" s="4" t="s">
        <v>318</v>
      </c>
    </row>
    <row r="15" spans="1:10" ht="15" customHeight="1" x14ac:dyDescent="0.25">
      <c r="A15" t="s">
        <v>373</v>
      </c>
      <c r="B15">
        <v>95</v>
      </c>
      <c r="C15">
        <v>158</v>
      </c>
      <c r="D15">
        <v>160</v>
      </c>
      <c r="E15">
        <v>10526303</v>
      </c>
      <c r="F15" s="4" t="s">
        <v>319</v>
      </c>
    </row>
    <row r="16" spans="1:10" ht="15" customHeight="1" x14ac:dyDescent="0.25">
      <c r="A16" t="s">
        <v>374</v>
      </c>
      <c r="B16">
        <v>127</v>
      </c>
      <c r="C16">
        <v>255</v>
      </c>
      <c r="D16">
        <v>0</v>
      </c>
      <c r="E16">
        <v>65407</v>
      </c>
      <c r="F16" s="4" t="s">
        <v>320</v>
      </c>
    </row>
    <row r="17" spans="1:6" ht="15" customHeight="1" x14ac:dyDescent="0.25">
      <c r="A17" t="s">
        <v>375</v>
      </c>
      <c r="B17">
        <v>210</v>
      </c>
      <c r="C17">
        <v>105</v>
      </c>
      <c r="D17">
        <v>30</v>
      </c>
      <c r="E17">
        <v>1993170</v>
      </c>
      <c r="F17" s="4" t="s">
        <v>321</v>
      </c>
    </row>
    <row r="18" spans="1:6" ht="15" customHeight="1" x14ac:dyDescent="0.25">
      <c r="A18" t="s">
        <v>376</v>
      </c>
      <c r="B18">
        <v>255</v>
      </c>
      <c r="C18">
        <v>127</v>
      </c>
      <c r="D18">
        <v>80</v>
      </c>
      <c r="E18">
        <v>5275647</v>
      </c>
      <c r="F18" s="4" t="s">
        <v>322</v>
      </c>
    </row>
    <row r="19" spans="1:6" ht="15" customHeight="1" x14ac:dyDescent="0.25">
      <c r="A19" t="s">
        <v>377</v>
      </c>
      <c r="B19">
        <v>100</v>
      </c>
      <c r="C19">
        <v>149</v>
      </c>
      <c r="D19">
        <v>237</v>
      </c>
      <c r="E19">
        <v>15570276</v>
      </c>
      <c r="F19" s="4" t="s">
        <v>323</v>
      </c>
    </row>
    <row r="20" spans="1:6" ht="15" customHeight="1" x14ac:dyDescent="0.25">
      <c r="A20" t="s">
        <v>378</v>
      </c>
      <c r="B20">
        <v>255</v>
      </c>
      <c r="C20">
        <v>248</v>
      </c>
      <c r="D20">
        <v>220</v>
      </c>
      <c r="E20">
        <v>14481663</v>
      </c>
      <c r="F20" s="4" t="s">
        <v>324</v>
      </c>
    </row>
    <row r="21" spans="1:6" ht="15" customHeight="1" x14ac:dyDescent="0.25">
      <c r="A21" t="s">
        <v>358</v>
      </c>
      <c r="B21">
        <v>220</v>
      </c>
      <c r="C21">
        <v>20</v>
      </c>
      <c r="D21">
        <v>60</v>
      </c>
      <c r="E21">
        <v>3937500</v>
      </c>
      <c r="F21" s="4" t="s">
        <v>325</v>
      </c>
    </row>
    <row r="22" spans="1:6" ht="15" customHeight="1" x14ac:dyDescent="0.25">
      <c r="A22" t="s">
        <v>379</v>
      </c>
      <c r="B22">
        <v>0</v>
      </c>
      <c r="C22">
        <v>255</v>
      </c>
      <c r="D22">
        <v>255</v>
      </c>
      <c r="E22">
        <v>16776960</v>
      </c>
      <c r="F22" s="4" t="s">
        <v>311</v>
      </c>
    </row>
    <row r="23" spans="1:6" ht="15" customHeight="1" x14ac:dyDescent="0.25">
      <c r="A23" t="s">
        <v>380</v>
      </c>
      <c r="B23">
        <v>0</v>
      </c>
      <c r="C23">
        <v>0</v>
      </c>
      <c r="D23">
        <v>139</v>
      </c>
      <c r="E23">
        <v>9109504</v>
      </c>
      <c r="F23" s="4" t="s">
        <v>307</v>
      </c>
    </row>
    <row r="24" spans="1:6" ht="15" customHeight="1" x14ac:dyDescent="0.25">
      <c r="A24" t="s">
        <v>381</v>
      </c>
      <c r="B24">
        <v>0</v>
      </c>
      <c r="C24">
        <v>139</v>
      </c>
      <c r="D24">
        <v>139</v>
      </c>
      <c r="E24">
        <v>9145088</v>
      </c>
      <c r="F24" s="4" t="s">
        <v>198</v>
      </c>
    </row>
    <row r="25" spans="1:6" ht="15" customHeight="1" x14ac:dyDescent="0.25">
      <c r="A25" t="s">
        <v>500</v>
      </c>
      <c r="B25">
        <v>184</v>
      </c>
      <c r="C25">
        <v>134</v>
      </c>
      <c r="D25">
        <v>11</v>
      </c>
      <c r="E25">
        <v>755384</v>
      </c>
      <c r="F25" s="4" t="s">
        <v>199</v>
      </c>
    </row>
    <row r="26" spans="1:6" ht="15" customHeight="1" x14ac:dyDescent="0.25">
      <c r="A26" t="s">
        <v>382</v>
      </c>
      <c r="B26">
        <v>169</v>
      </c>
      <c r="C26">
        <v>169</v>
      </c>
      <c r="D26">
        <v>169</v>
      </c>
      <c r="E26">
        <v>11119017</v>
      </c>
      <c r="F26" s="4" t="s">
        <v>200</v>
      </c>
    </row>
    <row r="27" spans="1:6" ht="15" customHeight="1" x14ac:dyDescent="0.25">
      <c r="A27" t="s">
        <v>497</v>
      </c>
      <c r="B27">
        <v>0</v>
      </c>
      <c r="C27">
        <v>100</v>
      </c>
      <c r="D27">
        <v>0</v>
      </c>
      <c r="E27">
        <v>25600</v>
      </c>
      <c r="F27" s="4" t="s">
        <v>517</v>
      </c>
    </row>
    <row r="28" spans="1:6" ht="15" customHeight="1" x14ac:dyDescent="0.25">
      <c r="A28" t="s">
        <v>383</v>
      </c>
      <c r="B28">
        <v>169</v>
      </c>
      <c r="C28">
        <v>169</v>
      </c>
      <c r="D28">
        <v>169</v>
      </c>
      <c r="E28">
        <v>11119017</v>
      </c>
      <c r="F28" s="4" t="s">
        <v>200</v>
      </c>
    </row>
    <row r="29" spans="1:6" ht="15" customHeight="1" x14ac:dyDescent="0.25">
      <c r="A29" t="s">
        <v>384</v>
      </c>
      <c r="B29">
        <v>189</v>
      </c>
      <c r="C29">
        <v>183</v>
      </c>
      <c r="D29">
        <v>107</v>
      </c>
      <c r="E29">
        <v>7059389</v>
      </c>
      <c r="F29" s="4" t="s">
        <v>201</v>
      </c>
    </row>
    <row r="30" spans="1:6" ht="15" customHeight="1" x14ac:dyDescent="0.25">
      <c r="A30" t="s">
        <v>385</v>
      </c>
      <c r="B30">
        <v>139</v>
      </c>
      <c r="C30">
        <v>0</v>
      </c>
      <c r="D30">
        <v>139</v>
      </c>
      <c r="E30">
        <v>9109643</v>
      </c>
      <c r="F30" s="4" t="s">
        <v>202</v>
      </c>
    </row>
    <row r="31" spans="1:6" ht="15" customHeight="1" x14ac:dyDescent="0.25">
      <c r="A31" t="s">
        <v>386</v>
      </c>
      <c r="B31">
        <v>85</v>
      </c>
      <c r="C31">
        <v>107</v>
      </c>
      <c r="D31">
        <v>47</v>
      </c>
      <c r="E31">
        <v>3107669</v>
      </c>
      <c r="F31" s="4" t="s">
        <v>203</v>
      </c>
    </row>
    <row r="32" spans="1:6" ht="15" customHeight="1" x14ac:dyDescent="0.25">
      <c r="A32" t="s">
        <v>387</v>
      </c>
      <c r="B32">
        <v>255</v>
      </c>
      <c r="C32">
        <v>140</v>
      </c>
      <c r="D32">
        <v>0</v>
      </c>
      <c r="E32">
        <v>36095</v>
      </c>
      <c r="F32" s="4" t="s">
        <v>204</v>
      </c>
    </row>
    <row r="33" spans="1:6" ht="15" customHeight="1" x14ac:dyDescent="0.25">
      <c r="A33" t="s">
        <v>388</v>
      </c>
      <c r="B33">
        <v>153</v>
      </c>
      <c r="C33">
        <v>50</v>
      </c>
      <c r="D33">
        <v>204</v>
      </c>
      <c r="E33">
        <v>13382297</v>
      </c>
      <c r="F33" s="4" t="s">
        <v>205</v>
      </c>
    </row>
    <row r="34" spans="1:6" ht="15" customHeight="1" x14ac:dyDescent="0.25">
      <c r="A34" t="s">
        <v>389</v>
      </c>
      <c r="B34">
        <v>139</v>
      </c>
      <c r="C34">
        <v>0</v>
      </c>
      <c r="D34">
        <v>0</v>
      </c>
      <c r="E34">
        <v>139</v>
      </c>
      <c r="F34" s="4" t="s">
        <v>512</v>
      </c>
    </row>
    <row r="35" spans="1:6" ht="15" customHeight="1" x14ac:dyDescent="0.25">
      <c r="A35" t="s">
        <v>390</v>
      </c>
      <c r="B35">
        <v>233</v>
      </c>
      <c r="C35">
        <v>150</v>
      </c>
      <c r="D35">
        <v>122</v>
      </c>
      <c r="E35">
        <v>8034025</v>
      </c>
      <c r="F35" s="4" t="s">
        <v>206</v>
      </c>
    </row>
    <row r="36" spans="1:6" ht="15" customHeight="1" x14ac:dyDescent="0.25">
      <c r="A36" t="s">
        <v>391</v>
      </c>
      <c r="B36">
        <v>143</v>
      </c>
      <c r="C36">
        <v>188</v>
      </c>
      <c r="D36">
        <v>143</v>
      </c>
      <c r="E36">
        <v>9419919</v>
      </c>
      <c r="F36" s="4" t="s">
        <v>207</v>
      </c>
    </row>
    <row r="37" spans="1:6" ht="15" customHeight="1" x14ac:dyDescent="0.25">
      <c r="A37" t="s">
        <v>392</v>
      </c>
      <c r="B37">
        <v>72</v>
      </c>
      <c r="C37">
        <v>61</v>
      </c>
      <c r="D37">
        <v>139</v>
      </c>
      <c r="E37">
        <v>9125192</v>
      </c>
      <c r="F37" s="4" t="s">
        <v>208</v>
      </c>
    </row>
    <row r="38" spans="1:6" ht="15" customHeight="1" x14ac:dyDescent="0.25">
      <c r="A38" t="s">
        <v>393</v>
      </c>
      <c r="B38">
        <v>47</v>
      </c>
      <c r="C38">
        <v>79</v>
      </c>
      <c r="D38">
        <v>79</v>
      </c>
      <c r="E38">
        <v>5197615</v>
      </c>
      <c r="F38" s="4" t="s">
        <v>209</v>
      </c>
    </row>
    <row r="39" spans="1:6" ht="15" customHeight="1" x14ac:dyDescent="0.25">
      <c r="A39" t="s">
        <v>394</v>
      </c>
      <c r="B39">
        <v>47</v>
      </c>
      <c r="C39">
        <v>79</v>
      </c>
      <c r="D39">
        <v>79</v>
      </c>
      <c r="E39">
        <v>5197615</v>
      </c>
      <c r="F39" s="4" t="s">
        <v>209</v>
      </c>
    </row>
    <row r="40" spans="1:6" ht="15" customHeight="1" x14ac:dyDescent="0.25">
      <c r="A40" t="s">
        <v>395</v>
      </c>
      <c r="B40">
        <v>0</v>
      </c>
      <c r="C40">
        <v>206</v>
      </c>
      <c r="D40">
        <v>209</v>
      </c>
      <c r="E40">
        <v>13749760</v>
      </c>
      <c r="F40" s="4" t="s">
        <v>210</v>
      </c>
    </row>
    <row r="41" spans="1:6" ht="15" customHeight="1" x14ac:dyDescent="0.25">
      <c r="A41" t="s">
        <v>396</v>
      </c>
      <c r="B41">
        <v>148</v>
      </c>
      <c r="C41">
        <v>0</v>
      </c>
      <c r="D41">
        <v>211</v>
      </c>
      <c r="E41">
        <v>13828244</v>
      </c>
      <c r="F41" s="4" t="s">
        <v>211</v>
      </c>
    </row>
    <row r="42" spans="1:6" ht="15" customHeight="1" x14ac:dyDescent="0.25">
      <c r="A42" t="s">
        <v>397</v>
      </c>
      <c r="B42">
        <v>255</v>
      </c>
      <c r="C42">
        <v>20</v>
      </c>
      <c r="D42">
        <v>147</v>
      </c>
      <c r="E42">
        <v>9639167</v>
      </c>
      <c r="F42" s="4" t="s">
        <v>212</v>
      </c>
    </row>
    <row r="43" spans="1:6" ht="15" customHeight="1" x14ac:dyDescent="0.25">
      <c r="A43" t="s">
        <v>398</v>
      </c>
      <c r="B43">
        <v>0</v>
      </c>
      <c r="C43">
        <v>191</v>
      </c>
      <c r="D43">
        <v>255</v>
      </c>
      <c r="E43">
        <v>16760576</v>
      </c>
      <c r="F43" s="4" t="s">
        <v>213</v>
      </c>
    </row>
    <row r="44" spans="1:6" ht="15" customHeight="1" x14ac:dyDescent="0.25">
      <c r="A44" t="s">
        <v>399</v>
      </c>
      <c r="B44">
        <v>105</v>
      </c>
      <c r="C44">
        <v>105</v>
      </c>
      <c r="D44">
        <v>105</v>
      </c>
      <c r="E44">
        <v>6908265</v>
      </c>
      <c r="F44" s="4" t="s">
        <v>298</v>
      </c>
    </row>
    <row r="45" spans="1:6" ht="15" customHeight="1" x14ac:dyDescent="0.25">
      <c r="A45" t="s">
        <v>400</v>
      </c>
      <c r="B45">
        <v>105</v>
      </c>
      <c r="C45">
        <v>105</v>
      </c>
      <c r="D45">
        <v>105</v>
      </c>
      <c r="E45">
        <v>6908265</v>
      </c>
      <c r="F45" s="4" t="s">
        <v>298</v>
      </c>
    </row>
    <row r="46" spans="1:6" ht="15" customHeight="1" x14ac:dyDescent="0.25">
      <c r="A46" t="s">
        <v>401</v>
      </c>
      <c r="B46">
        <v>30</v>
      </c>
      <c r="C46">
        <v>144</v>
      </c>
      <c r="D46">
        <v>255</v>
      </c>
      <c r="E46">
        <v>16748574</v>
      </c>
      <c r="F46" s="4" t="s">
        <v>214</v>
      </c>
    </row>
    <row r="47" spans="1:6" ht="15" customHeight="1" x14ac:dyDescent="0.25">
      <c r="A47" t="s">
        <v>402</v>
      </c>
      <c r="B47">
        <v>178</v>
      </c>
      <c r="C47">
        <v>34</v>
      </c>
      <c r="D47">
        <v>34</v>
      </c>
      <c r="E47">
        <v>2237106</v>
      </c>
      <c r="F47" s="4" t="s">
        <v>215</v>
      </c>
    </row>
    <row r="48" spans="1:6" ht="15" customHeight="1" x14ac:dyDescent="0.25">
      <c r="A48" t="s">
        <v>403</v>
      </c>
      <c r="B48">
        <v>255</v>
      </c>
      <c r="C48">
        <v>250</v>
      </c>
      <c r="D48">
        <v>240</v>
      </c>
      <c r="E48">
        <v>15792895</v>
      </c>
      <c r="F48" s="4" t="s">
        <v>216</v>
      </c>
    </row>
    <row r="49" spans="1:6" ht="15" customHeight="1" x14ac:dyDescent="0.25">
      <c r="A49" t="s">
        <v>404</v>
      </c>
      <c r="B49">
        <v>34</v>
      </c>
      <c r="C49">
        <v>139</v>
      </c>
      <c r="D49">
        <v>34</v>
      </c>
      <c r="E49">
        <v>2263842</v>
      </c>
      <c r="F49" s="4" t="s">
        <v>217</v>
      </c>
    </row>
    <row r="50" spans="1:6" ht="15" customHeight="1" x14ac:dyDescent="0.25">
      <c r="A50" t="s">
        <v>405</v>
      </c>
      <c r="B50">
        <v>255</v>
      </c>
      <c r="C50">
        <v>0</v>
      </c>
      <c r="D50">
        <v>255</v>
      </c>
      <c r="E50">
        <v>16711935</v>
      </c>
      <c r="F50" s="4" t="s">
        <v>197</v>
      </c>
    </row>
    <row r="51" spans="1:6" ht="15" customHeight="1" x14ac:dyDescent="0.25">
      <c r="A51" t="s">
        <v>406</v>
      </c>
      <c r="B51">
        <v>220</v>
      </c>
      <c r="C51">
        <v>220</v>
      </c>
      <c r="D51">
        <v>220</v>
      </c>
      <c r="E51">
        <v>14474460</v>
      </c>
      <c r="F51" s="4" t="s">
        <v>218</v>
      </c>
    </row>
    <row r="52" spans="1:6" ht="15" customHeight="1" x14ac:dyDescent="0.25">
      <c r="A52" t="s">
        <v>407</v>
      </c>
      <c r="B52">
        <v>248</v>
      </c>
      <c r="C52">
        <v>248</v>
      </c>
      <c r="D52">
        <v>255</v>
      </c>
      <c r="E52">
        <v>16775416</v>
      </c>
      <c r="F52" s="4" t="s">
        <v>219</v>
      </c>
    </row>
    <row r="53" spans="1:6" ht="15" customHeight="1" x14ac:dyDescent="0.25">
      <c r="A53" t="s">
        <v>408</v>
      </c>
      <c r="B53">
        <v>255</v>
      </c>
      <c r="C53">
        <v>215</v>
      </c>
      <c r="D53">
        <v>0</v>
      </c>
      <c r="E53">
        <v>55295</v>
      </c>
      <c r="F53" s="4" t="s">
        <v>220</v>
      </c>
    </row>
    <row r="54" spans="1:6" ht="15" customHeight="1" x14ac:dyDescent="0.25">
      <c r="A54" t="s">
        <v>499</v>
      </c>
      <c r="B54">
        <v>218</v>
      </c>
      <c r="C54">
        <v>165</v>
      </c>
      <c r="D54">
        <v>32</v>
      </c>
      <c r="E54">
        <v>2139610</v>
      </c>
      <c r="F54" s="4" t="s">
        <v>221</v>
      </c>
    </row>
    <row r="55" spans="1:6" ht="15" customHeight="1" x14ac:dyDescent="0.25">
      <c r="A55" t="s">
        <v>409</v>
      </c>
      <c r="B55">
        <v>128</v>
      </c>
      <c r="C55">
        <v>128</v>
      </c>
      <c r="D55">
        <v>128</v>
      </c>
      <c r="E55">
        <v>8421504</v>
      </c>
      <c r="F55" s="4" t="s">
        <v>299</v>
      </c>
    </row>
    <row r="56" spans="1:6" ht="15" customHeight="1" x14ac:dyDescent="0.25">
      <c r="A56" t="s">
        <v>529</v>
      </c>
      <c r="B56" s="6">
        <v>229</v>
      </c>
      <c r="C56" s="6">
        <v>229</v>
      </c>
      <c r="D56" s="6">
        <v>229</v>
      </c>
      <c r="E56">
        <v>15066597</v>
      </c>
      <c r="F56" s="4" t="s">
        <v>345</v>
      </c>
    </row>
    <row r="57" spans="1:6" ht="15" customHeight="1" x14ac:dyDescent="0.25">
      <c r="A57" t="s">
        <v>530</v>
      </c>
      <c r="B57" s="6">
        <v>204</v>
      </c>
      <c r="C57" s="6">
        <v>204</v>
      </c>
      <c r="D57" s="6">
        <v>204</v>
      </c>
      <c r="E57">
        <v>13421772</v>
      </c>
      <c r="F57" s="4" t="s">
        <v>344</v>
      </c>
    </row>
    <row r="58" spans="1:6" ht="15" customHeight="1" x14ac:dyDescent="0.25">
      <c r="A58" t="s">
        <v>522</v>
      </c>
      <c r="B58" s="6">
        <v>179</v>
      </c>
      <c r="C58" s="6">
        <v>179</v>
      </c>
      <c r="D58" s="6">
        <v>179</v>
      </c>
      <c r="E58">
        <v>11776947</v>
      </c>
      <c r="F58" s="4" t="s">
        <v>355</v>
      </c>
    </row>
    <row r="59" spans="1:6" ht="15" customHeight="1" x14ac:dyDescent="0.25">
      <c r="A59" t="s">
        <v>523</v>
      </c>
      <c r="B59" s="6">
        <v>153</v>
      </c>
      <c r="C59" s="6">
        <v>153</v>
      </c>
      <c r="D59" s="6">
        <v>153</v>
      </c>
      <c r="E59">
        <v>10066329</v>
      </c>
      <c r="F59" s="4" t="s">
        <v>343</v>
      </c>
    </row>
    <row r="60" spans="1:6" ht="15" customHeight="1" x14ac:dyDescent="0.25">
      <c r="A60" t="s">
        <v>524</v>
      </c>
      <c r="B60">
        <v>128</v>
      </c>
      <c r="C60">
        <v>128</v>
      </c>
      <c r="D60">
        <v>128</v>
      </c>
      <c r="E60">
        <v>8421504</v>
      </c>
      <c r="F60" s="4" t="s">
        <v>299</v>
      </c>
    </row>
    <row r="61" spans="1:6" ht="15" customHeight="1" x14ac:dyDescent="0.25">
      <c r="A61" t="s">
        <v>525</v>
      </c>
      <c r="B61" s="6">
        <v>102</v>
      </c>
      <c r="C61" s="6">
        <v>102</v>
      </c>
      <c r="D61" s="6">
        <v>102</v>
      </c>
      <c r="E61">
        <v>6710886</v>
      </c>
      <c r="F61" s="4" t="s">
        <v>342</v>
      </c>
    </row>
    <row r="62" spans="1:6" ht="15" customHeight="1" x14ac:dyDescent="0.25">
      <c r="A62" t="s">
        <v>526</v>
      </c>
      <c r="B62">
        <v>76</v>
      </c>
      <c r="C62">
        <v>76</v>
      </c>
      <c r="D62">
        <v>76</v>
      </c>
      <c r="E62">
        <v>5000268</v>
      </c>
      <c r="F62" s="4" t="s">
        <v>356</v>
      </c>
    </row>
    <row r="63" spans="1:6" ht="15" customHeight="1" x14ac:dyDescent="0.25">
      <c r="A63" t="s">
        <v>527</v>
      </c>
      <c r="B63" s="6">
        <v>51</v>
      </c>
      <c r="C63" s="6">
        <v>51</v>
      </c>
      <c r="D63" s="6">
        <v>51</v>
      </c>
      <c r="E63">
        <v>3355443</v>
      </c>
      <c r="F63" s="4" t="s">
        <v>341</v>
      </c>
    </row>
    <row r="64" spans="1:6" ht="15" customHeight="1" x14ac:dyDescent="0.25">
      <c r="A64" t="s">
        <v>528</v>
      </c>
      <c r="B64">
        <v>26</v>
      </c>
      <c r="C64">
        <v>26</v>
      </c>
      <c r="D64">
        <v>26</v>
      </c>
      <c r="E64">
        <v>1710618</v>
      </c>
      <c r="F64" s="4" t="s">
        <v>357</v>
      </c>
    </row>
    <row r="65" spans="1:6" ht="15" customHeight="1" x14ac:dyDescent="0.25">
      <c r="A65" t="s">
        <v>410</v>
      </c>
      <c r="B65">
        <v>0</v>
      </c>
      <c r="C65">
        <v>128</v>
      </c>
      <c r="D65">
        <v>0</v>
      </c>
      <c r="E65">
        <v>32768</v>
      </c>
      <c r="F65" s="4" t="s">
        <v>295</v>
      </c>
    </row>
    <row r="66" spans="1:6" ht="15" customHeight="1" x14ac:dyDescent="0.25">
      <c r="A66" t="s">
        <v>411</v>
      </c>
      <c r="B66">
        <v>173</v>
      </c>
      <c r="C66">
        <v>255</v>
      </c>
      <c r="D66">
        <v>47</v>
      </c>
      <c r="E66">
        <v>3145645</v>
      </c>
      <c r="F66" s="4" t="s">
        <v>222</v>
      </c>
    </row>
    <row r="67" spans="1:6" ht="15" customHeight="1" x14ac:dyDescent="0.25">
      <c r="A67" t="s">
        <v>521</v>
      </c>
      <c r="B67">
        <v>128</v>
      </c>
      <c r="C67">
        <v>128</v>
      </c>
      <c r="D67">
        <v>128</v>
      </c>
      <c r="E67">
        <v>8421504</v>
      </c>
      <c r="F67" s="4" t="s">
        <v>299</v>
      </c>
    </row>
    <row r="68" spans="1:6" ht="15" customHeight="1" x14ac:dyDescent="0.25">
      <c r="A68" t="s">
        <v>346</v>
      </c>
      <c r="B68" s="6">
        <v>229</v>
      </c>
      <c r="C68" s="6">
        <v>229</v>
      </c>
      <c r="D68" s="6">
        <v>229</v>
      </c>
      <c r="E68">
        <v>15066597</v>
      </c>
      <c r="F68" s="4" t="s">
        <v>345</v>
      </c>
    </row>
    <row r="69" spans="1:6" ht="15" customHeight="1" x14ac:dyDescent="0.25">
      <c r="A69" t="s">
        <v>347</v>
      </c>
      <c r="B69" s="6">
        <v>204</v>
      </c>
      <c r="C69" s="6">
        <v>204</v>
      </c>
      <c r="D69" s="6">
        <v>204</v>
      </c>
      <c r="E69">
        <v>13421772</v>
      </c>
      <c r="F69" s="4" t="s">
        <v>344</v>
      </c>
    </row>
    <row r="70" spans="1:6" ht="15" customHeight="1" x14ac:dyDescent="0.25">
      <c r="A70" t="s">
        <v>352</v>
      </c>
      <c r="B70" s="6">
        <v>179</v>
      </c>
      <c r="C70" s="6">
        <v>179</v>
      </c>
      <c r="D70" s="6">
        <v>179</v>
      </c>
      <c r="E70">
        <v>11776947</v>
      </c>
      <c r="F70" s="4" t="s">
        <v>355</v>
      </c>
    </row>
    <row r="71" spans="1:6" ht="15" customHeight="1" x14ac:dyDescent="0.25">
      <c r="A71" t="s">
        <v>348</v>
      </c>
      <c r="B71" s="6">
        <v>153</v>
      </c>
      <c r="C71" s="6">
        <v>153</v>
      </c>
      <c r="D71" s="6">
        <v>153</v>
      </c>
      <c r="E71">
        <v>10066329</v>
      </c>
      <c r="F71" s="4" t="s">
        <v>343</v>
      </c>
    </row>
    <row r="72" spans="1:6" ht="15" customHeight="1" x14ac:dyDescent="0.25">
      <c r="A72" t="s">
        <v>351</v>
      </c>
      <c r="B72">
        <v>128</v>
      </c>
      <c r="C72">
        <v>128</v>
      </c>
      <c r="D72">
        <v>128</v>
      </c>
      <c r="E72">
        <v>8421504</v>
      </c>
      <c r="F72" s="4" t="s">
        <v>299</v>
      </c>
    </row>
    <row r="73" spans="1:6" ht="15" customHeight="1" x14ac:dyDescent="0.25">
      <c r="A73" t="s">
        <v>349</v>
      </c>
      <c r="B73" s="6">
        <v>102</v>
      </c>
      <c r="C73" s="6">
        <v>102</v>
      </c>
      <c r="D73" s="6">
        <v>102</v>
      </c>
      <c r="E73">
        <v>6710886</v>
      </c>
      <c r="F73" s="4" t="s">
        <v>342</v>
      </c>
    </row>
    <row r="74" spans="1:6" ht="15" customHeight="1" x14ac:dyDescent="0.25">
      <c r="A74" t="s">
        <v>353</v>
      </c>
      <c r="B74">
        <v>76</v>
      </c>
      <c r="C74">
        <v>76</v>
      </c>
      <c r="D74">
        <v>76</v>
      </c>
      <c r="E74">
        <v>5000268</v>
      </c>
      <c r="F74" s="4" t="s">
        <v>356</v>
      </c>
    </row>
    <row r="75" spans="1:6" ht="15" customHeight="1" x14ac:dyDescent="0.25">
      <c r="A75" t="s">
        <v>350</v>
      </c>
      <c r="B75" s="6">
        <v>51</v>
      </c>
      <c r="C75" s="6">
        <v>51</v>
      </c>
      <c r="D75" s="6">
        <v>51</v>
      </c>
      <c r="E75">
        <v>3355443</v>
      </c>
      <c r="F75" s="4" t="s">
        <v>341</v>
      </c>
    </row>
    <row r="76" spans="1:6" ht="15" customHeight="1" x14ac:dyDescent="0.25">
      <c r="A76" t="s">
        <v>354</v>
      </c>
      <c r="B76">
        <v>26</v>
      </c>
      <c r="C76">
        <v>26</v>
      </c>
      <c r="D76">
        <v>26</v>
      </c>
      <c r="E76">
        <v>1710618</v>
      </c>
      <c r="F76" s="4" t="s">
        <v>357</v>
      </c>
    </row>
    <row r="77" spans="1:6" ht="15" customHeight="1" x14ac:dyDescent="0.25">
      <c r="A77" t="s">
        <v>501</v>
      </c>
      <c r="B77">
        <v>240</v>
      </c>
      <c r="C77">
        <v>255</v>
      </c>
      <c r="D77">
        <v>240</v>
      </c>
      <c r="E77">
        <v>15794160</v>
      </c>
      <c r="F77" s="4" t="s">
        <v>223</v>
      </c>
    </row>
    <row r="78" spans="1:6" ht="15" customHeight="1" x14ac:dyDescent="0.25">
      <c r="A78" t="s">
        <v>412</v>
      </c>
      <c r="B78">
        <v>255</v>
      </c>
      <c r="C78">
        <v>105</v>
      </c>
      <c r="D78">
        <v>180</v>
      </c>
      <c r="E78">
        <v>11823615</v>
      </c>
      <c r="F78" s="4" t="s">
        <v>224</v>
      </c>
    </row>
    <row r="79" spans="1:6" ht="15" customHeight="1" x14ac:dyDescent="0.25">
      <c r="A79" t="s">
        <v>413</v>
      </c>
      <c r="B79">
        <v>205</v>
      </c>
      <c r="C79">
        <v>92</v>
      </c>
      <c r="D79">
        <v>92</v>
      </c>
      <c r="E79">
        <v>6053069</v>
      </c>
      <c r="F79" s="4" t="s">
        <v>225</v>
      </c>
    </row>
    <row r="80" spans="1:6" ht="15" customHeight="1" x14ac:dyDescent="0.25">
      <c r="A80" t="s">
        <v>414</v>
      </c>
      <c r="B80">
        <v>75</v>
      </c>
      <c r="C80">
        <v>0</v>
      </c>
      <c r="D80">
        <v>130</v>
      </c>
      <c r="E80">
        <v>8519755</v>
      </c>
      <c r="F80" s="4" t="s">
        <v>226</v>
      </c>
    </row>
    <row r="81" spans="1:6" ht="15" customHeight="1" x14ac:dyDescent="0.25">
      <c r="A81" t="s">
        <v>415</v>
      </c>
      <c r="B81">
        <v>255</v>
      </c>
      <c r="C81">
        <v>255</v>
      </c>
      <c r="D81">
        <v>240</v>
      </c>
      <c r="E81">
        <v>15794175</v>
      </c>
      <c r="F81" s="4" t="s">
        <v>227</v>
      </c>
    </row>
    <row r="82" spans="1:6" ht="15" customHeight="1" x14ac:dyDescent="0.25">
      <c r="A82" t="s">
        <v>416</v>
      </c>
      <c r="B82">
        <v>240</v>
      </c>
      <c r="C82">
        <v>230</v>
      </c>
      <c r="D82">
        <v>140</v>
      </c>
      <c r="E82">
        <v>9234160</v>
      </c>
      <c r="F82" s="4" t="s">
        <v>228</v>
      </c>
    </row>
    <row r="83" spans="1:6" ht="15" customHeight="1" x14ac:dyDescent="0.25">
      <c r="A83" t="s">
        <v>417</v>
      </c>
      <c r="B83">
        <v>230</v>
      </c>
      <c r="C83">
        <v>230</v>
      </c>
      <c r="D83">
        <v>250</v>
      </c>
      <c r="E83">
        <v>16443110</v>
      </c>
      <c r="F83" s="4" t="s">
        <v>514</v>
      </c>
    </row>
    <row r="84" spans="1:6" ht="15" customHeight="1" x14ac:dyDescent="0.25">
      <c r="A84" t="s">
        <v>418</v>
      </c>
      <c r="B84">
        <v>255</v>
      </c>
      <c r="C84">
        <v>240</v>
      </c>
      <c r="D84">
        <v>245</v>
      </c>
      <c r="E84">
        <v>16118015</v>
      </c>
      <c r="F84" s="4" t="s">
        <v>229</v>
      </c>
    </row>
    <row r="85" spans="1:6" ht="15" customHeight="1" x14ac:dyDescent="0.25">
      <c r="A85" t="s">
        <v>419</v>
      </c>
      <c r="B85">
        <v>124</v>
      </c>
      <c r="C85">
        <v>252</v>
      </c>
      <c r="D85">
        <v>0</v>
      </c>
      <c r="E85">
        <v>64636</v>
      </c>
      <c r="F85" s="4" t="s">
        <v>230</v>
      </c>
    </row>
    <row r="86" spans="1:6" ht="15" customHeight="1" x14ac:dyDescent="0.25">
      <c r="A86" t="s">
        <v>420</v>
      </c>
      <c r="B86">
        <v>255</v>
      </c>
      <c r="C86">
        <v>250</v>
      </c>
      <c r="D86">
        <v>205</v>
      </c>
      <c r="E86">
        <v>13499135</v>
      </c>
      <c r="F86" s="4" t="s">
        <v>231</v>
      </c>
    </row>
    <row r="87" spans="1:6" ht="15" customHeight="1" x14ac:dyDescent="0.25">
      <c r="A87" t="s">
        <v>421</v>
      </c>
      <c r="B87">
        <v>173</v>
      </c>
      <c r="C87">
        <v>216</v>
      </c>
      <c r="D87">
        <v>230</v>
      </c>
      <c r="E87">
        <v>15128749</v>
      </c>
      <c r="F87" s="4" t="s">
        <v>519</v>
      </c>
    </row>
    <row r="88" spans="1:6" ht="15" customHeight="1" x14ac:dyDescent="0.25">
      <c r="A88" t="s">
        <v>422</v>
      </c>
      <c r="B88">
        <v>240</v>
      </c>
      <c r="C88">
        <v>128</v>
      </c>
      <c r="D88">
        <v>128</v>
      </c>
      <c r="E88">
        <v>8421616</v>
      </c>
      <c r="F88" s="4" t="s">
        <v>232</v>
      </c>
    </row>
    <row r="89" spans="1:6" ht="15" customHeight="1" x14ac:dyDescent="0.25">
      <c r="A89" t="s">
        <v>423</v>
      </c>
      <c r="B89">
        <v>224</v>
      </c>
      <c r="C89">
        <v>255</v>
      </c>
      <c r="D89">
        <v>255</v>
      </c>
      <c r="E89">
        <v>16777184</v>
      </c>
      <c r="F89" s="4" t="s">
        <v>233</v>
      </c>
    </row>
    <row r="90" spans="1:6" ht="15" customHeight="1" x14ac:dyDescent="0.25">
      <c r="A90" t="s">
        <v>495</v>
      </c>
      <c r="B90">
        <v>250</v>
      </c>
      <c r="C90">
        <v>250</v>
      </c>
      <c r="D90">
        <v>210</v>
      </c>
      <c r="E90">
        <v>13826810</v>
      </c>
      <c r="F90" s="4" t="s">
        <v>234</v>
      </c>
    </row>
    <row r="91" spans="1:6" ht="15" customHeight="1" x14ac:dyDescent="0.25">
      <c r="A91" t="s">
        <v>424</v>
      </c>
      <c r="B91">
        <v>211</v>
      </c>
      <c r="C91">
        <v>211</v>
      </c>
      <c r="D91">
        <v>211</v>
      </c>
      <c r="E91">
        <v>13882323</v>
      </c>
      <c r="F91" s="4" t="s">
        <v>235</v>
      </c>
    </row>
    <row r="92" spans="1:6" ht="15" customHeight="1" x14ac:dyDescent="0.25">
      <c r="A92" t="s">
        <v>425</v>
      </c>
      <c r="B92">
        <v>144</v>
      </c>
      <c r="C92">
        <v>238</v>
      </c>
      <c r="D92">
        <v>144</v>
      </c>
      <c r="E92">
        <v>9498256</v>
      </c>
      <c r="F92" s="4" t="s">
        <v>236</v>
      </c>
    </row>
    <row r="93" spans="1:6" ht="15" customHeight="1" x14ac:dyDescent="0.25">
      <c r="A93" t="s">
        <v>426</v>
      </c>
      <c r="B93">
        <v>211</v>
      </c>
      <c r="C93">
        <v>211</v>
      </c>
      <c r="D93">
        <v>211</v>
      </c>
      <c r="E93">
        <v>13882323</v>
      </c>
      <c r="F93" s="4" t="s">
        <v>235</v>
      </c>
    </row>
    <row r="94" spans="1:6" ht="15" customHeight="1" x14ac:dyDescent="0.25">
      <c r="A94" t="s">
        <v>427</v>
      </c>
      <c r="B94">
        <v>255</v>
      </c>
      <c r="C94">
        <v>182</v>
      </c>
      <c r="D94">
        <v>193</v>
      </c>
      <c r="E94">
        <v>12695295</v>
      </c>
      <c r="F94" s="4" t="s">
        <v>237</v>
      </c>
    </row>
    <row r="95" spans="1:6" ht="15" customHeight="1" x14ac:dyDescent="0.25">
      <c r="A95" t="s">
        <v>428</v>
      </c>
      <c r="B95">
        <v>255</v>
      </c>
      <c r="C95">
        <v>160</v>
      </c>
      <c r="D95">
        <v>122</v>
      </c>
      <c r="E95">
        <v>8036607</v>
      </c>
      <c r="F95" s="4" t="s">
        <v>238</v>
      </c>
    </row>
    <row r="96" spans="1:6" ht="15" customHeight="1" x14ac:dyDescent="0.25">
      <c r="A96" t="s">
        <v>428</v>
      </c>
      <c r="B96">
        <v>255</v>
      </c>
      <c r="C96">
        <v>160</v>
      </c>
      <c r="D96">
        <v>122</v>
      </c>
      <c r="E96">
        <v>8036607</v>
      </c>
      <c r="F96" s="4" t="s">
        <v>238</v>
      </c>
    </row>
    <row r="97" spans="1:6" ht="15" customHeight="1" x14ac:dyDescent="0.25">
      <c r="A97" t="s">
        <v>429</v>
      </c>
      <c r="B97">
        <v>32</v>
      </c>
      <c r="C97">
        <v>178</v>
      </c>
      <c r="D97">
        <v>170</v>
      </c>
      <c r="E97">
        <v>11186720</v>
      </c>
      <c r="F97" s="4" t="s">
        <v>239</v>
      </c>
    </row>
    <row r="98" spans="1:6" ht="15" customHeight="1" x14ac:dyDescent="0.25">
      <c r="A98" t="s">
        <v>430</v>
      </c>
      <c r="B98">
        <v>135</v>
      </c>
      <c r="C98">
        <v>206</v>
      </c>
      <c r="D98">
        <v>250</v>
      </c>
      <c r="E98">
        <v>16436871</v>
      </c>
      <c r="F98" s="4" t="s">
        <v>240</v>
      </c>
    </row>
    <row r="99" spans="1:6" ht="15" customHeight="1" x14ac:dyDescent="0.25">
      <c r="A99" t="s">
        <v>431</v>
      </c>
      <c r="B99">
        <v>119</v>
      </c>
      <c r="C99">
        <v>136</v>
      </c>
      <c r="D99">
        <v>153</v>
      </c>
      <c r="E99">
        <v>10061943</v>
      </c>
      <c r="F99" s="4" t="s">
        <v>300</v>
      </c>
    </row>
    <row r="100" spans="1:6" ht="15" customHeight="1" x14ac:dyDescent="0.25">
      <c r="A100" t="s">
        <v>432</v>
      </c>
      <c r="B100">
        <v>119</v>
      </c>
      <c r="C100">
        <v>136</v>
      </c>
      <c r="D100">
        <v>153</v>
      </c>
      <c r="E100">
        <v>10061943</v>
      </c>
      <c r="F100" s="4" t="s">
        <v>300</v>
      </c>
    </row>
    <row r="101" spans="1:6" ht="15" customHeight="1" x14ac:dyDescent="0.25">
      <c r="A101" t="s">
        <v>433</v>
      </c>
      <c r="B101">
        <v>176</v>
      </c>
      <c r="C101">
        <v>196</v>
      </c>
      <c r="D101">
        <v>222</v>
      </c>
      <c r="E101">
        <v>14599344</v>
      </c>
      <c r="F101" s="4" t="s">
        <v>241</v>
      </c>
    </row>
    <row r="102" spans="1:6" ht="15" customHeight="1" x14ac:dyDescent="0.25">
      <c r="A102" t="s">
        <v>434</v>
      </c>
      <c r="B102">
        <v>255</v>
      </c>
      <c r="C102">
        <v>255</v>
      </c>
      <c r="D102">
        <v>224</v>
      </c>
      <c r="E102">
        <v>14745599</v>
      </c>
      <c r="F102" s="4" t="s">
        <v>242</v>
      </c>
    </row>
    <row r="103" spans="1:6" ht="15" customHeight="1" x14ac:dyDescent="0.25">
      <c r="A103" t="s">
        <v>435</v>
      </c>
      <c r="B103">
        <v>0</v>
      </c>
      <c r="C103">
        <v>255</v>
      </c>
      <c r="D103">
        <v>0</v>
      </c>
      <c r="E103">
        <v>65280</v>
      </c>
      <c r="F103" s="4" t="s">
        <v>196</v>
      </c>
    </row>
    <row r="104" spans="1:6" ht="15" customHeight="1" x14ac:dyDescent="0.25">
      <c r="A104" t="s">
        <v>436</v>
      </c>
      <c r="B104">
        <v>50</v>
      </c>
      <c r="C104">
        <v>205</v>
      </c>
      <c r="D104">
        <v>50</v>
      </c>
      <c r="E104">
        <v>3329330</v>
      </c>
      <c r="F104" s="4" t="s">
        <v>243</v>
      </c>
    </row>
    <row r="105" spans="1:6" ht="15" customHeight="1" x14ac:dyDescent="0.25">
      <c r="A105" t="s">
        <v>437</v>
      </c>
      <c r="B105">
        <v>250</v>
      </c>
      <c r="C105">
        <v>240</v>
      </c>
      <c r="D105">
        <v>230</v>
      </c>
      <c r="E105">
        <v>15134970</v>
      </c>
      <c r="F105" s="4" t="s">
        <v>244</v>
      </c>
    </row>
    <row r="106" spans="1:6" ht="15" customHeight="1" x14ac:dyDescent="0.25">
      <c r="A106" t="s">
        <v>438</v>
      </c>
      <c r="B106">
        <v>255</v>
      </c>
      <c r="C106">
        <v>0</v>
      </c>
      <c r="D106">
        <v>255</v>
      </c>
      <c r="E106">
        <v>16711935</v>
      </c>
      <c r="F106" s="4" t="s">
        <v>197</v>
      </c>
    </row>
    <row r="107" spans="1:6" ht="15" customHeight="1" x14ac:dyDescent="0.25">
      <c r="A107" t="s">
        <v>439</v>
      </c>
      <c r="B107">
        <v>128</v>
      </c>
      <c r="C107">
        <v>0</v>
      </c>
      <c r="D107">
        <v>0</v>
      </c>
      <c r="E107">
        <v>128</v>
      </c>
      <c r="F107" s="4" t="s">
        <v>301</v>
      </c>
    </row>
    <row r="108" spans="1:6" ht="15" customHeight="1" x14ac:dyDescent="0.25">
      <c r="A108" t="s">
        <v>498</v>
      </c>
      <c r="B108">
        <v>102</v>
      </c>
      <c r="C108">
        <v>205</v>
      </c>
      <c r="D108">
        <v>170</v>
      </c>
      <c r="E108">
        <v>11193702</v>
      </c>
      <c r="F108" s="4" t="s">
        <v>245</v>
      </c>
    </row>
    <row r="109" spans="1:6" ht="15" customHeight="1" x14ac:dyDescent="0.25">
      <c r="A109" t="s">
        <v>440</v>
      </c>
      <c r="B109">
        <v>0</v>
      </c>
      <c r="C109">
        <v>0</v>
      </c>
      <c r="D109">
        <v>205</v>
      </c>
      <c r="E109">
        <v>13434880</v>
      </c>
      <c r="F109" s="4" t="s">
        <v>246</v>
      </c>
    </row>
    <row r="110" spans="1:6" ht="15" customHeight="1" x14ac:dyDescent="0.25">
      <c r="A110" t="s">
        <v>441</v>
      </c>
      <c r="B110">
        <v>186</v>
      </c>
      <c r="C110">
        <v>85</v>
      </c>
      <c r="D110">
        <v>211</v>
      </c>
      <c r="E110">
        <v>13850042</v>
      </c>
      <c r="F110" s="4" t="s">
        <v>247</v>
      </c>
    </row>
    <row r="111" spans="1:6" ht="15" customHeight="1" x14ac:dyDescent="0.25">
      <c r="A111" t="s">
        <v>442</v>
      </c>
      <c r="B111">
        <v>147</v>
      </c>
      <c r="C111">
        <v>112</v>
      </c>
      <c r="D111">
        <v>219</v>
      </c>
      <c r="E111">
        <v>14381203</v>
      </c>
      <c r="F111" s="4" t="s">
        <v>516</v>
      </c>
    </row>
    <row r="112" spans="1:6" ht="15" customHeight="1" x14ac:dyDescent="0.25">
      <c r="A112" t="s">
        <v>443</v>
      </c>
      <c r="B112">
        <v>60</v>
      </c>
      <c r="C112">
        <v>179</v>
      </c>
      <c r="D112">
        <v>113</v>
      </c>
      <c r="E112">
        <v>7451452</v>
      </c>
      <c r="F112" s="4" t="s">
        <v>248</v>
      </c>
    </row>
    <row r="113" spans="1:6" ht="15" customHeight="1" x14ac:dyDescent="0.25">
      <c r="A113" t="s">
        <v>444</v>
      </c>
      <c r="B113">
        <v>123</v>
      </c>
      <c r="C113">
        <v>104</v>
      </c>
      <c r="D113">
        <v>238</v>
      </c>
      <c r="E113">
        <v>15624315</v>
      </c>
      <c r="F113" s="4" t="s">
        <v>249</v>
      </c>
    </row>
    <row r="114" spans="1:6" ht="15" customHeight="1" x14ac:dyDescent="0.25">
      <c r="A114" t="s">
        <v>445</v>
      </c>
      <c r="B114">
        <v>0</v>
      </c>
      <c r="C114">
        <v>250</v>
      </c>
      <c r="D114">
        <v>154</v>
      </c>
      <c r="E114">
        <v>10156544</v>
      </c>
      <c r="F114" s="4" t="s">
        <v>250</v>
      </c>
    </row>
    <row r="115" spans="1:6" ht="15" customHeight="1" x14ac:dyDescent="0.25">
      <c r="A115" t="s">
        <v>446</v>
      </c>
      <c r="B115">
        <v>72</v>
      </c>
      <c r="C115">
        <v>209</v>
      </c>
      <c r="D115">
        <v>204</v>
      </c>
      <c r="E115">
        <v>13422920</v>
      </c>
      <c r="F115" s="4" t="s">
        <v>251</v>
      </c>
    </row>
    <row r="116" spans="1:6" ht="15" customHeight="1" x14ac:dyDescent="0.25">
      <c r="A116" t="s">
        <v>447</v>
      </c>
      <c r="B116">
        <v>199</v>
      </c>
      <c r="C116">
        <v>21</v>
      </c>
      <c r="D116">
        <v>133</v>
      </c>
      <c r="E116">
        <v>8721863</v>
      </c>
      <c r="F116" s="4" t="s">
        <v>252</v>
      </c>
    </row>
    <row r="117" spans="1:6" ht="15" customHeight="1" x14ac:dyDescent="0.25">
      <c r="A117" t="s">
        <v>448</v>
      </c>
      <c r="B117">
        <v>25</v>
      </c>
      <c r="C117">
        <v>25</v>
      </c>
      <c r="D117">
        <v>112</v>
      </c>
      <c r="E117">
        <v>7346457</v>
      </c>
      <c r="F117" s="4" t="s">
        <v>302</v>
      </c>
    </row>
    <row r="118" spans="1:6" ht="15" customHeight="1" x14ac:dyDescent="0.25">
      <c r="A118" t="s">
        <v>449</v>
      </c>
      <c r="B118">
        <v>245</v>
      </c>
      <c r="C118">
        <v>255</v>
      </c>
      <c r="D118">
        <v>250</v>
      </c>
      <c r="E118">
        <v>16449525</v>
      </c>
      <c r="F118" s="4" t="s">
        <v>253</v>
      </c>
    </row>
    <row r="119" spans="1:6" ht="15" customHeight="1" x14ac:dyDescent="0.25">
      <c r="A119" t="s">
        <v>450</v>
      </c>
      <c r="B119">
        <v>255</v>
      </c>
      <c r="C119">
        <v>228</v>
      </c>
      <c r="D119">
        <v>225</v>
      </c>
      <c r="E119">
        <v>14804223</v>
      </c>
      <c r="F119" s="4" t="s">
        <v>254</v>
      </c>
    </row>
    <row r="120" spans="1:6" ht="15" customHeight="1" x14ac:dyDescent="0.25">
      <c r="A120" t="s">
        <v>451</v>
      </c>
      <c r="B120">
        <v>255</v>
      </c>
      <c r="C120">
        <v>228</v>
      </c>
      <c r="D120">
        <v>181</v>
      </c>
      <c r="E120">
        <v>11920639</v>
      </c>
      <c r="F120" s="4" t="s">
        <v>255</v>
      </c>
    </row>
    <row r="121" spans="1:6" ht="15" customHeight="1" x14ac:dyDescent="0.25">
      <c r="A121" t="s">
        <v>452</v>
      </c>
      <c r="B121">
        <v>255</v>
      </c>
      <c r="C121">
        <v>222</v>
      </c>
      <c r="D121">
        <v>173</v>
      </c>
      <c r="E121">
        <v>11394815</v>
      </c>
      <c r="F121" s="4" t="s">
        <v>256</v>
      </c>
    </row>
    <row r="122" spans="1:6" ht="15" customHeight="1" x14ac:dyDescent="0.25">
      <c r="A122" t="s">
        <v>453</v>
      </c>
      <c r="B122">
        <v>0</v>
      </c>
      <c r="C122">
        <v>0</v>
      </c>
      <c r="D122">
        <v>128</v>
      </c>
      <c r="E122">
        <v>8388608</v>
      </c>
      <c r="F122" s="4" t="s">
        <v>296</v>
      </c>
    </row>
    <row r="123" spans="1:6" ht="15" customHeight="1" x14ac:dyDescent="0.25">
      <c r="A123" t="s">
        <v>454</v>
      </c>
      <c r="B123">
        <v>253</v>
      </c>
      <c r="C123">
        <v>245</v>
      </c>
      <c r="D123">
        <v>230</v>
      </c>
      <c r="E123">
        <v>15136253</v>
      </c>
      <c r="F123" s="4" t="s">
        <v>257</v>
      </c>
    </row>
    <row r="124" spans="1:6" ht="15" customHeight="1" x14ac:dyDescent="0.25">
      <c r="A124" t="s">
        <v>455</v>
      </c>
      <c r="B124">
        <v>128</v>
      </c>
      <c r="C124">
        <v>128</v>
      </c>
      <c r="D124">
        <v>0</v>
      </c>
      <c r="E124">
        <v>32896</v>
      </c>
      <c r="F124" s="4" t="s">
        <v>303</v>
      </c>
    </row>
    <row r="125" spans="1:6" ht="15" customHeight="1" x14ac:dyDescent="0.25">
      <c r="A125" t="s">
        <v>456</v>
      </c>
      <c r="B125">
        <v>107</v>
      </c>
      <c r="C125">
        <v>142</v>
      </c>
      <c r="D125">
        <v>35</v>
      </c>
      <c r="E125">
        <v>2330219</v>
      </c>
      <c r="F125" s="4" t="s">
        <v>258</v>
      </c>
    </row>
    <row r="126" spans="1:6" ht="15" customHeight="1" x14ac:dyDescent="0.25">
      <c r="A126" t="s">
        <v>457</v>
      </c>
      <c r="B126">
        <v>255</v>
      </c>
      <c r="C126">
        <v>165</v>
      </c>
      <c r="D126">
        <v>0</v>
      </c>
      <c r="E126">
        <v>42495</v>
      </c>
      <c r="F126" s="4" t="s">
        <v>259</v>
      </c>
    </row>
    <row r="127" spans="1:6" ht="15" customHeight="1" x14ac:dyDescent="0.25">
      <c r="A127" t="s">
        <v>458</v>
      </c>
      <c r="B127">
        <v>255</v>
      </c>
      <c r="C127">
        <v>69</v>
      </c>
      <c r="D127">
        <v>0</v>
      </c>
      <c r="E127">
        <v>17919</v>
      </c>
      <c r="F127" s="4" t="s">
        <v>260</v>
      </c>
    </row>
    <row r="128" spans="1:6" ht="15" customHeight="1" x14ac:dyDescent="0.25">
      <c r="A128" t="s">
        <v>459</v>
      </c>
      <c r="B128">
        <v>218</v>
      </c>
      <c r="C128">
        <v>112</v>
      </c>
      <c r="D128">
        <v>214</v>
      </c>
      <c r="E128">
        <v>14053594</v>
      </c>
      <c r="F128" s="4" t="s">
        <v>261</v>
      </c>
    </row>
    <row r="129" spans="1:6" ht="15" customHeight="1" x14ac:dyDescent="0.25">
      <c r="A129" t="s">
        <v>496</v>
      </c>
      <c r="B129">
        <v>238</v>
      </c>
      <c r="C129">
        <v>232</v>
      </c>
      <c r="D129">
        <v>170</v>
      </c>
      <c r="E129">
        <v>11200750</v>
      </c>
      <c r="F129" s="4" t="s">
        <v>262</v>
      </c>
    </row>
    <row r="130" spans="1:6" ht="15" customHeight="1" x14ac:dyDescent="0.25">
      <c r="A130" t="s">
        <v>359</v>
      </c>
      <c r="B130">
        <v>152</v>
      </c>
      <c r="C130">
        <v>251</v>
      </c>
      <c r="D130">
        <v>152</v>
      </c>
      <c r="E130">
        <v>10025880</v>
      </c>
      <c r="F130" s="4" t="s">
        <v>263</v>
      </c>
    </row>
    <row r="131" spans="1:6" ht="15" customHeight="1" x14ac:dyDescent="0.25">
      <c r="A131" t="s">
        <v>460</v>
      </c>
      <c r="B131">
        <v>175</v>
      </c>
      <c r="C131">
        <v>238</v>
      </c>
      <c r="D131">
        <v>238</v>
      </c>
      <c r="E131">
        <v>15658671</v>
      </c>
      <c r="F131" s="4" t="s">
        <v>264</v>
      </c>
    </row>
    <row r="132" spans="1:6" ht="15" customHeight="1" x14ac:dyDescent="0.25">
      <c r="A132" t="s">
        <v>461</v>
      </c>
      <c r="B132">
        <v>219</v>
      </c>
      <c r="C132">
        <v>112</v>
      </c>
      <c r="D132">
        <v>147</v>
      </c>
      <c r="E132">
        <v>9662683</v>
      </c>
      <c r="F132" s="4" t="s">
        <v>513</v>
      </c>
    </row>
    <row r="133" spans="1:6" ht="15" customHeight="1" x14ac:dyDescent="0.25">
      <c r="A133" t="s">
        <v>462</v>
      </c>
      <c r="B133">
        <v>255</v>
      </c>
      <c r="C133">
        <v>239</v>
      </c>
      <c r="D133">
        <v>213</v>
      </c>
      <c r="E133">
        <v>14020607</v>
      </c>
      <c r="F133" s="4" t="s">
        <v>265</v>
      </c>
    </row>
    <row r="134" spans="1:6" ht="15" customHeight="1" x14ac:dyDescent="0.25">
      <c r="A134" t="s">
        <v>463</v>
      </c>
      <c r="B134">
        <v>255</v>
      </c>
      <c r="C134">
        <v>218</v>
      </c>
      <c r="D134">
        <v>185</v>
      </c>
      <c r="E134">
        <v>12180223</v>
      </c>
      <c r="F134" s="4" t="s">
        <v>266</v>
      </c>
    </row>
    <row r="135" spans="1:6" ht="15" customHeight="1" x14ac:dyDescent="0.25">
      <c r="A135" t="s">
        <v>464</v>
      </c>
      <c r="B135">
        <v>205</v>
      </c>
      <c r="C135">
        <v>133</v>
      </c>
      <c r="D135">
        <v>63</v>
      </c>
      <c r="E135">
        <v>4163021</v>
      </c>
      <c r="F135" s="4" t="s">
        <v>267</v>
      </c>
    </row>
    <row r="136" spans="1:6" ht="15" customHeight="1" x14ac:dyDescent="0.25">
      <c r="A136" t="s">
        <v>465</v>
      </c>
      <c r="B136">
        <v>255</v>
      </c>
      <c r="C136">
        <v>192</v>
      </c>
      <c r="D136">
        <v>203</v>
      </c>
      <c r="E136">
        <v>13353215</v>
      </c>
      <c r="F136" s="4" t="s">
        <v>268</v>
      </c>
    </row>
    <row r="137" spans="1:6" ht="15" customHeight="1" x14ac:dyDescent="0.25">
      <c r="A137" t="s">
        <v>466</v>
      </c>
      <c r="B137">
        <v>221</v>
      </c>
      <c r="C137">
        <v>160</v>
      </c>
      <c r="D137">
        <v>221</v>
      </c>
      <c r="E137">
        <v>14524637</v>
      </c>
      <c r="F137" s="4" t="s">
        <v>515</v>
      </c>
    </row>
    <row r="138" spans="1:6" ht="15" customHeight="1" x14ac:dyDescent="0.25">
      <c r="A138" t="s">
        <v>467</v>
      </c>
      <c r="B138">
        <v>176</v>
      </c>
      <c r="C138">
        <v>224</v>
      </c>
      <c r="D138">
        <v>230</v>
      </c>
      <c r="E138">
        <v>15130800</v>
      </c>
      <c r="F138" s="4" t="s">
        <v>269</v>
      </c>
    </row>
    <row r="139" spans="1:6" ht="15" customHeight="1" x14ac:dyDescent="0.25">
      <c r="A139" t="s">
        <v>468</v>
      </c>
      <c r="B139">
        <v>128</v>
      </c>
      <c r="C139">
        <v>0</v>
      </c>
      <c r="D139">
        <v>128</v>
      </c>
      <c r="E139">
        <v>8388736</v>
      </c>
      <c r="F139" s="4" t="s">
        <v>304</v>
      </c>
    </row>
    <row r="140" spans="1:6" ht="15" customHeight="1" x14ac:dyDescent="0.25">
      <c r="A140" t="s">
        <v>190</v>
      </c>
      <c r="B140">
        <v>255</v>
      </c>
      <c r="C140">
        <v>0</v>
      </c>
      <c r="D140">
        <v>0</v>
      </c>
      <c r="E140">
        <v>255</v>
      </c>
      <c r="F140" s="4" t="s">
        <v>270</v>
      </c>
    </row>
    <row r="141" spans="1:6" ht="15" customHeight="1" x14ac:dyDescent="0.25">
      <c r="A141" t="s">
        <v>469</v>
      </c>
      <c r="B141">
        <v>188</v>
      </c>
      <c r="C141">
        <v>143</v>
      </c>
      <c r="D141">
        <v>143</v>
      </c>
      <c r="E141">
        <v>9408444</v>
      </c>
      <c r="F141" s="4" t="s">
        <v>271</v>
      </c>
    </row>
    <row r="142" spans="1:6" ht="15" customHeight="1" x14ac:dyDescent="0.25">
      <c r="A142" t="s">
        <v>470</v>
      </c>
      <c r="B142">
        <v>65</v>
      </c>
      <c r="C142">
        <v>105</v>
      </c>
      <c r="D142">
        <v>225</v>
      </c>
      <c r="E142">
        <v>14772545</v>
      </c>
      <c r="F142" s="4" t="s">
        <v>518</v>
      </c>
    </row>
    <row r="143" spans="1:6" ht="15" customHeight="1" x14ac:dyDescent="0.25">
      <c r="A143" t="s">
        <v>471</v>
      </c>
      <c r="B143">
        <v>139</v>
      </c>
      <c r="C143">
        <v>69</v>
      </c>
      <c r="D143">
        <v>19</v>
      </c>
      <c r="E143">
        <v>1262987</v>
      </c>
      <c r="F143" s="4" t="s">
        <v>272</v>
      </c>
    </row>
    <row r="144" spans="1:6" ht="15" customHeight="1" x14ac:dyDescent="0.25">
      <c r="A144" t="s">
        <v>472</v>
      </c>
      <c r="B144">
        <v>250</v>
      </c>
      <c r="C144">
        <v>128</v>
      </c>
      <c r="D144">
        <v>114</v>
      </c>
      <c r="E144">
        <v>7504122</v>
      </c>
      <c r="F144" s="4" t="s">
        <v>273</v>
      </c>
    </row>
    <row r="145" spans="1:6" ht="15" customHeight="1" x14ac:dyDescent="0.25">
      <c r="A145" t="s">
        <v>473</v>
      </c>
      <c r="B145">
        <v>244</v>
      </c>
      <c r="C145">
        <v>164</v>
      </c>
      <c r="D145">
        <v>96</v>
      </c>
      <c r="E145">
        <v>6333684</v>
      </c>
      <c r="F145" s="4" t="s">
        <v>274</v>
      </c>
    </row>
    <row r="146" spans="1:6" ht="15" customHeight="1" x14ac:dyDescent="0.25">
      <c r="A146" t="s">
        <v>474</v>
      </c>
      <c r="B146">
        <v>46</v>
      </c>
      <c r="C146">
        <v>139</v>
      </c>
      <c r="D146">
        <v>87</v>
      </c>
      <c r="E146">
        <v>5737262</v>
      </c>
      <c r="F146" s="4" t="s">
        <v>275</v>
      </c>
    </row>
    <row r="147" spans="1:6" ht="15" customHeight="1" x14ac:dyDescent="0.25">
      <c r="A147" t="s">
        <v>502</v>
      </c>
      <c r="B147">
        <v>255</v>
      </c>
      <c r="C147">
        <v>245</v>
      </c>
      <c r="D147">
        <v>238</v>
      </c>
      <c r="E147">
        <v>15660543</v>
      </c>
      <c r="F147" s="4" t="s">
        <v>276</v>
      </c>
    </row>
    <row r="148" spans="1:6" ht="15" customHeight="1" x14ac:dyDescent="0.25">
      <c r="A148" t="s">
        <v>475</v>
      </c>
      <c r="B148">
        <v>160</v>
      </c>
      <c r="C148">
        <v>82</v>
      </c>
      <c r="D148">
        <v>45</v>
      </c>
      <c r="E148">
        <v>2970272</v>
      </c>
      <c r="F148" s="4" t="s">
        <v>277</v>
      </c>
    </row>
    <row r="149" spans="1:6" ht="15" customHeight="1" x14ac:dyDescent="0.25">
      <c r="A149" t="s">
        <v>476</v>
      </c>
      <c r="B149">
        <v>192</v>
      </c>
      <c r="C149">
        <v>192</v>
      </c>
      <c r="D149">
        <v>192</v>
      </c>
      <c r="E149">
        <v>12632256</v>
      </c>
      <c r="F149" s="4" t="s">
        <v>278</v>
      </c>
    </row>
    <row r="150" spans="1:6" ht="15" customHeight="1" x14ac:dyDescent="0.25">
      <c r="A150" t="s">
        <v>477</v>
      </c>
      <c r="B150">
        <v>135</v>
      </c>
      <c r="C150">
        <v>206</v>
      </c>
      <c r="D150">
        <v>235</v>
      </c>
      <c r="E150">
        <v>15453831</v>
      </c>
      <c r="F150" s="4" t="s">
        <v>279</v>
      </c>
    </row>
    <row r="151" spans="1:6" ht="15" customHeight="1" x14ac:dyDescent="0.25">
      <c r="A151" t="s">
        <v>478</v>
      </c>
      <c r="B151">
        <v>106</v>
      </c>
      <c r="C151">
        <v>90</v>
      </c>
      <c r="D151">
        <v>205</v>
      </c>
      <c r="E151">
        <v>13458026</v>
      </c>
      <c r="F151" s="4" t="s">
        <v>280</v>
      </c>
    </row>
    <row r="152" spans="1:6" ht="15" customHeight="1" x14ac:dyDescent="0.25">
      <c r="A152" t="s">
        <v>479</v>
      </c>
      <c r="B152">
        <v>112</v>
      </c>
      <c r="C152">
        <v>128</v>
      </c>
      <c r="D152">
        <v>144</v>
      </c>
      <c r="E152">
        <v>9470064</v>
      </c>
      <c r="F152" s="4" t="s">
        <v>305</v>
      </c>
    </row>
    <row r="153" spans="1:6" ht="15" customHeight="1" x14ac:dyDescent="0.25">
      <c r="A153" t="s">
        <v>480</v>
      </c>
      <c r="B153">
        <v>112</v>
      </c>
      <c r="C153">
        <v>128</v>
      </c>
      <c r="D153">
        <v>144</v>
      </c>
      <c r="E153">
        <v>9470064</v>
      </c>
      <c r="F153" s="4" t="s">
        <v>305</v>
      </c>
    </row>
    <row r="154" spans="1:6" ht="15" customHeight="1" x14ac:dyDescent="0.25">
      <c r="A154" t="s">
        <v>481</v>
      </c>
      <c r="B154">
        <v>255</v>
      </c>
      <c r="C154">
        <v>250</v>
      </c>
      <c r="D154">
        <v>250</v>
      </c>
      <c r="E154">
        <v>16448255</v>
      </c>
      <c r="F154" s="4" t="s">
        <v>281</v>
      </c>
    </row>
    <row r="155" spans="1:6" ht="15" customHeight="1" x14ac:dyDescent="0.25">
      <c r="A155" t="s">
        <v>482</v>
      </c>
      <c r="B155">
        <v>0</v>
      </c>
      <c r="C155">
        <v>255</v>
      </c>
      <c r="D155">
        <v>127</v>
      </c>
      <c r="E155">
        <v>8388352</v>
      </c>
      <c r="F155" s="4" t="s">
        <v>282</v>
      </c>
    </row>
    <row r="156" spans="1:6" ht="15" customHeight="1" x14ac:dyDescent="0.25">
      <c r="A156" t="s">
        <v>483</v>
      </c>
      <c r="B156">
        <v>70</v>
      </c>
      <c r="C156">
        <v>130</v>
      </c>
      <c r="D156">
        <v>180</v>
      </c>
      <c r="E156">
        <v>11829830</v>
      </c>
      <c r="F156" s="4" t="s">
        <v>283</v>
      </c>
    </row>
    <row r="157" spans="1:6" ht="15" customHeight="1" x14ac:dyDescent="0.25">
      <c r="A157" t="s">
        <v>484</v>
      </c>
      <c r="B157">
        <v>210</v>
      </c>
      <c r="C157">
        <v>180</v>
      </c>
      <c r="D157">
        <v>140</v>
      </c>
      <c r="E157">
        <v>9221330</v>
      </c>
      <c r="F157" s="4" t="s">
        <v>284</v>
      </c>
    </row>
    <row r="158" spans="1:6" ht="15" customHeight="1" x14ac:dyDescent="0.25">
      <c r="A158" t="s">
        <v>485</v>
      </c>
      <c r="B158">
        <v>0</v>
      </c>
      <c r="C158">
        <v>128</v>
      </c>
      <c r="D158">
        <v>128</v>
      </c>
      <c r="E158">
        <v>8421376</v>
      </c>
      <c r="F158" s="4" t="s">
        <v>297</v>
      </c>
    </row>
    <row r="159" spans="1:6" ht="15" customHeight="1" x14ac:dyDescent="0.25">
      <c r="A159" t="s">
        <v>486</v>
      </c>
      <c r="B159">
        <v>216</v>
      </c>
      <c r="C159">
        <v>191</v>
      </c>
      <c r="D159">
        <v>216</v>
      </c>
      <c r="E159">
        <v>14204888</v>
      </c>
      <c r="F159" s="4" t="s">
        <v>285</v>
      </c>
    </row>
    <row r="160" spans="1:6" ht="15" customHeight="1" x14ac:dyDescent="0.25">
      <c r="A160" t="s">
        <v>487</v>
      </c>
      <c r="B160">
        <v>255</v>
      </c>
      <c r="C160">
        <v>99</v>
      </c>
      <c r="D160">
        <v>71</v>
      </c>
      <c r="E160">
        <v>4678655</v>
      </c>
      <c r="F160" s="4" t="s">
        <v>286</v>
      </c>
    </row>
    <row r="161" spans="1:6" ht="15" customHeight="1" x14ac:dyDescent="0.25">
      <c r="A161" t="s">
        <v>488</v>
      </c>
      <c r="B161">
        <v>64</v>
      </c>
      <c r="C161">
        <v>224</v>
      </c>
      <c r="D161">
        <v>208</v>
      </c>
      <c r="E161">
        <v>13688896</v>
      </c>
      <c r="F161" s="4" t="s">
        <v>287</v>
      </c>
    </row>
    <row r="162" spans="1:6" ht="15" customHeight="1" x14ac:dyDescent="0.25">
      <c r="A162" t="s">
        <v>489</v>
      </c>
      <c r="B162">
        <v>238</v>
      </c>
      <c r="C162">
        <v>130</v>
      </c>
      <c r="D162">
        <v>238</v>
      </c>
      <c r="E162">
        <v>15631086</v>
      </c>
      <c r="F162" s="4" t="s">
        <v>288</v>
      </c>
    </row>
    <row r="163" spans="1:6" ht="15" customHeight="1" x14ac:dyDescent="0.25">
      <c r="A163" t="s">
        <v>490</v>
      </c>
      <c r="B163">
        <v>245</v>
      </c>
      <c r="C163">
        <v>222</v>
      </c>
      <c r="D163">
        <v>179</v>
      </c>
      <c r="E163">
        <v>11788021</v>
      </c>
      <c r="F163" s="4" t="s">
        <v>289</v>
      </c>
    </row>
    <row r="164" spans="1:6" ht="15" customHeight="1" x14ac:dyDescent="0.25">
      <c r="A164" t="s">
        <v>491</v>
      </c>
      <c r="B164">
        <v>255</v>
      </c>
      <c r="C164">
        <v>255</v>
      </c>
      <c r="D164">
        <v>255</v>
      </c>
      <c r="E164">
        <v>16777215</v>
      </c>
      <c r="F164" s="4" t="s">
        <v>290</v>
      </c>
    </row>
    <row r="165" spans="1:6" ht="15" customHeight="1" x14ac:dyDescent="0.25">
      <c r="A165" t="s">
        <v>492</v>
      </c>
      <c r="B165">
        <v>245</v>
      </c>
      <c r="C165">
        <v>245</v>
      </c>
      <c r="D165">
        <v>245</v>
      </c>
      <c r="E165">
        <v>16119285</v>
      </c>
      <c r="F165" s="4" t="s">
        <v>291</v>
      </c>
    </row>
    <row r="166" spans="1:6" ht="15" customHeight="1" x14ac:dyDescent="0.25">
      <c r="A166" t="s">
        <v>493</v>
      </c>
      <c r="B166">
        <v>255</v>
      </c>
      <c r="C166">
        <v>255</v>
      </c>
      <c r="D166">
        <v>0</v>
      </c>
      <c r="E166">
        <v>65535</v>
      </c>
      <c r="F166" s="4" t="s">
        <v>292</v>
      </c>
    </row>
    <row r="167" spans="1:6" ht="15" customHeight="1" x14ac:dyDescent="0.25">
      <c r="A167" t="s">
        <v>494</v>
      </c>
      <c r="B167">
        <v>154</v>
      </c>
      <c r="C167">
        <v>205</v>
      </c>
      <c r="D167">
        <v>50</v>
      </c>
      <c r="E167">
        <v>3329434</v>
      </c>
      <c r="F167" s="4" t="s">
        <v>293</v>
      </c>
    </row>
    <row r="168" spans="1:6" ht="15" customHeight="1" x14ac:dyDescent="0.25">
      <c r="A168" s="28" t="s">
        <v>700</v>
      </c>
      <c r="B168">
        <v>255</v>
      </c>
      <c r="C168">
        <v>106</v>
      </c>
      <c r="D168">
        <v>175</v>
      </c>
      <c r="E168">
        <f>B168+256*C168+256*256*D168</f>
        <v>11496191</v>
      </c>
      <c r="F168" s="4" t="s">
        <v>701</v>
      </c>
    </row>
    <row r="169" spans="1:6" ht="15" customHeight="1" x14ac:dyDescent="0.25">
      <c r="A169" s="28" t="s">
        <v>702</v>
      </c>
      <c r="B169">
        <v>255</v>
      </c>
      <c r="C169">
        <v>163</v>
      </c>
      <c r="D169">
        <v>205</v>
      </c>
      <c r="E169">
        <f t="shared" ref="E169:E170" si="0">B169+256*C169+256*256*D169</f>
        <v>13476863</v>
      </c>
    </row>
    <row r="170" spans="1:6" ht="15" customHeight="1" x14ac:dyDescent="0.25">
      <c r="A170" t="s">
        <v>465</v>
      </c>
      <c r="B170">
        <v>255</v>
      </c>
      <c r="C170">
        <v>192</v>
      </c>
      <c r="D170">
        <v>203</v>
      </c>
      <c r="E170">
        <f t="shared" si="0"/>
        <v>13353215</v>
      </c>
    </row>
    <row r="172" spans="1:6" ht="15" customHeight="1" x14ac:dyDescent="0.25">
      <c r="B172">
        <v>255</v>
      </c>
      <c r="C172">
        <v>192</v>
      </c>
      <c r="D172">
        <v>203</v>
      </c>
    </row>
    <row r="173" spans="1:6" ht="15" customHeight="1" x14ac:dyDescent="0.25">
      <c r="B173">
        <v>255</v>
      </c>
      <c r="C173">
        <v>150</v>
      </c>
      <c r="D173">
        <v>196</v>
      </c>
    </row>
    <row r="174" spans="1:6" ht="15" customHeight="1" x14ac:dyDescent="0.25">
      <c r="B174">
        <v>255</v>
      </c>
      <c r="C174">
        <v>105</v>
      </c>
      <c r="D174">
        <v>180</v>
      </c>
    </row>
  </sheetData>
  <sortState ref="A2:G167">
    <sortCondition ref="A93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66"/>
  <sheetViews>
    <sheetView topLeftCell="A34" workbookViewId="0">
      <selection activeCell="F2" sqref="F2"/>
    </sheetView>
  </sheetViews>
  <sheetFormatPr defaultColWidth="9.109375" defaultRowHeight="15" customHeight="1" x14ac:dyDescent="0.25"/>
  <sheetData>
    <row r="1" spans="1:10" ht="15" customHeight="1" x14ac:dyDescent="0.25">
      <c r="A1" s="2" t="s">
        <v>24</v>
      </c>
      <c r="B1" s="5" t="s">
        <v>45</v>
      </c>
      <c r="C1" s="5" t="s">
        <v>46</v>
      </c>
      <c r="D1" s="5" t="s">
        <v>43</v>
      </c>
      <c r="E1" s="2" t="s">
        <v>25</v>
      </c>
      <c r="F1" s="3" t="s">
        <v>195</v>
      </c>
      <c r="G1" s="2" t="s">
        <v>306</v>
      </c>
    </row>
    <row r="2" spans="1:10" ht="15" customHeight="1" x14ac:dyDescent="0.25">
      <c r="A2" t="s">
        <v>5</v>
      </c>
      <c r="B2" s="6">
        <v>51</v>
      </c>
      <c r="C2" s="6">
        <v>204</v>
      </c>
      <c r="D2" s="6">
        <v>51</v>
      </c>
      <c r="E2">
        <v>3394611</v>
      </c>
      <c r="F2" s="4" t="s">
        <v>531</v>
      </c>
      <c r="I2" s="20"/>
      <c r="J2" s="20"/>
    </row>
    <row r="3" spans="1:10" ht="15" customHeight="1" x14ac:dyDescent="0.25">
      <c r="A3" t="s">
        <v>1</v>
      </c>
      <c r="B3" s="6">
        <v>153</v>
      </c>
      <c r="C3" s="6">
        <v>204</v>
      </c>
      <c r="D3" s="6">
        <v>255</v>
      </c>
      <c r="E3">
        <v>16764057</v>
      </c>
      <c r="F3" s="4" t="s">
        <v>339</v>
      </c>
      <c r="I3">
        <f t="shared" ref="I3:I12" si="0">D3*256*256+C3*256+B3</f>
        <v>16764057</v>
      </c>
      <c r="J3" t="b">
        <f t="shared" ref="J3:J11" si="1">I3=E3</f>
        <v>1</v>
      </c>
    </row>
    <row r="4" spans="1:10" ht="15" customHeight="1" x14ac:dyDescent="0.25">
      <c r="A4" t="s">
        <v>6</v>
      </c>
      <c r="B4" s="6">
        <v>153</v>
      </c>
      <c r="C4" s="6">
        <v>153</v>
      </c>
      <c r="D4" s="6">
        <v>153</v>
      </c>
      <c r="E4">
        <v>10066329</v>
      </c>
      <c r="F4" s="4" t="s">
        <v>343</v>
      </c>
      <c r="I4">
        <f t="shared" si="0"/>
        <v>10066329</v>
      </c>
      <c r="J4" t="b">
        <f t="shared" si="1"/>
        <v>1</v>
      </c>
    </row>
    <row r="5" spans="1:10" ht="15" customHeight="1" x14ac:dyDescent="0.25">
      <c r="A5" t="s">
        <v>7</v>
      </c>
      <c r="B5" s="6">
        <v>255</v>
      </c>
      <c r="C5" s="6">
        <v>255</v>
      </c>
      <c r="D5" s="6">
        <v>102</v>
      </c>
      <c r="E5">
        <v>6750207</v>
      </c>
      <c r="F5" s="4" t="s">
        <v>532</v>
      </c>
      <c r="I5">
        <f t="shared" si="0"/>
        <v>6750207</v>
      </c>
      <c r="J5" t="b">
        <f t="shared" si="1"/>
        <v>1</v>
      </c>
    </row>
    <row r="6" spans="1:10" ht="15" customHeight="1" x14ac:dyDescent="0.25">
      <c r="A6" t="s">
        <v>8</v>
      </c>
      <c r="B6" s="6">
        <v>255</v>
      </c>
      <c r="C6" s="6">
        <v>128</v>
      </c>
      <c r="D6" s="6">
        <v>128</v>
      </c>
      <c r="E6">
        <v>8421631</v>
      </c>
      <c r="F6" s="4" t="s">
        <v>533</v>
      </c>
      <c r="I6">
        <f t="shared" si="0"/>
        <v>8421631</v>
      </c>
      <c r="J6" t="b">
        <f t="shared" si="1"/>
        <v>1</v>
      </c>
    </row>
    <row r="7" spans="1:10" ht="15" customHeight="1" x14ac:dyDescent="0.25">
      <c r="A7" t="s">
        <v>9</v>
      </c>
      <c r="B7" s="6">
        <v>255</v>
      </c>
      <c r="C7" s="6">
        <v>204</v>
      </c>
      <c r="D7" s="6">
        <v>0</v>
      </c>
      <c r="E7">
        <v>52479</v>
      </c>
      <c r="F7" s="4" t="s">
        <v>534</v>
      </c>
      <c r="I7">
        <f t="shared" si="0"/>
        <v>52479</v>
      </c>
      <c r="J7" t="b">
        <f t="shared" si="1"/>
        <v>1</v>
      </c>
    </row>
    <row r="8" spans="1:10" ht="15" customHeight="1" x14ac:dyDescent="0.25">
      <c r="A8" t="s">
        <v>10</v>
      </c>
      <c r="B8" s="6">
        <v>255</v>
      </c>
      <c r="C8" s="6">
        <v>255</v>
      </c>
      <c r="D8" s="6">
        <v>102</v>
      </c>
      <c r="E8">
        <v>6750207</v>
      </c>
      <c r="F8" s="4" t="s">
        <v>532</v>
      </c>
      <c r="I8">
        <f t="shared" si="0"/>
        <v>6750207</v>
      </c>
      <c r="J8" t="b">
        <f t="shared" si="1"/>
        <v>1</v>
      </c>
    </row>
    <row r="9" spans="1:10" ht="15" customHeight="1" x14ac:dyDescent="0.25">
      <c r="A9" t="s">
        <v>11</v>
      </c>
      <c r="B9" s="6">
        <v>153</v>
      </c>
      <c r="C9" s="6">
        <v>255</v>
      </c>
      <c r="D9" s="6">
        <v>51</v>
      </c>
      <c r="E9">
        <v>3407769</v>
      </c>
      <c r="F9" s="4" t="s">
        <v>535</v>
      </c>
      <c r="I9">
        <f t="shared" si="0"/>
        <v>3407769</v>
      </c>
      <c r="J9" t="b">
        <f t="shared" si="1"/>
        <v>1</v>
      </c>
    </row>
    <row r="10" spans="1:10" ht="15" customHeight="1" x14ac:dyDescent="0.25">
      <c r="A10" t="s">
        <v>21</v>
      </c>
      <c r="B10" s="6">
        <v>255</v>
      </c>
      <c r="C10" s="6">
        <v>128</v>
      </c>
      <c r="D10" s="6">
        <v>128</v>
      </c>
      <c r="E10">
        <v>8421631</v>
      </c>
      <c r="F10" s="4" t="s">
        <v>533</v>
      </c>
      <c r="I10">
        <f t="shared" si="0"/>
        <v>8421631</v>
      </c>
      <c r="J10" t="b">
        <f t="shared" si="1"/>
        <v>1</v>
      </c>
    </row>
    <row r="11" spans="1:10" ht="15" customHeight="1" x14ac:dyDescent="0.25">
      <c r="A11" t="s">
        <v>22</v>
      </c>
      <c r="B11" s="6">
        <v>51</v>
      </c>
      <c r="C11" s="6">
        <v>102</v>
      </c>
      <c r="D11" s="6">
        <v>255</v>
      </c>
      <c r="E11">
        <v>16737843</v>
      </c>
      <c r="F11" s="4" t="s">
        <v>338</v>
      </c>
      <c r="I11">
        <f t="shared" si="0"/>
        <v>16737843</v>
      </c>
      <c r="J11" t="b">
        <f t="shared" si="1"/>
        <v>1</v>
      </c>
    </row>
    <row r="12" spans="1:10" ht="15" customHeight="1" x14ac:dyDescent="0.25">
      <c r="A12" t="s">
        <v>23</v>
      </c>
      <c r="B12" s="6">
        <v>204</v>
      </c>
      <c r="C12" s="6">
        <v>153</v>
      </c>
      <c r="D12" s="6">
        <v>255</v>
      </c>
      <c r="E12">
        <v>16751052</v>
      </c>
      <c r="F12" s="4" t="s">
        <v>340</v>
      </c>
      <c r="I12">
        <f t="shared" si="0"/>
        <v>16751052</v>
      </c>
      <c r="J12" t="b">
        <f>I12=E12</f>
        <v>1</v>
      </c>
    </row>
    <row r="13" spans="1:10" ht="15" customHeight="1" x14ac:dyDescent="0.25">
      <c r="A13" t="s">
        <v>682</v>
      </c>
      <c r="B13" s="6">
        <v>102</v>
      </c>
      <c r="C13" s="6">
        <v>255</v>
      </c>
      <c r="D13" s="6">
        <v>102</v>
      </c>
      <c r="E13">
        <v>6750054</v>
      </c>
      <c r="F13" s="4"/>
      <c r="I13">
        <f>D13*256*256+C13*256+B13</f>
        <v>6750054</v>
      </c>
    </row>
    <row r="14" spans="1:10" ht="15" customHeight="1" x14ac:dyDescent="0.25">
      <c r="B14" s="6"/>
      <c r="C14" s="6"/>
      <c r="D14" s="6"/>
    </row>
    <row r="15" spans="1:10" ht="15" customHeight="1" x14ac:dyDescent="0.25">
      <c r="A15" t="s">
        <v>2</v>
      </c>
      <c r="B15" s="6">
        <v>204</v>
      </c>
      <c r="C15" s="6">
        <v>153</v>
      </c>
      <c r="D15" s="6">
        <v>0</v>
      </c>
      <c r="E15">
        <v>39372</v>
      </c>
      <c r="F15" s="4" t="s">
        <v>536</v>
      </c>
    </row>
    <row r="16" spans="1:10" ht="15" customHeight="1" x14ac:dyDescent="0.25">
      <c r="A16" t="s">
        <v>12</v>
      </c>
      <c r="B16" s="6">
        <v>255</v>
      </c>
      <c r="C16" s="6">
        <v>0</v>
      </c>
      <c r="D16" s="6">
        <v>0</v>
      </c>
      <c r="E16">
        <v>255</v>
      </c>
      <c r="F16" s="4" t="s">
        <v>270</v>
      </c>
    </row>
    <row r="17" spans="1:6" ht="15" customHeight="1" x14ac:dyDescent="0.25">
      <c r="A17" t="s">
        <v>13</v>
      </c>
      <c r="B17" s="6">
        <v>128</v>
      </c>
      <c r="C17" s="6">
        <v>153</v>
      </c>
      <c r="D17" s="6">
        <v>0</v>
      </c>
      <c r="E17">
        <v>39296</v>
      </c>
      <c r="F17" s="4" t="s">
        <v>537</v>
      </c>
    </row>
    <row r="18" spans="1:6" ht="15" customHeight="1" x14ac:dyDescent="0.25">
      <c r="A18" t="s">
        <v>14</v>
      </c>
      <c r="B18" s="6">
        <v>153</v>
      </c>
      <c r="C18" s="6">
        <v>204</v>
      </c>
      <c r="D18" s="6">
        <v>0</v>
      </c>
      <c r="E18">
        <v>52377</v>
      </c>
      <c r="F18" s="4" t="s">
        <v>337</v>
      </c>
    </row>
    <row r="19" spans="1:6" ht="15" customHeight="1" x14ac:dyDescent="0.25">
      <c r="A19" t="s">
        <v>15</v>
      </c>
      <c r="B19" s="6">
        <v>204</v>
      </c>
      <c r="C19" s="6">
        <v>204</v>
      </c>
      <c r="D19" s="6">
        <v>0</v>
      </c>
      <c r="E19">
        <v>52428</v>
      </c>
      <c r="F19" s="4" t="s">
        <v>336</v>
      </c>
    </row>
    <row r="20" spans="1:6" ht="15" customHeight="1" x14ac:dyDescent="0.25">
      <c r="A20" t="s">
        <v>3</v>
      </c>
      <c r="B20" s="6">
        <v>153</v>
      </c>
      <c r="C20" s="6">
        <v>153</v>
      </c>
      <c r="D20" s="6">
        <v>153</v>
      </c>
      <c r="E20">
        <v>10066329</v>
      </c>
      <c r="F20" s="4" t="s">
        <v>343</v>
      </c>
    </row>
    <row r="21" spans="1:6" ht="15" customHeight="1" x14ac:dyDescent="0.25">
      <c r="A21" t="s">
        <v>16</v>
      </c>
      <c r="B21" s="6">
        <v>102</v>
      </c>
      <c r="C21" s="6">
        <v>102</v>
      </c>
      <c r="D21" s="6">
        <v>102</v>
      </c>
      <c r="E21">
        <v>6710886</v>
      </c>
      <c r="F21" s="4" t="s">
        <v>342</v>
      </c>
    </row>
    <row r="22" spans="1:6" ht="15" customHeight="1" x14ac:dyDescent="0.25">
      <c r="A22" t="s">
        <v>4</v>
      </c>
      <c r="B22" s="6">
        <v>153</v>
      </c>
      <c r="C22" s="6">
        <v>255</v>
      </c>
      <c r="D22" s="6">
        <v>102</v>
      </c>
      <c r="E22">
        <v>6750105</v>
      </c>
      <c r="F22" s="4" t="s">
        <v>538</v>
      </c>
    </row>
    <row r="23" spans="1:6" ht="15" customHeight="1" x14ac:dyDescent="0.25">
      <c r="A23" t="s">
        <v>17</v>
      </c>
      <c r="B23" s="6">
        <v>102</v>
      </c>
      <c r="C23" s="6">
        <v>153</v>
      </c>
      <c r="D23" s="6">
        <v>255</v>
      </c>
      <c r="E23">
        <v>16750950</v>
      </c>
      <c r="F23" s="4" t="s">
        <v>539</v>
      </c>
    </row>
    <row r="24" spans="1:6" ht="15" customHeight="1" x14ac:dyDescent="0.25">
      <c r="A24" t="s">
        <v>18</v>
      </c>
      <c r="B24" s="6">
        <v>0</v>
      </c>
      <c r="C24" s="6">
        <v>128</v>
      </c>
      <c r="D24" s="6">
        <v>128</v>
      </c>
      <c r="E24">
        <v>8421376</v>
      </c>
      <c r="F24" s="4" t="s">
        <v>297</v>
      </c>
    </row>
    <row r="25" spans="1:6" ht="15" customHeight="1" x14ac:dyDescent="0.25">
      <c r="A25" t="s">
        <v>19</v>
      </c>
      <c r="B25" s="6">
        <v>51</v>
      </c>
      <c r="C25" s="6">
        <v>204</v>
      </c>
      <c r="D25" s="6">
        <v>204</v>
      </c>
      <c r="E25">
        <v>13421619</v>
      </c>
      <c r="F25" s="4" t="s">
        <v>540</v>
      </c>
    </row>
    <row r="27" spans="1:6" ht="15" customHeight="1" x14ac:dyDescent="0.25">
      <c r="A27" s="2" t="s">
        <v>24</v>
      </c>
      <c r="B27" s="5" t="s">
        <v>45</v>
      </c>
      <c r="C27" s="5" t="s">
        <v>46</v>
      </c>
      <c r="D27" s="5" t="s">
        <v>43</v>
      </c>
      <c r="E27" s="2" t="s">
        <v>25</v>
      </c>
    </row>
    <row r="28" spans="1:6" ht="15" customHeight="1" x14ac:dyDescent="0.25">
      <c r="A28" t="s">
        <v>505</v>
      </c>
      <c r="B28" s="6">
        <v>0</v>
      </c>
      <c r="C28" s="6">
        <v>0</v>
      </c>
      <c r="D28" s="6">
        <v>0</v>
      </c>
      <c r="E28">
        <f t="shared" ref="E28:E66" si="2">B28+256*C28+256*256*D28</f>
        <v>0</v>
      </c>
    </row>
    <row r="29" spans="1:6" ht="15" customHeight="1" x14ac:dyDescent="0.25">
      <c r="A29" t="s">
        <v>598</v>
      </c>
      <c r="B29" s="6">
        <v>204</v>
      </c>
      <c r="C29" s="6">
        <v>0</v>
      </c>
      <c r="D29" s="6">
        <v>0</v>
      </c>
      <c r="E29">
        <f t="shared" si="2"/>
        <v>204</v>
      </c>
    </row>
    <row r="30" spans="1:6" ht="15" customHeight="1" x14ac:dyDescent="0.25">
      <c r="A30" t="s">
        <v>594</v>
      </c>
      <c r="B30" s="6">
        <v>255</v>
      </c>
      <c r="C30" s="6">
        <v>0</v>
      </c>
      <c r="D30" s="6">
        <v>0</v>
      </c>
      <c r="E30">
        <f t="shared" si="2"/>
        <v>255</v>
      </c>
    </row>
    <row r="31" spans="1:6" ht="15" customHeight="1" x14ac:dyDescent="0.25">
      <c r="A31" t="s">
        <v>599</v>
      </c>
      <c r="B31" s="6">
        <v>255</v>
      </c>
      <c r="C31" s="6">
        <v>128</v>
      </c>
      <c r="D31" s="6">
        <v>128</v>
      </c>
      <c r="E31">
        <f t="shared" si="2"/>
        <v>8421631</v>
      </c>
    </row>
    <row r="32" spans="1:6" ht="15" customHeight="1" x14ac:dyDescent="0.25">
      <c r="A32" t="s">
        <v>600</v>
      </c>
      <c r="B32" s="6">
        <v>255</v>
      </c>
      <c r="C32" s="6">
        <v>153</v>
      </c>
      <c r="D32" s="6">
        <v>204</v>
      </c>
      <c r="E32">
        <f t="shared" si="2"/>
        <v>13408767</v>
      </c>
    </row>
    <row r="33" spans="1:5" ht="15" customHeight="1" x14ac:dyDescent="0.25">
      <c r="A33" t="s">
        <v>601</v>
      </c>
      <c r="B33" s="6">
        <v>153</v>
      </c>
      <c r="C33" s="6">
        <v>51</v>
      </c>
      <c r="D33" s="6">
        <v>0</v>
      </c>
      <c r="E33">
        <f t="shared" si="2"/>
        <v>13209</v>
      </c>
    </row>
    <row r="34" spans="1:5" ht="15" customHeight="1" x14ac:dyDescent="0.25">
      <c r="A34" t="s">
        <v>602</v>
      </c>
      <c r="B34" s="6">
        <v>255</v>
      </c>
      <c r="C34" s="6">
        <v>102</v>
      </c>
      <c r="D34" s="6">
        <v>0</v>
      </c>
      <c r="E34">
        <f t="shared" si="2"/>
        <v>26367</v>
      </c>
    </row>
    <row r="35" spans="1:5" ht="15" customHeight="1" x14ac:dyDescent="0.25">
      <c r="A35" t="s">
        <v>603</v>
      </c>
      <c r="B35" s="6">
        <v>255</v>
      </c>
      <c r="C35" s="6">
        <v>153</v>
      </c>
      <c r="D35" s="6">
        <v>0</v>
      </c>
      <c r="E35">
        <f t="shared" si="2"/>
        <v>39423</v>
      </c>
    </row>
    <row r="36" spans="1:5" ht="15" customHeight="1" x14ac:dyDescent="0.25">
      <c r="A36" t="s">
        <v>507</v>
      </c>
      <c r="B36" s="6">
        <v>255</v>
      </c>
      <c r="C36" s="6">
        <v>204</v>
      </c>
      <c r="D36" s="6">
        <v>0</v>
      </c>
      <c r="E36">
        <f t="shared" si="2"/>
        <v>52479</v>
      </c>
    </row>
    <row r="37" spans="1:5" ht="15" customHeight="1" x14ac:dyDescent="0.25">
      <c r="A37" t="s">
        <v>604</v>
      </c>
      <c r="B37" s="6">
        <v>255</v>
      </c>
      <c r="C37" s="6">
        <v>204</v>
      </c>
      <c r="D37" s="6">
        <v>102</v>
      </c>
      <c r="E37">
        <f t="shared" si="2"/>
        <v>6737151</v>
      </c>
    </row>
    <row r="38" spans="1:5" ht="15" customHeight="1" x14ac:dyDescent="0.25">
      <c r="A38" t="s">
        <v>605</v>
      </c>
      <c r="B38" s="6">
        <v>51</v>
      </c>
      <c r="C38" s="6">
        <v>51</v>
      </c>
      <c r="D38" s="6">
        <v>0</v>
      </c>
      <c r="E38">
        <f t="shared" si="2"/>
        <v>13107</v>
      </c>
    </row>
    <row r="39" spans="1:5" ht="15" customHeight="1" x14ac:dyDescent="0.25">
      <c r="A39" t="s">
        <v>606</v>
      </c>
      <c r="B39" s="6">
        <v>204</v>
      </c>
      <c r="C39" s="6">
        <v>204</v>
      </c>
      <c r="D39" s="6">
        <v>0</v>
      </c>
      <c r="E39">
        <f t="shared" si="2"/>
        <v>52428</v>
      </c>
    </row>
    <row r="40" spans="1:5" ht="15" customHeight="1" x14ac:dyDescent="0.25">
      <c r="A40" t="s">
        <v>596</v>
      </c>
      <c r="B40" s="6">
        <v>153</v>
      </c>
      <c r="C40" s="6">
        <v>204</v>
      </c>
      <c r="D40" s="6">
        <v>0</v>
      </c>
      <c r="E40">
        <f t="shared" si="2"/>
        <v>52377</v>
      </c>
    </row>
    <row r="41" spans="1:5" ht="15" customHeight="1" x14ac:dyDescent="0.25">
      <c r="A41" t="s">
        <v>508</v>
      </c>
      <c r="B41" s="6">
        <v>255</v>
      </c>
      <c r="C41" s="6">
        <v>255</v>
      </c>
      <c r="D41" s="6">
        <v>0</v>
      </c>
      <c r="E41">
        <f t="shared" si="2"/>
        <v>65535</v>
      </c>
    </row>
    <row r="42" spans="1:5" ht="15" customHeight="1" x14ac:dyDescent="0.25">
      <c r="A42" t="s">
        <v>607</v>
      </c>
      <c r="B42" s="6">
        <v>255</v>
      </c>
      <c r="C42" s="6">
        <v>255</v>
      </c>
      <c r="D42" s="6">
        <v>153</v>
      </c>
      <c r="E42">
        <f t="shared" si="2"/>
        <v>10092543</v>
      </c>
    </row>
    <row r="43" spans="1:5" ht="15" customHeight="1" x14ac:dyDescent="0.25">
      <c r="A43" t="s">
        <v>608</v>
      </c>
      <c r="B43" s="6">
        <v>0</v>
      </c>
      <c r="C43" s="6">
        <v>104</v>
      </c>
      <c r="D43" s="6">
        <v>0</v>
      </c>
      <c r="E43">
        <f t="shared" si="2"/>
        <v>26624</v>
      </c>
    </row>
    <row r="44" spans="1:5" ht="15" customHeight="1" x14ac:dyDescent="0.25">
      <c r="A44" t="s">
        <v>609</v>
      </c>
      <c r="B44" s="6">
        <v>0</v>
      </c>
      <c r="C44" s="6">
        <v>128</v>
      </c>
      <c r="D44" s="6">
        <v>0</v>
      </c>
      <c r="E44">
        <f t="shared" si="2"/>
        <v>32768</v>
      </c>
    </row>
    <row r="45" spans="1:5" ht="15" customHeight="1" x14ac:dyDescent="0.25">
      <c r="A45" t="s">
        <v>610</v>
      </c>
      <c r="B45" s="6">
        <v>51</v>
      </c>
      <c r="C45" s="6">
        <v>153</v>
      </c>
      <c r="D45" s="6">
        <v>102</v>
      </c>
      <c r="E45">
        <f t="shared" si="2"/>
        <v>6723891</v>
      </c>
    </row>
    <row r="46" spans="1:5" ht="15" customHeight="1" x14ac:dyDescent="0.25">
      <c r="A46" t="s">
        <v>611</v>
      </c>
      <c r="B46" s="6">
        <v>0</v>
      </c>
      <c r="C46" s="6">
        <v>255</v>
      </c>
      <c r="D46" s="6">
        <v>0</v>
      </c>
      <c r="E46">
        <f t="shared" si="2"/>
        <v>65280</v>
      </c>
    </row>
    <row r="47" spans="1:5" ht="15" customHeight="1" x14ac:dyDescent="0.25">
      <c r="A47" t="s">
        <v>612</v>
      </c>
      <c r="B47" s="6">
        <v>204</v>
      </c>
      <c r="C47" s="6">
        <v>255</v>
      </c>
      <c r="D47" s="6">
        <v>204</v>
      </c>
      <c r="E47">
        <f t="shared" si="2"/>
        <v>13434828</v>
      </c>
    </row>
    <row r="48" spans="1:5" ht="15" customHeight="1" x14ac:dyDescent="0.25">
      <c r="A48" t="s">
        <v>613</v>
      </c>
      <c r="B48" s="6">
        <v>0</v>
      </c>
      <c r="C48" s="6">
        <v>128</v>
      </c>
      <c r="D48" s="6">
        <v>128</v>
      </c>
      <c r="E48">
        <f t="shared" si="2"/>
        <v>8421376</v>
      </c>
    </row>
    <row r="49" spans="1:5" ht="15" customHeight="1" x14ac:dyDescent="0.25">
      <c r="A49" t="s">
        <v>614</v>
      </c>
      <c r="B49" s="6">
        <v>51</v>
      </c>
      <c r="C49" s="6">
        <v>204</v>
      </c>
      <c r="D49" s="6">
        <v>204</v>
      </c>
      <c r="E49">
        <f t="shared" si="2"/>
        <v>13421619</v>
      </c>
    </row>
    <row r="50" spans="1:5" ht="15" customHeight="1" x14ac:dyDescent="0.25">
      <c r="A50" t="s">
        <v>615</v>
      </c>
      <c r="B50" s="6">
        <v>0</v>
      </c>
      <c r="C50" s="6">
        <v>255</v>
      </c>
      <c r="D50" s="6">
        <v>255</v>
      </c>
      <c r="E50">
        <f t="shared" si="2"/>
        <v>16776960</v>
      </c>
    </row>
    <row r="51" spans="1:5" ht="15" customHeight="1" x14ac:dyDescent="0.25">
      <c r="A51" t="s">
        <v>616</v>
      </c>
      <c r="B51" s="6">
        <v>153</v>
      </c>
      <c r="C51" s="6">
        <v>255</v>
      </c>
      <c r="D51" s="6">
        <v>255</v>
      </c>
      <c r="E51">
        <f t="shared" si="2"/>
        <v>16777113</v>
      </c>
    </row>
    <row r="52" spans="1:5" ht="15" customHeight="1" x14ac:dyDescent="0.25">
      <c r="A52" t="s">
        <v>617</v>
      </c>
      <c r="B52" s="6">
        <v>0</v>
      </c>
      <c r="C52" s="6">
        <v>0</v>
      </c>
      <c r="D52" s="6">
        <v>128</v>
      </c>
      <c r="E52">
        <f t="shared" si="2"/>
        <v>8388608</v>
      </c>
    </row>
    <row r="53" spans="1:5" ht="15" customHeight="1" x14ac:dyDescent="0.25">
      <c r="A53" t="s">
        <v>618</v>
      </c>
      <c r="B53" s="6">
        <v>0</v>
      </c>
      <c r="C53" s="6">
        <v>0</v>
      </c>
      <c r="D53" s="6">
        <v>255</v>
      </c>
      <c r="E53">
        <f t="shared" si="2"/>
        <v>16711680</v>
      </c>
    </row>
    <row r="54" spans="1:5" ht="15" customHeight="1" x14ac:dyDescent="0.25">
      <c r="A54" t="s">
        <v>619</v>
      </c>
      <c r="B54" s="6">
        <v>51</v>
      </c>
      <c r="C54" s="6">
        <v>102</v>
      </c>
      <c r="D54" s="6">
        <v>255</v>
      </c>
      <c r="E54">
        <f t="shared" si="2"/>
        <v>16737843</v>
      </c>
    </row>
    <row r="55" spans="1:5" ht="15" customHeight="1" x14ac:dyDescent="0.25">
      <c r="A55" t="s">
        <v>620</v>
      </c>
      <c r="B55" s="6">
        <v>0</v>
      </c>
      <c r="C55" s="6">
        <v>204</v>
      </c>
      <c r="D55" s="6">
        <v>255</v>
      </c>
      <c r="E55">
        <f t="shared" si="2"/>
        <v>16763904</v>
      </c>
    </row>
    <row r="56" spans="1:5" ht="15" customHeight="1" x14ac:dyDescent="0.25">
      <c r="A56" t="s">
        <v>595</v>
      </c>
      <c r="B56" s="6">
        <v>153</v>
      </c>
      <c r="C56" s="6">
        <v>204</v>
      </c>
      <c r="D56" s="6">
        <v>255</v>
      </c>
      <c r="E56">
        <f t="shared" si="2"/>
        <v>16764057</v>
      </c>
    </row>
    <row r="57" spans="1:5" ht="15" customHeight="1" x14ac:dyDescent="0.25">
      <c r="A57" t="s">
        <v>621</v>
      </c>
      <c r="B57" s="6">
        <v>51</v>
      </c>
      <c r="C57" s="6">
        <v>51</v>
      </c>
      <c r="D57" s="6">
        <v>153</v>
      </c>
      <c r="E57">
        <f t="shared" si="2"/>
        <v>10040115</v>
      </c>
    </row>
    <row r="58" spans="1:5" ht="15" customHeight="1" x14ac:dyDescent="0.25">
      <c r="A58" t="s">
        <v>622</v>
      </c>
      <c r="B58" s="6">
        <v>102</v>
      </c>
      <c r="C58" s="6">
        <v>102</v>
      </c>
      <c r="D58" s="6">
        <v>153</v>
      </c>
      <c r="E58">
        <f t="shared" si="2"/>
        <v>10053222</v>
      </c>
    </row>
    <row r="59" spans="1:5" ht="15" customHeight="1" x14ac:dyDescent="0.25">
      <c r="A59" t="s">
        <v>623</v>
      </c>
      <c r="B59" s="6">
        <v>128</v>
      </c>
      <c r="C59" s="6">
        <v>0</v>
      </c>
      <c r="D59" s="6">
        <v>128</v>
      </c>
      <c r="E59">
        <f t="shared" si="2"/>
        <v>8388736</v>
      </c>
    </row>
    <row r="60" spans="1:5" ht="15" customHeight="1" x14ac:dyDescent="0.25">
      <c r="A60" t="s">
        <v>624</v>
      </c>
      <c r="B60" s="6">
        <v>153</v>
      </c>
      <c r="C60" s="6">
        <v>51</v>
      </c>
      <c r="D60" s="6">
        <v>102</v>
      </c>
      <c r="E60">
        <f t="shared" si="2"/>
        <v>6697881</v>
      </c>
    </row>
    <row r="61" spans="1:5" ht="15" customHeight="1" x14ac:dyDescent="0.25">
      <c r="A61" t="s">
        <v>625</v>
      </c>
      <c r="B61" s="6">
        <v>204</v>
      </c>
      <c r="C61" s="6">
        <v>153</v>
      </c>
      <c r="D61" s="6">
        <v>255</v>
      </c>
      <c r="E61">
        <f t="shared" si="2"/>
        <v>16751052</v>
      </c>
    </row>
    <row r="62" spans="1:5" ht="15" customHeight="1" x14ac:dyDescent="0.25">
      <c r="A62" t="s">
        <v>626</v>
      </c>
      <c r="B62" s="6">
        <v>51</v>
      </c>
      <c r="C62" s="6">
        <v>51</v>
      </c>
      <c r="D62" s="6">
        <v>51</v>
      </c>
      <c r="E62">
        <f t="shared" si="2"/>
        <v>3355443</v>
      </c>
    </row>
    <row r="63" spans="1:5" ht="15" customHeight="1" x14ac:dyDescent="0.25">
      <c r="A63" t="s">
        <v>627</v>
      </c>
      <c r="B63" s="6">
        <v>102</v>
      </c>
      <c r="C63" s="6">
        <v>102</v>
      </c>
      <c r="D63" s="6">
        <v>102</v>
      </c>
      <c r="E63">
        <f t="shared" si="2"/>
        <v>6710886</v>
      </c>
    </row>
    <row r="64" spans="1:5" ht="15" customHeight="1" x14ac:dyDescent="0.25">
      <c r="A64" t="s">
        <v>506</v>
      </c>
      <c r="B64" s="6">
        <v>153</v>
      </c>
      <c r="C64" s="6">
        <v>153</v>
      </c>
      <c r="D64" s="6">
        <v>153</v>
      </c>
      <c r="E64">
        <f t="shared" si="2"/>
        <v>10066329</v>
      </c>
    </row>
    <row r="65" spans="1:5" ht="15" customHeight="1" x14ac:dyDescent="0.25">
      <c r="A65" t="s">
        <v>504</v>
      </c>
      <c r="B65" s="6">
        <v>204</v>
      </c>
      <c r="C65" s="6">
        <v>204</v>
      </c>
      <c r="D65" s="6">
        <v>204</v>
      </c>
      <c r="E65">
        <f t="shared" si="2"/>
        <v>13421772</v>
      </c>
    </row>
    <row r="66" spans="1:5" ht="15" customHeight="1" x14ac:dyDescent="0.25">
      <c r="A66" t="s">
        <v>597</v>
      </c>
      <c r="B66" s="6">
        <v>255</v>
      </c>
      <c r="C66" s="6">
        <v>255</v>
      </c>
      <c r="D66" s="6">
        <v>255</v>
      </c>
      <c r="E66">
        <f t="shared" si="2"/>
        <v>16777215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35"/>
  <sheetViews>
    <sheetView workbookViewId="0">
      <selection activeCell="B26" sqref="B26"/>
    </sheetView>
  </sheetViews>
  <sheetFormatPr defaultColWidth="11.44140625" defaultRowHeight="21" customHeight="1" x14ac:dyDescent="0.25"/>
  <sheetData>
    <row r="1" spans="1:8" ht="21" customHeight="1" x14ac:dyDescent="0.25">
      <c r="A1" s="2" t="s">
        <v>73</v>
      </c>
      <c r="B1" s="2" t="s">
        <v>74</v>
      </c>
      <c r="C1" s="2"/>
      <c r="D1" s="3" t="s">
        <v>75</v>
      </c>
      <c r="E1" s="3" t="s">
        <v>76</v>
      </c>
      <c r="F1" s="8" t="s">
        <v>123</v>
      </c>
      <c r="G1" s="8" t="s">
        <v>124</v>
      </c>
      <c r="H1" s="8" t="s">
        <v>125</v>
      </c>
    </row>
    <row r="2" spans="1:8" ht="21" customHeight="1" x14ac:dyDescent="0.25">
      <c r="A2" s="12" t="s">
        <v>77</v>
      </c>
      <c r="B2" s="8">
        <v>94</v>
      </c>
      <c r="D2" s="10" t="s">
        <v>116</v>
      </c>
    </row>
    <row r="3" spans="1:8" ht="21" customHeight="1" x14ac:dyDescent="0.25">
      <c r="A3" s="12" t="s">
        <v>78</v>
      </c>
      <c r="B3" s="8">
        <v>91</v>
      </c>
      <c r="D3" s="10" t="s">
        <v>116</v>
      </c>
    </row>
    <row r="4" spans="1:8" ht="21" customHeight="1" x14ac:dyDescent="0.25">
      <c r="A4" s="12" t="s">
        <v>79</v>
      </c>
      <c r="B4" s="8">
        <v>92</v>
      </c>
    </row>
    <row r="5" spans="1:8" ht="21" customHeight="1" x14ac:dyDescent="0.25">
      <c r="A5" s="12" t="s">
        <v>80</v>
      </c>
      <c r="B5" s="8">
        <v>93</v>
      </c>
      <c r="D5" s="10" t="s">
        <v>116</v>
      </c>
    </row>
    <row r="6" spans="1:8" ht="21" customHeight="1" x14ac:dyDescent="0.25">
      <c r="A6" s="12" t="s">
        <v>81</v>
      </c>
      <c r="B6" s="8">
        <v>25</v>
      </c>
      <c r="D6" s="10" t="s">
        <v>117</v>
      </c>
      <c r="E6" s="10" t="s">
        <v>117</v>
      </c>
      <c r="F6" s="8">
        <v>-90</v>
      </c>
      <c r="G6" s="8">
        <v>90</v>
      </c>
    </row>
    <row r="7" spans="1:8" ht="21" customHeight="1" x14ac:dyDescent="0.25">
      <c r="A7" s="12" t="s">
        <v>82</v>
      </c>
      <c r="B7" s="8">
        <v>20</v>
      </c>
      <c r="D7" s="10" t="s">
        <v>117</v>
      </c>
      <c r="E7" s="10" t="s">
        <v>116</v>
      </c>
      <c r="F7" s="8">
        <v>90</v>
      </c>
      <c r="G7" s="8">
        <v>0</v>
      </c>
      <c r="H7" s="8">
        <v>45</v>
      </c>
    </row>
    <row r="8" spans="1:8" ht="21" customHeight="1" x14ac:dyDescent="0.25">
      <c r="A8" s="12" t="s">
        <v>83</v>
      </c>
      <c r="B8" s="8">
        <v>13</v>
      </c>
      <c r="D8" s="10" t="s">
        <v>116</v>
      </c>
    </row>
    <row r="9" spans="1:8" ht="21" customHeight="1" x14ac:dyDescent="0.25">
      <c r="A9" s="12" t="s">
        <v>84</v>
      </c>
      <c r="B9" s="8">
        <v>52</v>
      </c>
      <c r="D9" s="10" t="s">
        <v>118</v>
      </c>
    </row>
    <row r="10" spans="1:8" ht="21" customHeight="1" x14ac:dyDescent="0.25">
      <c r="A10" s="12" t="s">
        <v>85</v>
      </c>
      <c r="B10" s="8">
        <v>11</v>
      </c>
      <c r="D10" s="10" t="s">
        <v>116</v>
      </c>
    </row>
    <row r="11" spans="1:8" ht="21" customHeight="1" x14ac:dyDescent="0.25">
      <c r="A11" s="12" t="s">
        <v>86</v>
      </c>
      <c r="B11" s="8">
        <v>14</v>
      </c>
      <c r="D11" s="10" t="s">
        <v>118</v>
      </c>
    </row>
    <row r="12" spans="1:8" ht="21" customHeight="1" x14ac:dyDescent="0.25">
      <c r="A12" s="12" t="s">
        <v>87</v>
      </c>
      <c r="B12" s="8">
        <v>4</v>
      </c>
    </row>
    <row r="13" spans="1:8" ht="21" customHeight="1" x14ac:dyDescent="0.25">
      <c r="A13" s="12" t="s">
        <v>88</v>
      </c>
      <c r="B13" s="8">
        <v>104</v>
      </c>
      <c r="D13" s="10" t="s">
        <v>119</v>
      </c>
      <c r="E13" s="10" t="s">
        <v>120</v>
      </c>
      <c r="F13" s="8">
        <v>0.2</v>
      </c>
      <c r="G13" s="8">
        <v>0.3</v>
      </c>
    </row>
    <row r="14" spans="1:8" ht="21" customHeight="1" x14ac:dyDescent="0.25">
      <c r="A14" s="12" t="s">
        <v>89</v>
      </c>
      <c r="B14" s="8">
        <v>36</v>
      </c>
      <c r="D14" s="10" t="s">
        <v>118</v>
      </c>
      <c r="E14" s="10" t="s">
        <v>116</v>
      </c>
      <c r="F14" s="8">
        <v>0.5</v>
      </c>
      <c r="G14" s="8">
        <v>0.3</v>
      </c>
      <c r="H14" s="8">
        <v>45</v>
      </c>
    </row>
    <row r="15" spans="1:8" ht="21" customHeight="1" x14ac:dyDescent="0.25">
      <c r="A15" s="12" t="s">
        <v>90</v>
      </c>
      <c r="B15" s="8">
        <v>89</v>
      </c>
    </row>
    <row r="16" spans="1:8" ht="21" customHeight="1" x14ac:dyDescent="0.25">
      <c r="A16" s="12" t="s">
        <v>91</v>
      </c>
      <c r="B16" s="8">
        <v>90</v>
      </c>
    </row>
    <row r="17" spans="1:7" ht="21" customHeight="1" x14ac:dyDescent="0.25">
      <c r="A17" s="12" t="s">
        <v>92</v>
      </c>
      <c r="B17" s="8">
        <v>10</v>
      </c>
      <c r="D17" s="10" t="s">
        <v>116</v>
      </c>
    </row>
    <row r="18" spans="1:7" ht="21" customHeight="1" x14ac:dyDescent="0.25">
      <c r="A18" s="12" t="s">
        <v>93</v>
      </c>
      <c r="B18" s="8">
        <v>7</v>
      </c>
      <c r="D18" s="10" t="s">
        <v>118</v>
      </c>
    </row>
    <row r="19" spans="1:7" ht="21" customHeight="1" x14ac:dyDescent="0.25">
      <c r="A19" s="12" t="s">
        <v>94</v>
      </c>
      <c r="B19" s="8">
        <v>34</v>
      </c>
      <c r="D19" s="10" t="s">
        <v>118</v>
      </c>
      <c r="E19" s="10" t="s">
        <v>116</v>
      </c>
    </row>
    <row r="20" spans="1:7" ht="21" customHeight="1" x14ac:dyDescent="0.25">
      <c r="A20" s="12" t="s">
        <v>95</v>
      </c>
      <c r="B20" s="8">
        <v>37</v>
      </c>
      <c r="D20" s="10" t="s">
        <v>116</v>
      </c>
      <c r="E20" s="10" t="s">
        <v>116</v>
      </c>
    </row>
    <row r="21" spans="1:7" ht="21" customHeight="1" x14ac:dyDescent="0.25">
      <c r="A21" s="12" t="s">
        <v>96</v>
      </c>
      <c r="B21" s="8">
        <v>24</v>
      </c>
      <c r="D21" s="10" t="s">
        <v>121</v>
      </c>
    </row>
    <row r="22" spans="1:7" ht="21" customHeight="1" x14ac:dyDescent="0.25">
      <c r="A22" s="12" t="s">
        <v>97</v>
      </c>
      <c r="B22" s="8">
        <v>6</v>
      </c>
      <c r="D22" s="10" t="s">
        <v>116</v>
      </c>
    </row>
    <row r="23" spans="1:7" ht="21" customHeight="1" x14ac:dyDescent="0.25">
      <c r="A23" s="12" t="s">
        <v>98</v>
      </c>
      <c r="B23" s="8">
        <v>9</v>
      </c>
    </row>
    <row r="24" spans="1:7" ht="21" customHeight="1" x14ac:dyDescent="0.25">
      <c r="A24" s="12" t="s">
        <v>99</v>
      </c>
      <c r="B24" s="8">
        <v>2</v>
      </c>
      <c r="D24" s="10" t="s">
        <v>118</v>
      </c>
    </row>
    <row r="25" spans="1:7" ht="21" customHeight="1" x14ac:dyDescent="0.25">
      <c r="A25" s="12" t="s">
        <v>100</v>
      </c>
      <c r="B25" s="8">
        <v>51</v>
      </c>
      <c r="D25" s="10" t="s">
        <v>118</v>
      </c>
    </row>
    <row r="26" spans="1:7" ht="21" customHeight="1" x14ac:dyDescent="0.25">
      <c r="A26" s="12" t="s">
        <v>101</v>
      </c>
      <c r="B26" s="8">
        <v>1</v>
      </c>
    </row>
    <row r="27" spans="1:7" ht="21" customHeight="1" x14ac:dyDescent="0.25">
      <c r="A27" s="12" t="s">
        <v>102</v>
      </c>
      <c r="B27" s="8">
        <v>12</v>
      </c>
    </row>
    <row r="28" spans="1:7" ht="21" customHeight="1" x14ac:dyDescent="0.25">
      <c r="A28" s="12" t="s">
        <v>103</v>
      </c>
      <c r="B28" s="8">
        <v>33</v>
      </c>
      <c r="D28" s="10" t="s">
        <v>118</v>
      </c>
      <c r="E28" s="10" t="s">
        <v>116</v>
      </c>
      <c r="F28" s="8">
        <v>0.5</v>
      </c>
      <c r="G28" s="8">
        <v>0.8</v>
      </c>
    </row>
    <row r="29" spans="1:7" ht="21" customHeight="1" x14ac:dyDescent="0.25">
      <c r="A29" s="12" t="s">
        <v>104</v>
      </c>
      <c r="B29" s="8">
        <v>8</v>
      </c>
    </row>
    <row r="30" spans="1:7" ht="21" customHeight="1" x14ac:dyDescent="0.25">
      <c r="A30" s="12" t="s">
        <v>105</v>
      </c>
      <c r="B30" s="8">
        <v>5</v>
      </c>
      <c r="D30" s="10" t="s">
        <v>116</v>
      </c>
    </row>
    <row r="31" spans="1:7" ht="21" customHeight="1" x14ac:dyDescent="0.25">
      <c r="A31" s="12" t="s">
        <v>106</v>
      </c>
      <c r="B31" s="8">
        <v>23</v>
      </c>
      <c r="D31" s="10" t="s">
        <v>127</v>
      </c>
      <c r="F31" s="8">
        <v>0.1</v>
      </c>
    </row>
    <row r="32" spans="1:7" ht="21" customHeight="1" x14ac:dyDescent="0.25">
      <c r="A32" s="12" t="s">
        <v>107</v>
      </c>
      <c r="B32" s="8">
        <v>3</v>
      </c>
      <c r="D32" s="10" t="s">
        <v>116</v>
      </c>
    </row>
    <row r="33" spans="1:5" ht="21" customHeight="1" x14ac:dyDescent="0.25">
      <c r="A33" s="12" t="s">
        <v>108</v>
      </c>
      <c r="B33" s="8">
        <v>35</v>
      </c>
      <c r="D33" s="10" t="s">
        <v>118</v>
      </c>
      <c r="E33" s="10" t="s">
        <v>116</v>
      </c>
    </row>
    <row r="34" spans="1:5" ht="21" customHeight="1" x14ac:dyDescent="0.25">
      <c r="A34" s="12" t="s">
        <v>109</v>
      </c>
      <c r="B34" s="8">
        <v>38</v>
      </c>
      <c r="D34" s="10" t="s">
        <v>116</v>
      </c>
      <c r="E34" s="10" t="s">
        <v>116</v>
      </c>
    </row>
    <row r="35" spans="1:5" ht="21" customHeight="1" x14ac:dyDescent="0.25">
      <c r="A35" s="12" t="s">
        <v>110</v>
      </c>
      <c r="B35" s="8">
        <v>103</v>
      </c>
      <c r="D35" s="10" t="s">
        <v>122</v>
      </c>
      <c r="E35" s="10" t="s">
        <v>120</v>
      </c>
    </row>
    <row r="36" spans="1:5" ht="21" customHeight="1" x14ac:dyDescent="0.25">
      <c r="B36" s="8">
        <v>1</v>
      </c>
    </row>
    <row r="37" spans="1:5" ht="21" customHeight="1" x14ac:dyDescent="0.25">
      <c r="B37" s="8">
        <v>2</v>
      </c>
    </row>
    <row r="38" spans="1:5" ht="21" customHeight="1" x14ac:dyDescent="0.25">
      <c r="B38" s="8">
        <v>3</v>
      </c>
    </row>
    <row r="39" spans="1:5" ht="21" customHeight="1" x14ac:dyDescent="0.25">
      <c r="B39" s="8">
        <v>4</v>
      </c>
    </row>
    <row r="40" spans="1:5" ht="21" customHeight="1" x14ac:dyDescent="0.25">
      <c r="B40" s="8">
        <v>5</v>
      </c>
    </row>
    <row r="41" spans="1:5" ht="21" customHeight="1" x14ac:dyDescent="0.25">
      <c r="B41" s="8">
        <v>6</v>
      </c>
    </row>
    <row r="42" spans="1:5" ht="21" customHeight="1" x14ac:dyDescent="0.25">
      <c r="B42" s="8">
        <v>7</v>
      </c>
    </row>
    <row r="43" spans="1:5" ht="21" customHeight="1" x14ac:dyDescent="0.25">
      <c r="B43" s="8">
        <v>8</v>
      </c>
    </row>
    <row r="44" spans="1:5" ht="21" customHeight="1" x14ac:dyDescent="0.25">
      <c r="B44" s="8">
        <v>9</v>
      </c>
    </row>
    <row r="45" spans="1:5" ht="21" customHeight="1" x14ac:dyDescent="0.25">
      <c r="B45" s="8">
        <v>10</v>
      </c>
    </row>
    <row r="46" spans="1:5" ht="21" customHeight="1" x14ac:dyDescent="0.25">
      <c r="B46" s="8">
        <v>11</v>
      </c>
    </row>
    <row r="47" spans="1:5" ht="21" customHeight="1" x14ac:dyDescent="0.25">
      <c r="B47" s="8">
        <v>12</v>
      </c>
    </row>
    <row r="48" spans="1:5" ht="21" customHeight="1" x14ac:dyDescent="0.25">
      <c r="B48" s="8">
        <v>13</v>
      </c>
    </row>
    <row r="49" spans="2:2" ht="21" customHeight="1" x14ac:dyDescent="0.25">
      <c r="B49" s="8">
        <v>14</v>
      </c>
    </row>
    <row r="50" spans="2:2" ht="21" customHeight="1" x14ac:dyDescent="0.25">
      <c r="B50" s="8">
        <v>15</v>
      </c>
    </row>
    <row r="51" spans="2:2" ht="21" customHeight="1" x14ac:dyDescent="0.25">
      <c r="B51" s="8">
        <v>16</v>
      </c>
    </row>
    <row r="52" spans="2:2" ht="21" customHeight="1" x14ac:dyDescent="0.25">
      <c r="B52" s="8">
        <v>17</v>
      </c>
    </row>
    <row r="53" spans="2:2" ht="21" customHeight="1" x14ac:dyDescent="0.25">
      <c r="B53" s="8">
        <v>18</v>
      </c>
    </row>
    <row r="54" spans="2:2" ht="21" customHeight="1" x14ac:dyDescent="0.25">
      <c r="B54" s="8">
        <v>19</v>
      </c>
    </row>
    <row r="55" spans="2:2" ht="21" customHeight="1" x14ac:dyDescent="0.25">
      <c r="B55" s="8">
        <v>20</v>
      </c>
    </row>
    <row r="56" spans="2:2" ht="21" customHeight="1" x14ac:dyDescent="0.25">
      <c r="B56" s="8">
        <v>21</v>
      </c>
    </row>
    <row r="57" spans="2:2" ht="21" customHeight="1" x14ac:dyDescent="0.25">
      <c r="B57" s="8">
        <v>22</v>
      </c>
    </row>
    <row r="58" spans="2:2" ht="21" customHeight="1" x14ac:dyDescent="0.25">
      <c r="B58" s="8">
        <v>23</v>
      </c>
    </row>
    <row r="59" spans="2:2" ht="21" customHeight="1" x14ac:dyDescent="0.25">
      <c r="B59" s="8">
        <v>24</v>
      </c>
    </row>
    <row r="60" spans="2:2" ht="21" customHeight="1" x14ac:dyDescent="0.25">
      <c r="B60" s="8">
        <v>25</v>
      </c>
    </row>
    <row r="61" spans="2:2" ht="21" customHeight="1" x14ac:dyDescent="0.25">
      <c r="B61" s="8">
        <v>26</v>
      </c>
    </row>
    <row r="62" spans="2:2" ht="21" customHeight="1" x14ac:dyDescent="0.25">
      <c r="B62" s="8">
        <v>27</v>
      </c>
    </row>
    <row r="63" spans="2:2" ht="21" customHeight="1" x14ac:dyDescent="0.25">
      <c r="B63" s="8">
        <v>28</v>
      </c>
    </row>
    <row r="64" spans="2:2" ht="21" customHeight="1" x14ac:dyDescent="0.25">
      <c r="B64" s="8">
        <v>29</v>
      </c>
    </row>
    <row r="65" spans="2:2" ht="21" customHeight="1" x14ac:dyDescent="0.25">
      <c r="B65" s="8">
        <v>30</v>
      </c>
    </row>
    <row r="66" spans="2:2" ht="21" customHeight="1" x14ac:dyDescent="0.25">
      <c r="B66" s="8">
        <v>31</v>
      </c>
    </row>
    <row r="67" spans="2:2" ht="21" customHeight="1" x14ac:dyDescent="0.25">
      <c r="B67" s="8">
        <v>32</v>
      </c>
    </row>
    <row r="68" spans="2:2" ht="21" customHeight="1" x14ac:dyDescent="0.25">
      <c r="B68" s="8">
        <v>33</v>
      </c>
    </row>
    <row r="69" spans="2:2" ht="21" customHeight="1" x14ac:dyDescent="0.25">
      <c r="B69" s="8">
        <v>34</v>
      </c>
    </row>
    <row r="70" spans="2:2" ht="21" customHeight="1" x14ac:dyDescent="0.25">
      <c r="B70" s="8">
        <v>35</v>
      </c>
    </row>
    <row r="71" spans="2:2" ht="21" customHeight="1" x14ac:dyDescent="0.25">
      <c r="B71" s="8">
        <v>36</v>
      </c>
    </row>
    <row r="72" spans="2:2" ht="21" customHeight="1" x14ac:dyDescent="0.25">
      <c r="B72" s="8">
        <v>37</v>
      </c>
    </row>
    <row r="73" spans="2:2" ht="21" customHeight="1" x14ac:dyDescent="0.25">
      <c r="B73" s="8">
        <v>38</v>
      </c>
    </row>
    <row r="74" spans="2:2" ht="21" customHeight="1" x14ac:dyDescent="0.25">
      <c r="B74" s="8">
        <v>39</v>
      </c>
    </row>
    <row r="75" spans="2:2" ht="21" customHeight="1" x14ac:dyDescent="0.25">
      <c r="B75" s="8">
        <v>40</v>
      </c>
    </row>
    <row r="76" spans="2:2" ht="21" customHeight="1" x14ac:dyDescent="0.25">
      <c r="B76" s="8">
        <v>41</v>
      </c>
    </row>
    <row r="77" spans="2:2" ht="21" customHeight="1" x14ac:dyDescent="0.25">
      <c r="B77" s="8">
        <v>42</v>
      </c>
    </row>
    <row r="78" spans="2:2" ht="21" customHeight="1" x14ac:dyDescent="0.25">
      <c r="B78" s="8">
        <v>43</v>
      </c>
    </row>
    <row r="79" spans="2:2" ht="21" customHeight="1" x14ac:dyDescent="0.25">
      <c r="B79" s="8">
        <v>44</v>
      </c>
    </row>
    <row r="80" spans="2:2" ht="21" customHeight="1" x14ac:dyDescent="0.25">
      <c r="B80" s="8">
        <v>45</v>
      </c>
    </row>
    <row r="81" spans="2:2" ht="21" customHeight="1" x14ac:dyDescent="0.25">
      <c r="B81" s="8">
        <v>46</v>
      </c>
    </row>
    <row r="82" spans="2:2" ht="21" customHeight="1" x14ac:dyDescent="0.25">
      <c r="B82" s="8">
        <v>47</v>
      </c>
    </row>
    <row r="83" spans="2:2" ht="21" customHeight="1" x14ac:dyDescent="0.25">
      <c r="B83" s="8">
        <v>48</v>
      </c>
    </row>
    <row r="84" spans="2:2" ht="21" customHeight="1" x14ac:dyDescent="0.25">
      <c r="B84" s="8">
        <v>49</v>
      </c>
    </row>
    <row r="85" spans="2:2" ht="21" customHeight="1" x14ac:dyDescent="0.25">
      <c r="B85" s="8">
        <v>50</v>
      </c>
    </row>
    <row r="86" spans="2:2" ht="21" customHeight="1" x14ac:dyDescent="0.25">
      <c r="B86" s="8">
        <v>51</v>
      </c>
    </row>
    <row r="87" spans="2:2" ht="21" customHeight="1" x14ac:dyDescent="0.25">
      <c r="B87" s="8">
        <v>52</v>
      </c>
    </row>
    <row r="88" spans="2:2" ht="21" customHeight="1" x14ac:dyDescent="0.25">
      <c r="B88" s="8">
        <v>53</v>
      </c>
    </row>
    <row r="89" spans="2:2" ht="21" customHeight="1" x14ac:dyDescent="0.25">
      <c r="B89" s="8">
        <v>54</v>
      </c>
    </row>
    <row r="90" spans="2:2" ht="21" customHeight="1" x14ac:dyDescent="0.25">
      <c r="B90" s="8">
        <v>55</v>
      </c>
    </row>
    <row r="91" spans="2:2" ht="21" customHeight="1" x14ac:dyDescent="0.25">
      <c r="B91" s="8">
        <v>56</v>
      </c>
    </row>
    <row r="92" spans="2:2" ht="21" customHeight="1" x14ac:dyDescent="0.25">
      <c r="B92" s="8">
        <v>57</v>
      </c>
    </row>
    <row r="93" spans="2:2" ht="21" customHeight="1" x14ac:dyDescent="0.25">
      <c r="B93" s="8">
        <v>58</v>
      </c>
    </row>
    <row r="94" spans="2:2" ht="21" customHeight="1" x14ac:dyDescent="0.25">
      <c r="B94" s="8">
        <v>59</v>
      </c>
    </row>
    <row r="95" spans="2:2" ht="21" customHeight="1" x14ac:dyDescent="0.25">
      <c r="B95" s="8">
        <v>60</v>
      </c>
    </row>
    <row r="96" spans="2:2" ht="21" customHeight="1" x14ac:dyDescent="0.25">
      <c r="B96" s="8">
        <v>61</v>
      </c>
    </row>
    <row r="97" spans="2:2" ht="21" customHeight="1" x14ac:dyDescent="0.25">
      <c r="B97" s="8">
        <v>62</v>
      </c>
    </row>
    <row r="98" spans="2:2" ht="21" customHeight="1" x14ac:dyDescent="0.25">
      <c r="B98" s="8">
        <v>63</v>
      </c>
    </row>
    <row r="99" spans="2:2" ht="21" customHeight="1" x14ac:dyDescent="0.25">
      <c r="B99" s="8">
        <v>64</v>
      </c>
    </row>
    <row r="100" spans="2:2" ht="21" customHeight="1" x14ac:dyDescent="0.25">
      <c r="B100" s="8">
        <v>65</v>
      </c>
    </row>
    <row r="101" spans="2:2" ht="21" customHeight="1" x14ac:dyDescent="0.25">
      <c r="B101" s="8">
        <v>66</v>
      </c>
    </row>
    <row r="102" spans="2:2" ht="21" customHeight="1" x14ac:dyDescent="0.25">
      <c r="B102" s="8">
        <v>67</v>
      </c>
    </row>
    <row r="103" spans="2:2" ht="21" customHeight="1" x14ac:dyDescent="0.25">
      <c r="B103" s="8">
        <v>68</v>
      </c>
    </row>
    <row r="104" spans="2:2" ht="21" customHeight="1" x14ac:dyDescent="0.25">
      <c r="B104" s="8">
        <v>69</v>
      </c>
    </row>
    <row r="105" spans="2:2" ht="21" customHeight="1" x14ac:dyDescent="0.25">
      <c r="B105" s="8">
        <v>70</v>
      </c>
    </row>
    <row r="106" spans="2:2" ht="21" customHeight="1" x14ac:dyDescent="0.25">
      <c r="B106" s="8">
        <v>71</v>
      </c>
    </row>
    <row r="107" spans="2:2" ht="21" customHeight="1" x14ac:dyDescent="0.25">
      <c r="B107" s="8">
        <v>72</v>
      </c>
    </row>
    <row r="108" spans="2:2" ht="21" customHeight="1" x14ac:dyDescent="0.25">
      <c r="B108" s="8">
        <v>73</v>
      </c>
    </row>
    <row r="109" spans="2:2" ht="21" customHeight="1" x14ac:dyDescent="0.25">
      <c r="B109" s="8">
        <v>74</v>
      </c>
    </row>
    <row r="110" spans="2:2" ht="21" customHeight="1" x14ac:dyDescent="0.25">
      <c r="B110" s="8">
        <v>75</v>
      </c>
    </row>
    <row r="111" spans="2:2" ht="21" customHeight="1" x14ac:dyDescent="0.25">
      <c r="B111" s="8">
        <v>76</v>
      </c>
    </row>
    <row r="112" spans="2:2" ht="21" customHeight="1" x14ac:dyDescent="0.25">
      <c r="B112" s="8">
        <v>77</v>
      </c>
    </row>
    <row r="113" spans="2:2" ht="21" customHeight="1" x14ac:dyDescent="0.25">
      <c r="B113" s="8">
        <v>78</v>
      </c>
    </row>
    <row r="114" spans="2:2" ht="21" customHeight="1" x14ac:dyDescent="0.25">
      <c r="B114" s="8">
        <v>79</v>
      </c>
    </row>
    <row r="115" spans="2:2" ht="21" customHeight="1" x14ac:dyDescent="0.25">
      <c r="B115" s="8">
        <v>80</v>
      </c>
    </row>
    <row r="116" spans="2:2" ht="21" customHeight="1" x14ac:dyDescent="0.25">
      <c r="B116" s="8">
        <v>81</v>
      </c>
    </row>
    <row r="117" spans="2:2" ht="21" customHeight="1" x14ac:dyDescent="0.25">
      <c r="B117" s="8">
        <v>82</v>
      </c>
    </row>
    <row r="118" spans="2:2" ht="21" customHeight="1" x14ac:dyDescent="0.25">
      <c r="B118" s="8">
        <v>83</v>
      </c>
    </row>
    <row r="119" spans="2:2" ht="21" customHeight="1" x14ac:dyDescent="0.25">
      <c r="B119" s="8">
        <v>84</v>
      </c>
    </row>
    <row r="120" spans="2:2" ht="21" customHeight="1" x14ac:dyDescent="0.25">
      <c r="B120" s="8">
        <v>85</v>
      </c>
    </row>
    <row r="121" spans="2:2" ht="21" customHeight="1" x14ac:dyDescent="0.25">
      <c r="B121" s="8">
        <v>86</v>
      </c>
    </row>
    <row r="122" spans="2:2" ht="21" customHeight="1" x14ac:dyDescent="0.25">
      <c r="B122" s="8">
        <v>87</v>
      </c>
    </row>
    <row r="123" spans="2:2" ht="21" customHeight="1" x14ac:dyDescent="0.25">
      <c r="B123" s="8">
        <v>88</v>
      </c>
    </row>
    <row r="124" spans="2:2" ht="21" customHeight="1" x14ac:dyDescent="0.25">
      <c r="B124" s="8">
        <v>89</v>
      </c>
    </row>
    <row r="125" spans="2:2" ht="21" customHeight="1" x14ac:dyDescent="0.25">
      <c r="B125" s="8">
        <v>90</v>
      </c>
    </row>
    <row r="126" spans="2:2" ht="21" customHeight="1" x14ac:dyDescent="0.25">
      <c r="B126" s="8">
        <v>91</v>
      </c>
    </row>
    <row r="127" spans="2:2" ht="21" customHeight="1" x14ac:dyDescent="0.25">
      <c r="B127" s="8">
        <v>92</v>
      </c>
    </row>
    <row r="128" spans="2:2" ht="21" customHeight="1" x14ac:dyDescent="0.25">
      <c r="B128" s="8">
        <v>93</v>
      </c>
    </row>
    <row r="129" spans="2:2" ht="21" customHeight="1" x14ac:dyDescent="0.25">
      <c r="B129" s="8">
        <v>94</v>
      </c>
    </row>
    <row r="130" spans="2:2" ht="21" customHeight="1" x14ac:dyDescent="0.25">
      <c r="B130" s="8">
        <v>95</v>
      </c>
    </row>
    <row r="131" spans="2:2" ht="21" customHeight="1" x14ac:dyDescent="0.25">
      <c r="B131" s="8">
        <v>96</v>
      </c>
    </row>
    <row r="132" spans="2:2" ht="21" customHeight="1" x14ac:dyDescent="0.25">
      <c r="B132" s="8">
        <v>97</v>
      </c>
    </row>
    <row r="133" spans="2:2" ht="21" customHeight="1" x14ac:dyDescent="0.25">
      <c r="B133" s="8">
        <v>98</v>
      </c>
    </row>
    <row r="134" spans="2:2" ht="21" customHeight="1" x14ac:dyDescent="0.25">
      <c r="B134" s="8">
        <v>99</v>
      </c>
    </row>
    <row r="135" spans="2:2" ht="21" customHeight="1" x14ac:dyDescent="0.25">
      <c r="B135" s="8">
        <v>100</v>
      </c>
    </row>
    <row r="136" spans="2:2" ht="21" customHeight="1" x14ac:dyDescent="0.25">
      <c r="B136" s="8">
        <v>101</v>
      </c>
    </row>
    <row r="137" spans="2:2" ht="21" customHeight="1" x14ac:dyDescent="0.25">
      <c r="B137" s="8">
        <v>102</v>
      </c>
    </row>
    <row r="138" spans="2:2" ht="21" customHeight="1" x14ac:dyDescent="0.25">
      <c r="B138" s="8">
        <v>103</v>
      </c>
    </row>
    <row r="139" spans="2:2" ht="21" customHeight="1" x14ac:dyDescent="0.25">
      <c r="B139" s="8">
        <v>104</v>
      </c>
    </row>
    <row r="140" spans="2:2" ht="21" customHeight="1" x14ac:dyDescent="0.25">
      <c r="B140" s="8">
        <v>105</v>
      </c>
    </row>
    <row r="141" spans="2:2" ht="21" customHeight="1" x14ac:dyDescent="0.25">
      <c r="B141" s="8">
        <v>106</v>
      </c>
    </row>
    <row r="142" spans="2:2" ht="21" customHeight="1" x14ac:dyDescent="0.25">
      <c r="B142" s="8">
        <v>107</v>
      </c>
    </row>
    <row r="143" spans="2:2" ht="21" customHeight="1" x14ac:dyDescent="0.25">
      <c r="B143" s="8">
        <v>108</v>
      </c>
    </row>
    <row r="144" spans="2:2" ht="21" customHeight="1" x14ac:dyDescent="0.25">
      <c r="B144" s="8">
        <v>109</v>
      </c>
    </row>
    <row r="145" spans="2:2" ht="21" customHeight="1" x14ac:dyDescent="0.25">
      <c r="B145" s="8">
        <v>110</v>
      </c>
    </row>
    <row r="146" spans="2:2" ht="21" customHeight="1" x14ac:dyDescent="0.25">
      <c r="B146" s="8">
        <v>111</v>
      </c>
    </row>
    <row r="147" spans="2:2" ht="21" customHeight="1" x14ac:dyDescent="0.25">
      <c r="B147" s="8">
        <v>112</v>
      </c>
    </row>
    <row r="148" spans="2:2" ht="21" customHeight="1" x14ac:dyDescent="0.25">
      <c r="B148" s="8">
        <v>113</v>
      </c>
    </row>
    <row r="149" spans="2:2" ht="21" customHeight="1" x14ac:dyDescent="0.25">
      <c r="B149" s="8">
        <v>114</v>
      </c>
    </row>
    <row r="150" spans="2:2" ht="21" customHeight="1" x14ac:dyDescent="0.25">
      <c r="B150" s="8">
        <v>115</v>
      </c>
    </row>
    <row r="151" spans="2:2" ht="21" customHeight="1" x14ac:dyDescent="0.25">
      <c r="B151" s="8">
        <v>116</v>
      </c>
    </row>
    <row r="152" spans="2:2" ht="21" customHeight="1" x14ac:dyDescent="0.25">
      <c r="B152" s="8">
        <v>117</v>
      </c>
    </row>
    <row r="153" spans="2:2" ht="21" customHeight="1" x14ac:dyDescent="0.25">
      <c r="B153" s="8">
        <v>118</v>
      </c>
    </row>
    <row r="154" spans="2:2" ht="21" customHeight="1" x14ac:dyDescent="0.25">
      <c r="B154" s="8">
        <v>119</v>
      </c>
    </row>
    <row r="155" spans="2:2" ht="21" customHeight="1" x14ac:dyDescent="0.25">
      <c r="B155" s="8">
        <v>120</v>
      </c>
    </row>
    <row r="156" spans="2:2" ht="21" customHeight="1" x14ac:dyDescent="0.25">
      <c r="B156" s="8">
        <v>121</v>
      </c>
    </row>
    <row r="157" spans="2:2" ht="21" customHeight="1" x14ac:dyDescent="0.25">
      <c r="B157" s="8">
        <v>122</v>
      </c>
    </row>
    <row r="158" spans="2:2" ht="21" customHeight="1" x14ac:dyDescent="0.25">
      <c r="B158" s="8">
        <v>123</v>
      </c>
    </row>
    <row r="159" spans="2:2" ht="21" customHeight="1" x14ac:dyDescent="0.25">
      <c r="B159" s="8">
        <v>124</v>
      </c>
    </row>
    <row r="160" spans="2:2" ht="21" customHeight="1" x14ac:dyDescent="0.25">
      <c r="B160" s="8">
        <v>125</v>
      </c>
    </row>
    <row r="161" spans="2:2" ht="21" customHeight="1" x14ac:dyDescent="0.25">
      <c r="B161" s="8">
        <v>126</v>
      </c>
    </row>
    <row r="162" spans="2:2" ht="21" customHeight="1" x14ac:dyDescent="0.25">
      <c r="B162" s="8">
        <v>127</v>
      </c>
    </row>
    <row r="163" spans="2:2" ht="21" customHeight="1" x14ac:dyDescent="0.25">
      <c r="B163" s="8">
        <v>128</v>
      </c>
    </row>
    <row r="164" spans="2:2" ht="21" customHeight="1" x14ac:dyDescent="0.25">
      <c r="B164" s="8">
        <v>129</v>
      </c>
    </row>
    <row r="165" spans="2:2" ht="21" customHeight="1" x14ac:dyDescent="0.25">
      <c r="B165" s="8">
        <v>130</v>
      </c>
    </row>
    <row r="166" spans="2:2" ht="21" customHeight="1" x14ac:dyDescent="0.25">
      <c r="B166" s="8">
        <v>131</v>
      </c>
    </row>
    <row r="167" spans="2:2" ht="21" customHeight="1" x14ac:dyDescent="0.25">
      <c r="B167" s="8">
        <v>132</v>
      </c>
    </row>
    <row r="168" spans="2:2" ht="21" customHeight="1" x14ac:dyDescent="0.25">
      <c r="B168" s="8">
        <v>133</v>
      </c>
    </row>
    <row r="169" spans="2:2" ht="21" customHeight="1" x14ac:dyDescent="0.25">
      <c r="B169" s="8">
        <v>134</v>
      </c>
    </row>
    <row r="170" spans="2:2" ht="21" customHeight="1" x14ac:dyDescent="0.25">
      <c r="B170" s="8">
        <v>135</v>
      </c>
    </row>
    <row r="171" spans="2:2" ht="21" customHeight="1" x14ac:dyDescent="0.25">
      <c r="B171" s="8">
        <v>136</v>
      </c>
    </row>
    <row r="172" spans="2:2" ht="21" customHeight="1" x14ac:dyDescent="0.25">
      <c r="B172" s="8">
        <v>137</v>
      </c>
    </row>
    <row r="173" spans="2:2" ht="21" customHeight="1" x14ac:dyDescent="0.25">
      <c r="B173" s="8">
        <v>138</v>
      </c>
    </row>
    <row r="174" spans="2:2" ht="21" customHeight="1" x14ac:dyDescent="0.25">
      <c r="B174" s="8">
        <v>139</v>
      </c>
    </row>
    <row r="175" spans="2:2" ht="21" customHeight="1" x14ac:dyDescent="0.25">
      <c r="B175" s="8">
        <v>140</v>
      </c>
    </row>
    <row r="176" spans="2:2" ht="21" customHeight="1" x14ac:dyDescent="0.25">
      <c r="B176" s="8">
        <v>141</v>
      </c>
    </row>
    <row r="177" spans="2:2" ht="21" customHeight="1" x14ac:dyDescent="0.25">
      <c r="B177" s="8">
        <v>142</v>
      </c>
    </row>
    <row r="178" spans="2:2" ht="21" customHeight="1" x14ac:dyDescent="0.25">
      <c r="B178" s="8">
        <v>143</v>
      </c>
    </row>
    <row r="179" spans="2:2" ht="21" customHeight="1" x14ac:dyDescent="0.25">
      <c r="B179" s="8">
        <v>144</v>
      </c>
    </row>
    <row r="180" spans="2:2" ht="21" customHeight="1" x14ac:dyDescent="0.25">
      <c r="B180" s="8">
        <v>145</v>
      </c>
    </row>
    <row r="181" spans="2:2" ht="21" customHeight="1" x14ac:dyDescent="0.25">
      <c r="B181" s="8">
        <v>146</v>
      </c>
    </row>
    <row r="182" spans="2:2" ht="21" customHeight="1" x14ac:dyDescent="0.25">
      <c r="B182" s="8">
        <v>147</v>
      </c>
    </row>
    <row r="183" spans="2:2" ht="21" customHeight="1" x14ac:dyDescent="0.25">
      <c r="B183" s="8">
        <v>148</v>
      </c>
    </row>
    <row r="184" spans="2:2" ht="21" customHeight="1" x14ac:dyDescent="0.25">
      <c r="B184" s="8">
        <v>149</v>
      </c>
    </row>
    <row r="185" spans="2:2" ht="21" customHeight="1" x14ac:dyDescent="0.25">
      <c r="B185" s="8">
        <v>150</v>
      </c>
    </row>
    <row r="186" spans="2:2" ht="21" customHeight="1" x14ac:dyDescent="0.25">
      <c r="B186" s="8">
        <v>151</v>
      </c>
    </row>
    <row r="187" spans="2:2" ht="21" customHeight="1" x14ac:dyDescent="0.25">
      <c r="B187" s="8">
        <v>152</v>
      </c>
    </row>
    <row r="188" spans="2:2" ht="21" customHeight="1" x14ac:dyDescent="0.25">
      <c r="B188" s="8">
        <v>153</v>
      </c>
    </row>
    <row r="189" spans="2:2" ht="21" customHeight="1" x14ac:dyDescent="0.25">
      <c r="B189" s="8">
        <v>154</v>
      </c>
    </row>
    <row r="190" spans="2:2" ht="21" customHeight="1" x14ac:dyDescent="0.25">
      <c r="B190" s="8">
        <v>155</v>
      </c>
    </row>
    <row r="191" spans="2:2" ht="21" customHeight="1" x14ac:dyDescent="0.25">
      <c r="B191" s="8">
        <v>156</v>
      </c>
    </row>
    <row r="192" spans="2:2" ht="21" customHeight="1" x14ac:dyDescent="0.25">
      <c r="B192" s="8">
        <v>157</v>
      </c>
    </row>
    <row r="193" spans="2:2" ht="21" customHeight="1" x14ac:dyDescent="0.25">
      <c r="B193" s="8">
        <v>158</v>
      </c>
    </row>
    <row r="194" spans="2:2" ht="21" customHeight="1" x14ac:dyDescent="0.25">
      <c r="B194" s="8">
        <v>159</v>
      </c>
    </row>
    <row r="195" spans="2:2" ht="21" customHeight="1" x14ac:dyDescent="0.25">
      <c r="B195" s="8">
        <v>160</v>
      </c>
    </row>
    <row r="196" spans="2:2" ht="21" customHeight="1" x14ac:dyDescent="0.25">
      <c r="B196" s="8">
        <v>161</v>
      </c>
    </row>
    <row r="197" spans="2:2" ht="21" customHeight="1" x14ac:dyDescent="0.25">
      <c r="B197" s="8">
        <v>162</v>
      </c>
    </row>
    <row r="198" spans="2:2" ht="21" customHeight="1" x14ac:dyDescent="0.25">
      <c r="B198" s="8">
        <v>163</v>
      </c>
    </row>
    <row r="199" spans="2:2" ht="21" customHeight="1" x14ac:dyDescent="0.25">
      <c r="B199" s="8">
        <v>164</v>
      </c>
    </row>
    <row r="200" spans="2:2" ht="21" customHeight="1" x14ac:dyDescent="0.25">
      <c r="B200" s="8">
        <v>165</v>
      </c>
    </row>
    <row r="201" spans="2:2" ht="21" customHeight="1" x14ac:dyDescent="0.25">
      <c r="B201" s="8">
        <v>166</v>
      </c>
    </row>
    <row r="202" spans="2:2" ht="21" customHeight="1" x14ac:dyDescent="0.25">
      <c r="B202" s="8">
        <v>167</v>
      </c>
    </row>
    <row r="203" spans="2:2" ht="21" customHeight="1" x14ac:dyDescent="0.25">
      <c r="B203" s="8">
        <v>168</v>
      </c>
    </row>
    <row r="204" spans="2:2" ht="21" customHeight="1" x14ac:dyDescent="0.25">
      <c r="B204" s="8">
        <v>169</v>
      </c>
    </row>
    <row r="205" spans="2:2" ht="21" customHeight="1" x14ac:dyDescent="0.25">
      <c r="B205" s="8">
        <v>170</v>
      </c>
    </row>
    <row r="206" spans="2:2" ht="21" customHeight="1" x14ac:dyDescent="0.25">
      <c r="B206" s="8">
        <v>171</v>
      </c>
    </row>
    <row r="207" spans="2:2" ht="21" customHeight="1" x14ac:dyDescent="0.25">
      <c r="B207" s="8">
        <v>172</v>
      </c>
    </row>
    <row r="208" spans="2:2" ht="21" customHeight="1" x14ac:dyDescent="0.25">
      <c r="B208" s="8">
        <v>173</v>
      </c>
    </row>
    <row r="209" spans="2:2" ht="21" customHeight="1" x14ac:dyDescent="0.25">
      <c r="B209" s="8">
        <v>174</v>
      </c>
    </row>
    <row r="210" spans="2:2" ht="21" customHeight="1" x14ac:dyDescent="0.25">
      <c r="B210" s="8">
        <v>175</v>
      </c>
    </row>
    <row r="211" spans="2:2" ht="21" customHeight="1" x14ac:dyDescent="0.25">
      <c r="B211" s="8">
        <v>176</v>
      </c>
    </row>
    <row r="212" spans="2:2" ht="21" customHeight="1" x14ac:dyDescent="0.25">
      <c r="B212" s="8">
        <v>177</v>
      </c>
    </row>
    <row r="213" spans="2:2" ht="21" customHeight="1" x14ac:dyDescent="0.25">
      <c r="B213" s="8">
        <v>178</v>
      </c>
    </row>
    <row r="214" spans="2:2" ht="21" customHeight="1" x14ac:dyDescent="0.25">
      <c r="B214" s="8">
        <v>179</v>
      </c>
    </row>
    <row r="215" spans="2:2" ht="21" customHeight="1" x14ac:dyDescent="0.25">
      <c r="B215" s="8">
        <v>180</v>
      </c>
    </row>
    <row r="216" spans="2:2" ht="21" customHeight="1" x14ac:dyDescent="0.25">
      <c r="B216" s="8">
        <v>181</v>
      </c>
    </row>
    <row r="217" spans="2:2" ht="21" customHeight="1" x14ac:dyDescent="0.25">
      <c r="B217" s="8">
        <v>182</v>
      </c>
    </row>
    <row r="218" spans="2:2" ht="21" customHeight="1" x14ac:dyDescent="0.25">
      <c r="B218" s="8">
        <v>183</v>
      </c>
    </row>
    <row r="219" spans="2:2" ht="21" customHeight="1" x14ac:dyDescent="0.25">
      <c r="B219" s="8">
        <v>184</v>
      </c>
    </row>
    <row r="220" spans="2:2" ht="21" customHeight="1" x14ac:dyDescent="0.25">
      <c r="B220" s="8">
        <v>185</v>
      </c>
    </row>
    <row r="221" spans="2:2" ht="21" customHeight="1" x14ac:dyDescent="0.25">
      <c r="B221" s="8">
        <v>186</v>
      </c>
    </row>
    <row r="222" spans="2:2" ht="21" customHeight="1" x14ac:dyDescent="0.25">
      <c r="B222" s="8">
        <v>187</v>
      </c>
    </row>
    <row r="223" spans="2:2" ht="21" customHeight="1" x14ac:dyDescent="0.25">
      <c r="B223" s="8">
        <v>188</v>
      </c>
    </row>
    <row r="224" spans="2:2" ht="21" customHeight="1" x14ac:dyDescent="0.25">
      <c r="B224" s="8">
        <v>189</v>
      </c>
    </row>
    <row r="225" spans="2:2" ht="21" customHeight="1" x14ac:dyDescent="0.25">
      <c r="B225" s="8">
        <v>190</v>
      </c>
    </row>
    <row r="226" spans="2:2" ht="21" customHeight="1" x14ac:dyDescent="0.25">
      <c r="B226" s="8">
        <v>191</v>
      </c>
    </row>
    <row r="227" spans="2:2" ht="21" customHeight="1" x14ac:dyDescent="0.25">
      <c r="B227" s="8">
        <v>192</v>
      </c>
    </row>
    <row r="228" spans="2:2" ht="21" customHeight="1" x14ac:dyDescent="0.25">
      <c r="B228" s="8">
        <v>193</v>
      </c>
    </row>
    <row r="229" spans="2:2" ht="21" customHeight="1" x14ac:dyDescent="0.25">
      <c r="B229" s="8">
        <v>194</v>
      </c>
    </row>
    <row r="230" spans="2:2" ht="21" customHeight="1" x14ac:dyDescent="0.25">
      <c r="B230" s="8">
        <v>195</v>
      </c>
    </row>
    <row r="231" spans="2:2" ht="21" customHeight="1" x14ac:dyDescent="0.25">
      <c r="B231" s="8">
        <v>196</v>
      </c>
    </row>
    <row r="232" spans="2:2" ht="21" customHeight="1" x14ac:dyDescent="0.25">
      <c r="B232" s="8">
        <v>197</v>
      </c>
    </row>
    <row r="233" spans="2:2" ht="21" customHeight="1" x14ac:dyDescent="0.25">
      <c r="B233" s="8">
        <v>198</v>
      </c>
    </row>
    <row r="234" spans="2:2" ht="21" customHeight="1" x14ac:dyDescent="0.25">
      <c r="B234" s="8">
        <v>199</v>
      </c>
    </row>
    <row r="235" spans="2:2" ht="21" customHeight="1" x14ac:dyDescent="0.25">
      <c r="B235" s="8">
        <v>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U49"/>
  <sheetViews>
    <sheetView tabSelected="1" workbookViewId="0">
      <selection activeCell="D22" sqref="D22"/>
    </sheetView>
  </sheetViews>
  <sheetFormatPr defaultRowHeight="13.2" x14ac:dyDescent="0.25"/>
  <cols>
    <col min="3" max="3" width="13.44140625" bestFit="1" customWidth="1"/>
    <col min="4" max="4" width="14.5546875" bestFit="1" customWidth="1"/>
    <col min="5" max="5" width="9.5546875" bestFit="1" customWidth="1"/>
  </cols>
  <sheetData>
    <row r="1" spans="1:21" x14ac:dyDescent="0.25">
      <c r="A1" t="s">
        <v>582</v>
      </c>
      <c r="B1" t="s">
        <v>583</v>
      </c>
      <c r="C1" t="s">
        <v>584</v>
      </c>
    </row>
    <row r="2" spans="1:21" x14ac:dyDescent="0.25">
      <c r="B2" s="17"/>
      <c r="C2" s="17"/>
      <c r="D2" s="21" t="s">
        <v>550</v>
      </c>
      <c r="E2" s="21" t="s">
        <v>24</v>
      </c>
      <c r="F2" s="21" t="s">
        <v>551</v>
      </c>
      <c r="G2" s="21" t="s">
        <v>38</v>
      </c>
      <c r="H2" s="21" t="s">
        <v>552</v>
      </c>
      <c r="I2" s="21" t="s">
        <v>553</v>
      </c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</row>
    <row r="3" spans="1:21" x14ac:dyDescent="0.25">
      <c r="B3" s="17" t="s">
        <v>554</v>
      </c>
      <c r="C3" s="17" t="s">
        <v>555</v>
      </c>
      <c r="D3" s="17" t="s">
        <v>556</v>
      </c>
      <c r="E3" s="17" t="s">
        <v>557</v>
      </c>
      <c r="F3" s="22"/>
      <c r="G3" s="17">
        <v>1</v>
      </c>
      <c r="H3" s="17">
        <v>1</v>
      </c>
      <c r="I3" s="17">
        <v>4</v>
      </c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</row>
    <row r="4" spans="1:21" x14ac:dyDescent="0.25">
      <c r="B4" s="17"/>
      <c r="C4" s="17"/>
      <c r="D4" s="21" t="s">
        <v>550</v>
      </c>
      <c r="E4" s="21" t="s">
        <v>24</v>
      </c>
      <c r="F4" s="21" t="s">
        <v>38</v>
      </c>
      <c r="G4" s="21" t="s">
        <v>553</v>
      </c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</row>
    <row r="5" spans="1:21" x14ac:dyDescent="0.25">
      <c r="B5" s="17" t="s">
        <v>558</v>
      </c>
      <c r="C5" s="17" t="s">
        <v>633</v>
      </c>
      <c r="D5" s="17" t="s">
        <v>556</v>
      </c>
      <c r="E5" s="17" t="s">
        <v>559</v>
      </c>
      <c r="F5" s="17">
        <v>0</v>
      </c>
      <c r="G5" s="17" t="s">
        <v>587</v>
      </c>
      <c r="H5" s="17" t="s">
        <v>575</v>
      </c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</row>
    <row r="6" spans="1:21" x14ac:dyDescent="0.25">
      <c r="B6" s="17"/>
      <c r="C6" s="17"/>
      <c r="D6" s="23" t="s">
        <v>24</v>
      </c>
      <c r="E6" s="23" t="s">
        <v>560</v>
      </c>
      <c r="F6" s="23" t="s">
        <v>561</v>
      </c>
      <c r="G6" s="23" t="s">
        <v>503</v>
      </c>
      <c r="H6" s="23" t="s">
        <v>562</v>
      </c>
      <c r="I6" s="23" t="s">
        <v>563</v>
      </c>
      <c r="J6" s="23" t="s">
        <v>38</v>
      </c>
      <c r="K6" s="23" t="s">
        <v>552</v>
      </c>
      <c r="L6" s="23" t="s">
        <v>553</v>
      </c>
      <c r="M6" s="23" t="s">
        <v>564</v>
      </c>
      <c r="N6" s="23" t="s">
        <v>38</v>
      </c>
      <c r="O6" s="23" t="s">
        <v>552</v>
      </c>
      <c r="P6" s="23" t="s">
        <v>553</v>
      </c>
      <c r="Q6" s="17"/>
      <c r="R6" s="17"/>
      <c r="S6" s="17"/>
      <c r="T6" s="17"/>
    </row>
    <row r="7" spans="1:21" x14ac:dyDescent="0.25">
      <c r="B7" s="17" t="s">
        <v>565</v>
      </c>
      <c r="C7" s="17" t="s">
        <v>632</v>
      </c>
      <c r="D7" s="17" t="s">
        <v>566</v>
      </c>
      <c r="E7" s="17"/>
      <c r="F7" s="17"/>
      <c r="G7" s="17" t="s">
        <v>567</v>
      </c>
      <c r="H7" s="17"/>
      <c r="I7" s="17"/>
      <c r="J7" s="17">
        <v>3</v>
      </c>
      <c r="K7" s="17">
        <v>5</v>
      </c>
      <c r="L7" s="17">
        <v>7</v>
      </c>
      <c r="M7" s="17">
        <v>6</v>
      </c>
      <c r="N7" s="17">
        <v>2</v>
      </c>
      <c r="O7" s="17">
        <v>4</v>
      </c>
      <c r="P7" s="17">
        <v>6</v>
      </c>
      <c r="Q7" s="17" t="s">
        <v>574</v>
      </c>
      <c r="R7" s="17"/>
      <c r="S7" s="17"/>
      <c r="T7" s="17"/>
    </row>
    <row r="8" spans="1:21" x14ac:dyDescent="0.25">
      <c r="B8" s="17" t="s">
        <v>568</v>
      </c>
      <c r="C8" s="17" t="s">
        <v>632</v>
      </c>
      <c r="D8" s="17" t="s">
        <v>566</v>
      </c>
      <c r="E8" s="17"/>
      <c r="F8" s="17"/>
      <c r="G8" s="17" t="s">
        <v>569</v>
      </c>
      <c r="H8" s="17"/>
      <c r="I8" s="17"/>
      <c r="J8" s="17">
        <v>2</v>
      </c>
      <c r="K8" s="17">
        <v>4</v>
      </c>
      <c r="L8" s="17">
        <v>4</v>
      </c>
      <c r="M8" s="17">
        <v>4</v>
      </c>
      <c r="N8" s="17">
        <v>1</v>
      </c>
      <c r="O8" s="17">
        <v>3</v>
      </c>
      <c r="P8" s="17">
        <v>4</v>
      </c>
      <c r="Q8" s="17" t="s">
        <v>575</v>
      </c>
      <c r="R8" s="17"/>
      <c r="S8" s="17"/>
      <c r="T8" s="17"/>
    </row>
    <row r="9" spans="1:21" x14ac:dyDescent="0.25"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</row>
    <row r="10" spans="1:21" x14ac:dyDescent="0.25"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</row>
    <row r="11" spans="1:21" x14ac:dyDescent="0.25">
      <c r="A11" s="28"/>
      <c r="B11" s="22" t="s">
        <v>636</v>
      </c>
      <c r="C11" s="22" t="s">
        <v>636</v>
      </c>
      <c r="D11" s="22" t="s">
        <v>39</v>
      </c>
      <c r="E11" s="27"/>
      <c r="F11" s="22" t="s">
        <v>575</v>
      </c>
      <c r="G11" s="24"/>
      <c r="H11" s="24"/>
      <c r="I11" s="24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</row>
    <row r="12" spans="1:21" x14ac:dyDescent="0.25">
      <c r="A12" s="28" t="s">
        <v>585</v>
      </c>
      <c r="B12" s="17" t="s">
        <v>554</v>
      </c>
      <c r="C12" s="17" t="s">
        <v>555</v>
      </c>
      <c r="D12" s="17"/>
      <c r="F12" s="4" t="s">
        <v>557</v>
      </c>
      <c r="G12" s="17" t="s">
        <v>635</v>
      </c>
      <c r="H12" s="24">
        <v>1</v>
      </c>
      <c r="I12" s="24">
        <v>1</v>
      </c>
      <c r="J12" s="24">
        <v>4</v>
      </c>
      <c r="K12" s="26"/>
      <c r="N12" s="24"/>
      <c r="O12" s="24"/>
      <c r="P12" s="24"/>
      <c r="Q12" s="24"/>
      <c r="R12" s="17"/>
      <c r="S12" s="17"/>
      <c r="T12" s="17"/>
      <c r="U12" s="17"/>
    </row>
    <row r="13" spans="1:21" x14ac:dyDescent="0.25">
      <c r="A13" s="28" t="s">
        <v>585</v>
      </c>
      <c r="B13" s="17" t="s">
        <v>558</v>
      </c>
      <c r="C13" s="17" t="s">
        <v>633</v>
      </c>
      <c r="D13" s="17" t="s">
        <v>556</v>
      </c>
      <c r="E13" s="22" t="s">
        <v>714</v>
      </c>
      <c r="F13" s="4" t="s">
        <v>650</v>
      </c>
      <c r="G13" s="26" t="s">
        <v>697</v>
      </c>
      <c r="H13" s="24" t="s">
        <v>587</v>
      </c>
      <c r="I13" s="24" t="s">
        <v>575</v>
      </c>
      <c r="N13" s="24"/>
      <c r="O13" s="24"/>
      <c r="P13" s="24"/>
      <c r="Q13" s="24"/>
      <c r="R13" s="17"/>
      <c r="S13" s="17"/>
      <c r="T13" s="17"/>
      <c r="U13" s="17"/>
    </row>
    <row r="14" spans="1:21" x14ac:dyDescent="0.25">
      <c r="A14" s="28" t="s">
        <v>585</v>
      </c>
      <c r="B14" s="17" t="s">
        <v>565</v>
      </c>
      <c r="C14" t="s">
        <v>634</v>
      </c>
      <c r="D14" s="27" t="s">
        <v>651</v>
      </c>
      <c r="G14" s="17" t="s">
        <v>567</v>
      </c>
      <c r="J14" s="24" t="s">
        <v>575</v>
      </c>
      <c r="K14" s="24">
        <v>4</v>
      </c>
      <c r="L14" s="24">
        <v>7</v>
      </c>
      <c r="M14" s="24">
        <v>6</v>
      </c>
      <c r="N14" s="24">
        <v>1</v>
      </c>
      <c r="O14" s="24">
        <v>3</v>
      </c>
      <c r="P14" s="24">
        <v>6</v>
      </c>
      <c r="Q14" s="17"/>
      <c r="R14" s="17"/>
      <c r="S14" s="17"/>
      <c r="T14" s="17"/>
    </row>
    <row r="15" spans="1:21" x14ac:dyDescent="0.25">
      <c r="A15" s="28" t="s">
        <v>585</v>
      </c>
      <c r="B15" s="17" t="s">
        <v>565</v>
      </c>
      <c r="C15" t="s">
        <v>634</v>
      </c>
      <c r="D15" s="27" t="s">
        <v>652</v>
      </c>
      <c r="G15" s="17" t="s">
        <v>567</v>
      </c>
      <c r="J15" s="24" t="s">
        <v>574</v>
      </c>
      <c r="K15" s="24">
        <v>5</v>
      </c>
      <c r="L15" s="24">
        <v>7</v>
      </c>
      <c r="M15" s="24">
        <v>6</v>
      </c>
      <c r="N15" s="24">
        <v>2</v>
      </c>
      <c r="O15" s="24">
        <v>4</v>
      </c>
      <c r="P15" s="24">
        <v>6</v>
      </c>
      <c r="Q15" s="17"/>
      <c r="R15" s="17"/>
      <c r="S15" s="17"/>
      <c r="T15" s="17"/>
    </row>
    <row r="16" spans="1:21" x14ac:dyDescent="0.25">
      <c r="A16" s="28" t="s">
        <v>585</v>
      </c>
      <c r="B16" s="17" t="s">
        <v>565</v>
      </c>
      <c r="C16" t="s">
        <v>634</v>
      </c>
      <c r="D16" s="27" t="s">
        <v>653</v>
      </c>
      <c r="G16" s="17" t="s">
        <v>567</v>
      </c>
      <c r="J16" s="24" t="s">
        <v>574</v>
      </c>
      <c r="K16" s="24">
        <v>5</v>
      </c>
      <c r="L16" s="24">
        <v>7</v>
      </c>
      <c r="M16" s="24">
        <v>6</v>
      </c>
      <c r="N16" s="24">
        <v>2</v>
      </c>
      <c r="O16" s="24">
        <v>4</v>
      </c>
      <c r="P16" s="24">
        <v>6</v>
      </c>
      <c r="Q16" s="17"/>
      <c r="R16" s="17"/>
      <c r="S16" s="17"/>
      <c r="T16" s="17"/>
    </row>
    <row r="17" spans="1:21" x14ac:dyDescent="0.25">
      <c r="A17" s="28" t="s">
        <v>585</v>
      </c>
      <c r="B17" s="17" t="s">
        <v>568</v>
      </c>
      <c r="C17" t="s">
        <v>634</v>
      </c>
      <c r="D17" s="27" t="s">
        <v>651</v>
      </c>
      <c r="G17" s="17" t="s">
        <v>569</v>
      </c>
      <c r="J17" s="24">
        <v>2</v>
      </c>
      <c r="K17" s="24">
        <v>3</v>
      </c>
      <c r="L17" s="24">
        <v>4</v>
      </c>
      <c r="M17" s="24">
        <v>4</v>
      </c>
      <c r="N17" s="24">
        <v>1</v>
      </c>
      <c r="O17" s="24">
        <v>2</v>
      </c>
      <c r="P17" s="24">
        <v>3</v>
      </c>
      <c r="Q17" s="17"/>
      <c r="R17" s="17"/>
      <c r="S17" s="17"/>
      <c r="T17" s="17"/>
    </row>
    <row r="18" spans="1:21" x14ac:dyDescent="0.25">
      <c r="A18" s="28" t="s">
        <v>585</v>
      </c>
      <c r="B18" s="17" t="s">
        <v>568</v>
      </c>
      <c r="C18" t="s">
        <v>634</v>
      </c>
      <c r="D18" s="27" t="s">
        <v>652</v>
      </c>
      <c r="G18" s="17" t="s">
        <v>569</v>
      </c>
      <c r="J18" s="24">
        <v>3</v>
      </c>
      <c r="K18" s="24">
        <v>5</v>
      </c>
      <c r="L18" s="24">
        <v>4</v>
      </c>
      <c r="M18" s="24">
        <v>4</v>
      </c>
      <c r="N18" s="24">
        <v>2</v>
      </c>
      <c r="O18" s="24">
        <v>4</v>
      </c>
      <c r="P18" s="24">
        <v>3</v>
      </c>
      <c r="Q18" s="17"/>
      <c r="R18" s="17"/>
      <c r="S18" s="17"/>
      <c r="T18" s="17"/>
    </row>
    <row r="19" spans="1:21" x14ac:dyDescent="0.25">
      <c r="A19" s="28" t="s">
        <v>585</v>
      </c>
      <c r="B19" s="17" t="s">
        <v>568</v>
      </c>
      <c r="C19" t="s">
        <v>634</v>
      </c>
      <c r="D19" s="27" t="s">
        <v>653</v>
      </c>
      <c r="G19" s="17" t="s">
        <v>569</v>
      </c>
      <c r="J19" s="24">
        <v>3</v>
      </c>
      <c r="K19" s="24">
        <v>5</v>
      </c>
      <c r="L19" s="24">
        <v>4</v>
      </c>
      <c r="M19" s="24">
        <v>4</v>
      </c>
      <c r="N19" s="24">
        <v>2</v>
      </c>
      <c r="O19" s="24">
        <v>4</v>
      </c>
      <c r="P19" s="24">
        <v>3</v>
      </c>
      <c r="Q19" s="17"/>
      <c r="R19" s="17"/>
      <c r="S19" s="17"/>
      <c r="T19" s="17"/>
    </row>
    <row r="20" spans="1:21" x14ac:dyDescent="0.25">
      <c r="A20" s="28" t="s">
        <v>585</v>
      </c>
      <c r="B20" s="17" t="s">
        <v>558</v>
      </c>
      <c r="C20" s="17" t="s">
        <v>633</v>
      </c>
      <c r="D20" s="17" t="s">
        <v>556</v>
      </c>
      <c r="E20" s="22" t="s">
        <v>713</v>
      </c>
      <c r="F20" s="4" t="s">
        <v>657</v>
      </c>
      <c r="G20" s="26" t="s">
        <v>697</v>
      </c>
      <c r="H20" s="24" t="s">
        <v>587</v>
      </c>
      <c r="I20">
        <v>2</v>
      </c>
      <c r="M20" s="24"/>
      <c r="N20" s="24"/>
      <c r="O20" s="24"/>
      <c r="P20" s="24"/>
      <c r="Q20" s="24"/>
      <c r="R20" s="17"/>
      <c r="S20" s="17"/>
      <c r="T20" s="17"/>
      <c r="U20" s="17"/>
    </row>
    <row r="21" spans="1:21" x14ac:dyDescent="0.25">
      <c r="A21" s="28" t="s">
        <v>585</v>
      </c>
      <c r="B21" s="17" t="s">
        <v>565</v>
      </c>
      <c r="C21" t="s">
        <v>634</v>
      </c>
      <c r="D21" s="4" t="s">
        <v>655</v>
      </c>
      <c r="G21" s="17" t="s">
        <v>567</v>
      </c>
      <c r="J21" s="24">
        <v>3</v>
      </c>
      <c r="K21" s="24">
        <v>5</v>
      </c>
      <c r="L21" s="24">
        <v>7</v>
      </c>
      <c r="M21" s="24">
        <v>6</v>
      </c>
      <c r="N21" s="24">
        <v>2</v>
      </c>
      <c r="O21" s="24">
        <v>4</v>
      </c>
      <c r="P21" s="24">
        <v>6</v>
      </c>
      <c r="Q21" s="17"/>
      <c r="R21" s="17"/>
      <c r="S21" s="17"/>
      <c r="T21" s="17"/>
    </row>
    <row r="22" spans="1:21" x14ac:dyDescent="0.25">
      <c r="A22" s="28" t="s">
        <v>585</v>
      </c>
      <c r="B22" s="17" t="s">
        <v>565</v>
      </c>
      <c r="C22" t="s">
        <v>634</v>
      </c>
      <c r="D22" s="4" t="s">
        <v>658</v>
      </c>
      <c r="G22" s="17" t="s">
        <v>567</v>
      </c>
      <c r="J22" s="24">
        <v>3</v>
      </c>
      <c r="K22" s="24">
        <v>5</v>
      </c>
      <c r="L22" s="24">
        <v>7</v>
      </c>
      <c r="M22" s="24">
        <v>6</v>
      </c>
      <c r="N22" s="24">
        <v>2</v>
      </c>
      <c r="O22" s="24">
        <v>4</v>
      </c>
      <c r="P22" s="24">
        <v>6</v>
      </c>
      <c r="Q22" s="17"/>
      <c r="R22" s="17"/>
      <c r="S22" s="17"/>
      <c r="T22" s="17"/>
    </row>
    <row r="23" spans="1:21" x14ac:dyDescent="0.25">
      <c r="A23" s="28" t="s">
        <v>585</v>
      </c>
      <c r="B23" s="17" t="s">
        <v>565</v>
      </c>
      <c r="C23" t="s">
        <v>634</v>
      </c>
      <c r="D23" s="4" t="s">
        <v>659</v>
      </c>
      <c r="G23" s="17" t="s">
        <v>567</v>
      </c>
      <c r="J23" s="24">
        <v>4</v>
      </c>
      <c r="K23" s="24">
        <v>6</v>
      </c>
      <c r="L23" s="24">
        <v>7</v>
      </c>
      <c r="M23" s="24">
        <v>6</v>
      </c>
      <c r="N23" s="24">
        <v>3</v>
      </c>
      <c r="O23" s="24">
        <v>5</v>
      </c>
      <c r="P23" s="24">
        <v>6</v>
      </c>
      <c r="Q23" s="17"/>
      <c r="R23" s="17"/>
      <c r="S23" s="17"/>
      <c r="T23" s="17"/>
    </row>
    <row r="24" spans="1:21" x14ac:dyDescent="0.25">
      <c r="A24" s="28" t="s">
        <v>585</v>
      </c>
      <c r="B24" s="17" t="s">
        <v>568</v>
      </c>
      <c r="C24" t="s">
        <v>634</v>
      </c>
      <c r="D24" s="4" t="s">
        <v>655</v>
      </c>
      <c r="G24" s="17" t="s">
        <v>569</v>
      </c>
      <c r="J24" s="24">
        <v>3</v>
      </c>
      <c r="K24" s="24">
        <v>4</v>
      </c>
      <c r="L24" s="24">
        <v>4</v>
      </c>
      <c r="M24" s="24">
        <v>4</v>
      </c>
      <c r="N24" s="24">
        <v>2</v>
      </c>
      <c r="O24" s="24">
        <v>3</v>
      </c>
      <c r="P24" s="24">
        <v>3</v>
      </c>
      <c r="Q24" s="17"/>
      <c r="R24" s="17"/>
      <c r="S24" s="17"/>
      <c r="T24" s="17"/>
    </row>
    <row r="25" spans="1:21" x14ac:dyDescent="0.25">
      <c r="A25" s="28" t="s">
        <v>585</v>
      </c>
      <c r="B25" s="17" t="s">
        <v>568</v>
      </c>
      <c r="C25" t="s">
        <v>634</v>
      </c>
      <c r="D25" s="4" t="s">
        <v>658</v>
      </c>
      <c r="G25" s="17" t="s">
        <v>569</v>
      </c>
      <c r="J25" s="24">
        <v>3</v>
      </c>
      <c r="K25" s="24">
        <v>4</v>
      </c>
      <c r="L25" s="24">
        <v>4</v>
      </c>
      <c r="M25" s="24">
        <v>4</v>
      </c>
      <c r="N25" s="24">
        <v>2</v>
      </c>
      <c r="O25" s="24">
        <v>3</v>
      </c>
      <c r="P25" s="24">
        <v>3</v>
      </c>
      <c r="Q25" s="17"/>
      <c r="R25" s="17"/>
      <c r="S25" s="17"/>
      <c r="T25" s="17"/>
    </row>
    <row r="26" spans="1:21" x14ac:dyDescent="0.25">
      <c r="A26" s="28" t="s">
        <v>585</v>
      </c>
      <c r="B26" s="17" t="s">
        <v>568</v>
      </c>
      <c r="C26" t="s">
        <v>634</v>
      </c>
      <c r="D26" s="4" t="s">
        <v>659</v>
      </c>
      <c r="G26" s="17" t="s">
        <v>569</v>
      </c>
      <c r="J26" s="24">
        <v>4</v>
      </c>
      <c r="K26" s="24">
        <v>5</v>
      </c>
      <c r="L26" s="24">
        <v>4</v>
      </c>
      <c r="M26" s="24">
        <v>4</v>
      </c>
      <c r="N26" s="24">
        <v>3</v>
      </c>
      <c r="O26" s="24">
        <v>4</v>
      </c>
      <c r="P26" s="24">
        <v>3</v>
      </c>
      <c r="Q26" s="17"/>
      <c r="R26" s="17"/>
      <c r="S26" s="17"/>
      <c r="T26" s="17"/>
    </row>
    <row r="27" spans="1:21" x14ac:dyDescent="0.25">
      <c r="A27" s="28" t="s">
        <v>585</v>
      </c>
      <c r="B27" s="17" t="s">
        <v>558</v>
      </c>
      <c r="C27" s="17" t="s">
        <v>633</v>
      </c>
      <c r="D27" s="17" t="s">
        <v>556</v>
      </c>
      <c r="E27" s="22" t="s">
        <v>712</v>
      </c>
      <c r="F27" s="4" t="s">
        <v>662</v>
      </c>
      <c r="G27" s="26" t="s">
        <v>697</v>
      </c>
      <c r="H27" s="24" t="s">
        <v>628</v>
      </c>
      <c r="I27">
        <v>2</v>
      </c>
      <c r="M27" s="24"/>
      <c r="N27" s="24"/>
      <c r="O27" s="24"/>
      <c r="P27" s="24"/>
      <c r="Q27" s="24"/>
      <c r="R27" s="17"/>
      <c r="S27" s="17"/>
      <c r="T27" s="17"/>
      <c r="U27" s="17"/>
    </row>
    <row r="28" spans="1:21" x14ac:dyDescent="0.25">
      <c r="A28" s="28" t="s">
        <v>585</v>
      </c>
      <c r="B28" s="17" t="s">
        <v>565</v>
      </c>
      <c r="C28" t="s">
        <v>634</v>
      </c>
      <c r="D28" s="4" t="s">
        <v>661</v>
      </c>
      <c r="G28" s="17" t="s">
        <v>567</v>
      </c>
      <c r="J28" s="24">
        <v>3</v>
      </c>
      <c r="K28" s="24">
        <v>5</v>
      </c>
      <c r="L28" s="24">
        <v>8</v>
      </c>
      <c r="M28" s="24">
        <v>5</v>
      </c>
      <c r="N28" s="24">
        <v>2</v>
      </c>
      <c r="O28" s="24">
        <v>4</v>
      </c>
      <c r="P28" s="24">
        <v>7</v>
      </c>
      <c r="Q28" s="17"/>
      <c r="R28" s="17"/>
      <c r="S28" s="17"/>
      <c r="T28" s="17"/>
    </row>
    <row r="29" spans="1:21" x14ac:dyDescent="0.25">
      <c r="A29" s="28" t="s">
        <v>585</v>
      </c>
      <c r="B29" s="17" t="s">
        <v>565</v>
      </c>
      <c r="C29" t="s">
        <v>634</v>
      </c>
      <c r="D29" s="4" t="s">
        <v>660</v>
      </c>
      <c r="G29" s="17" t="s">
        <v>567</v>
      </c>
      <c r="J29" s="24">
        <v>4</v>
      </c>
      <c r="K29" s="24">
        <v>6</v>
      </c>
      <c r="L29" s="24">
        <v>8</v>
      </c>
      <c r="M29" s="24">
        <v>5</v>
      </c>
      <c r="N29" s="24">
        <v>3</v>
      </c>
      <c r="O29" s="24">
        <v>5</v>
      </c>
      <c r="P29" s="24">
        <v>7</v>
      </c>
      <c r="Q29" s="17"/>
      <c r="R29" s="17"/>
      <c r="S29" s="17"/>
      <c r="T29" s="17"/>
    </row>
    <row r="30" spans="1:21" x14ac:dyDescent="0.25">
      <c r="A30" s="28" t="s">
        <v>585</v>
      </c>
      <c r="B30" s="17" t="s">
        <v>656</v>
      </c>
      <c r="C30" t="s">
        <v>634</v>
      </c>
      <c r="D30" s="4" t="s">
        <v>654</v>
      </c>
      <c r="G30" s="17" t="s">
        <v>665</v>
      </c>
      <c r="J30" s="25" t="s">
        <v>570</v>
      </c>
      <c r="K30" s="24">
        <v>7</v>
      </c>
      <c r="L30" s="24">
        <v>7</v>
      </c>
      <c r="M30" s="25" t="s">
        <v>571</v>
      </c>
      <c r="N30" s="24">
        <v>0</v>
      </c>
      <c r="O30" s="24">
        <v>6</v>
      </c>
      <c r="P30" s="24">
        <v>6</v>
      </c>
      <c r="Q30" s="17"/>
      <c r="R30" s="17"/>
      <c r="S30" s="17"/>
      <c r="T30" s="17"/>
    </row>
    <row r="31" spans="1:21" x14ac:dyDescent="0.25">
      <c r="A31" s="28"/>
      <c r="B31" s="17"/>
      <c r="C31" s="17"/>
      <c r="D31" s="17"/>
      <c r="E31" s="24"/>
      <c r="F31" s="24"/>
      <c r="G31" s="24"/>
      <c r="H31" s="24"/>
      <c r="I31" s="24"/>
      <c r="J31" s="24"/>
      <c r="K31" s="24"/>
      <c r="L31" s="17"/>
      <c r="M31" s="17"/>
      <c r="N31" s="17"/>
      <c r="O31" s="17"/>
      <c r="P31" s="17"/>
      <c r="Q31" s="17"/>
      <c r="R31" s="17"/>
      <c r="S31" s="17"/>
      <c r="T31" s="17"/>
    </row>
    <row r="32" spans="1:21" x14ac:dyDescent="0.25">
      <c r="A32" s="28" t="s">
        <v>585</v>
      </c>
      <c r="B32" s="17" t="s">
        <v>554</v>
      </c>
      <c r="C32" s="17" t="s">
        <v>670</v>
      </c>
      <c r="F32" s="17" t="s">
        <v>572</v>
      </c>
      <c r="G32" s="17" t="s">
        <v>635</v>
      </c>
      <c r="H32" s="24">
        <v>0</v>
      </c>
      <c r="I32" s="24">
        <v>2</v>
      </c>
      <c r="J32" s="24">
        <v>4</v>
      </c>
      <c r="K32" s="24"/>
      <c r="L32" s="24"/>
      <c r="M32" s="17"/>
      <c r="N32" s="17"/>
      <c r="O32" s="17"/>
      <c r="P32" s="17"/>
      <c r="Q32" s="17"/>
      <c r="R32" s="17"/>
      <c r="S32" s="17"/>
      <c r="T32" s="17"/>
      <c r="U32" s="17"/>
    </row>
    <row r="33" spans="1:21" x14ac:dyDescent="0.25">
      <c r="A33" s="28" t="s">
        <v>585</v>
      </c>
      <c r="B33" s="17" t="s">
        <v>558</v>
      </c>
      <c r="C33" s="17" t="s">
        <v>669</v>
      </c>
      <c r="D33" s="4" t="s">
        <v>667</v>
      </c>
      <c r="E33" s="27" t="s">
        <v>711</v>
      </c>
      <c r="F33" s="22" t="s">
        <v>686</v>
      </c>
      <c r="G33" s="26" t="s">
        <v>697</v>
      </c>
      <c r="H33" s="26" t="s">
        <v>666</v>
      </c>
      <c r="I33" s="24" t="s">
        <v>575</v>
      </c>
      <c r="J33" s="24"/>
      <c r="K33" s="24"/>
      <c r="L33" s="24"/>
      <c r="M33" s="17"/>
      <c r="N33" s="17"/>
      <c r="O33" s="17"/>
      <c r="P33" s="17"/>
      <c r="Q33" s="17"/>
      <c r="R33" s="17"/>
      <c r="S33" s="17"/>
      <c r="T33" s="17"/>
      <c r="U33" s="17"/>
    </row>
    <row r="34" spans="1:21" x14ac:dyDescent="0.25">
      <c r="A34" s="28" t="s">
        <v>585</v>
      </c>
      <c r="B34" s="17" t="s">
        <v>568</v>
      </c>
      <c r="C34" s="17" t="s">
        <v>668</v>
      </c>
      <c r="D34" s="22" t="s">
        <v>683</v>
      </c>
      <c r="G34" s="17" t="s">
        <v>569</v>
      </c>
      <c r="J34" s="26" t="s">
        <v>574</v>
      </c>
      <c r="K34" s="26" t="s">
        <v>576</v>
      </c>
      <c r="L34" s="26" t="s">
        <v>577</v>
      </c>
      <c r="M34" s="26" t="s">
        <v>577</v>
      </c>
      <c r="N34" s="26" t="s">
        <v>575</v>
      </c>
      <c r="O34" s="26" t="s">
        <v>577</v>
      </c>
      <c r="P34" s="26" t="s">
        <v>574</v>
      </c>
      <c r="Q34" s="17"/>
      <c r="R34" s="17"/>
      <c r="S34" s="17"/>
      <c r="T34" s="17"/>
    </row>
    <row r="35" spans="1:21" x14ac:dyDescent="0.25">
      <c r="A35" s="28" t="s">
        <v>585</v>
      </c>
      <c r="B35" s="17" t="s">
        <v>568</v>
      </c>
      <c r="C35" s="17" t="s">
        <v>668</v>
      </c>
      <c r="D35" s="22" t="s">
        <v>684</v>
      </c>
      <c r="G35" s="17" t="s">
        <v>569</v>
      </c>
      <c r="J35" s="26" t="s">
        <v>574</v>
      </c>
      <c r="K35" s="26" t="s">
        <v>576</v>
      </c>
      <c r="L35" s="26" t="s">
        <v>577</v>
      </c>
      <c r="M35" s="26" t="s">
        <v>577</v>
      </c>
      <c r="N35" s="26" t="s">
        <v>575</v>
      </c>
      <c r="O35" s="26" t="s">
        <v>577</v>
      </c>
      <c r="P35" s="26" t="s">
        <v>574</v>
      </c>
      <c r="Q35" s="17"/>
      <c r="R35" s="17"/>
      <c r="S35" s="17"/>
      <c r="T35" s="17"/>
    </row>
    <row r="36" spans="1:21" x14ac:dyDescent="0.25">
      <c r="A36" s="28" t="s">
        <v>585</v>
      </c>
      <c r="B36" s="17" t="s">
        <v>568</v>
      </c>
      <c r="C36" s="17" t="s">
        <v>668</v>
      </c>
      <c r="D36" s="22" t="s">
        <v>685</v>
      </c>
      <c r="G36" s="17" t="s">
        <v>569</v>
      </c>
      <c r="J36" s="26" t="s">
        <v>574</v>
      </c>
      <c r="K36" s="26" t="s">
        <v>576</v>
      </c>
      <c r="L36" s="26" t="s">
        <v>577</v>
      </c>
      <c r="M36" s="26" t="s">
        <v>577</v>
      </c>
      <c r="N36" s="26" t="s">
        <v>575</v>
      </c>
      <c r="O36" s="26" t="s">
        <v>577</v>
      </c>
      <c r="P36" s="26" t="s">
        <v>574</v>
      </c>
      <c r="Q36" s="17"/>
      <c r="R36" s="17"/>
      <c r="S36" s="17"/>
      <c r="T36" s="17"/>
    </row>
    <row r="37" spans="1:21" x14ac:dyDescent="0.25">
      <c r="A37" s="28" t="s">
        <v>585</v>
      </c>
      <c r="B37" s="17" t="s">
        <v>558</v>
      </c>
      <c r="C37" s="17" t="s">
        <v>669</v>
      </c>
      <c r="D37" s="4" t="s">
        <v>667</v>
      </c>
      <c r="E37" s="27" t="s">
        <v>710</v>
      </c>
      <c r="F37" s="17" t="s">
        <v>673</v>
      </c>
      <c r="G37" s="26" t="s">
        <v>697</v>
      </c>
      <c r="H37" s="26" t="s">
        <v>587</v>
      </c>
      <c r="I37" s="24" t="s">
        <v>575</v>
      </c>
      <c r="J37" s="24"/>
      <c r="K37" s="24"/>
      <c r="L37" s="24"/>
      <c r="M37" s="17"/>
      <c r="N37" s="17"/>
      <c r="O37" s="17"/>
      <c r="P37" s="17"/>
      <c r="Q37" s="17"/>
      <c r="R37" s="17"/>
      <c r="S37" s="17"/>
      <c r="T37" s="17"/>
      <c r="U37" s="17"/>
    </row>
    <row r="38" spans="1:21" x14ac:dyDescent="0.25">
      <c r="A38" s="28" t="s">
        <v>585</v>
      </c>
      <c r="B38" s="17" t="s">
        <v>565</v>
      </c>
      <c r="C38" s="17" t="s">
        <v>668</v>
      </c>
      <c r="D38" s="17" t="s">
        <v>674</v>
      </c>
      <c r="G38" s="17" t="s">
        <v>567</v>
      </c>
      <c r="J38" s="26" t="s">
        <v>575</v>
      </c>
      <c r="K38" s="26" t="s">
        <v>576</v>
      </c>
      <c r="L38" s="26" t="s">
        <v>578</v>
      </c>
      <c r="M38" s="26" t="s">
        <v>576</v>
      </c>
      <c r="N38" s="26" t="s">
        <v>579</v>
      </c>
      <c r="O38" s="26" t="s">
        <v>577</v>
      </c>
      <c r="P38" s="26" t="s">
        <v>580</v>
      </c>
      <c r="Q38" s="17"/>
      <c r="R38" s="17"/>
      <c r="S38" s="17"/>
      <c r="T38" s="17"/>
    </row>
    <row r="39" spans="1:21" x14ac:dyDescent="0.25">
      <c r="A39" s="28" t="s">
        <v>585</v>
      </c>
      <c r="B39" s="17" t="s">
        <v>565</v>
      </c>
      <c r="C39" s="17" t="s">
        <v>668</v>
      </c>
      <c r="D39" s="17" t="s">
        <v>675</v>
      </c>
      <c r="G39" s="17" t="s">
        <v>567</v>
      </c>
      <c r="J39" s="26" t="s">
        <v>579</v>
      </c>
      <c r="K39" s="26" t="s">
        <v>576</v>
      </c>
      <c r="L39" s="26" t="s">
        <v>578</v>
      </c>
      <c r="M39" s="26" t="s">
        <v>576</v>
      </c>
      <c r="N39" s="26" t="s">
        <v>579</v>
      </c>
      <c r="O39" s="26" t="s">
        <v>577</v>
      </c>
      <c r="P39" s="26" t="s">
        <v>580</v>
      </c>
      <c r="Q39" s="17"/>
      <c r="R39" s="17"/>
      <c r="S39" s="17"/>
      <c r="T39" s="17"/>
    </row>
    <row r="40" spans="1:21" x14ac:dyDescent="0.25">
      <c r="A40" s="28" t="s">
        <v>585</v>
      </c>
      <c r="B40" s="17" t="s">
        <v>565</v>
      </c>
      <c r="C40" s="17" t="s">
        <v>668</v>
      </c>
      <c r="D40" s="17" t="s">
        <v>676</v>
      </c>
      <c r="G40" s="17" t="s">
        <v>567</v>
      </c>
      <c r="J40" s="26" t="s">
        <v>579</v>
      </c>
      <c r="K40" s="26" t="s">
        <v>576</v>
      </c>
      <c r="L40" s="26" t="s">
        <v>578</v>
      </c>
      <c r="M40" s="26" t="s">
        <v>576</v>
      </c>
      <c r="N40" s="26" t="s">
        <v>579</v>
      </c>
      <c r="O40" s="26" t="s">
        <v>577</v>
      </c>
      <c r="P40" s="26" t="s">
        <v>580</v>
      </c>
      <c r="Q40" s="17"/>
      <c r="R40" s="17"/>
      <c r="S40" s="17"/>
      <c r="T40" s="17"/>
    </row>
    <row r="41" spans="1:21" x14ac:dyDescent="0.25">
      <c r="A41" s="28" t="s">
        <v>585</v>
      </c>
      <c r="B41" s="17" t="s">
        <v>565</v>
      </c>
      <c r="C41" s="17" t="s">
        <v>668</v>
      </c>
      <c r="D41" s="17" t="s">
        <v>677</v>
      </c>
      <c r="G41" s="17" t="s">
        <v>567</v>
      </c>
      <c r="J41" s="26" t="s">
        <v>575</v>
      </c>
      <c r="K41" s="26" t="s">
        <v>574</v>
      </c>
      <c r="L41" s="26" t="s">
        <v>578</v>
      </c>
      <c r="M41" s="26" t="s">
        <v>574</v>
      </c>
      <c r="N41" s="26" t="s">
        <v>579</v>
      </c>
      <c r="O41" s="26" t="s">
        <v>575</v>
      </c>
      <c r="P41" s="26" t="s">
        <v>580</v>
      </c>
      <c r="Q41" s="17"/>
      <c r="R41" s="17"/>
      <c r="S41" s="17"/>
      <c r="T41" s="17"/>
    </row>
    <row r="42" spans="1:21" x14ac:dyDescent="0.25">
      <c r="A42" s="28" t="s">
        <v>585</v>
      </c>
      <c r="B42" s="17" t="s">
        <v>565</v>
      </c>
      <c r="C42" s="17" t="s">
        <v>668</v>
      </c>
      <c r="D42" s="17" t="s">
        <v>677</v>
      </c>
      <c r="G42" s="17" t="s">
        <v>567</v>
      </c>
      <c r="J42" s="26" t="s">
        <v>575</v>
      </c>
      <c r="K42" s="26" t="s">
        <v>574</v>
      </c>
      <c r="L42" s="26" t="s">
        <v>578</v>
      </c>
      <c r="M42" s="26" t="s">
        <v>574</v>
      </c>
      <c r="N42" s="26" t="s">
        <v>579</v>
      </c>
      <c r="O42" s="26" t="s">
        <v>575</v>
      </c>
      <c r="P42" s="26" t="s">
        <v>580</v>
      </c>
      <c r="Q42" s="17"/>
      <c r="R42" s="17"/>
      <c r="S42" s="17"/>
      <c r="T42" s="17"/>
    </row>
    <row r="43" spans="1:21" x14ac:dyDescent="0.25">
      <c r="A43" s="28"/>
      <c r="B43" s="17" t="s">
        <v>656</v>
      </c>
      <c r="C43" s="17" t="s">
        <v>668</v>
      </c>
      <c r="D43" s="17" t="s">
        <v>678</v>
      </c>
      <c r="G43" s="17" t="s">
        <v>665</v>
      </c>
      <c r="J43" s="26" t="s">
        <v>570</v>
      </c>
      <c r="K43" s="26" t="s">
        <v>581</v>
      </c>
      <c r="L43" s="26" t="s">
        <v>580</v>
      </c>
      <c r="M43" s="26" t="s">
        <v>571</v>
      </c>
      <c r="N43" s="26" t="s">
        <v>573</v>
      </c>
      <c r="O43" s="26" t="s">
        <v>576</v>
      </c>
      <c r="P43" s="26" t="s">
        <v>581</v>
      </c>
      <c r="Q43" s="17"/>
      <c r="R43" s="17"/>
      <c r="S43" s="17"/>
      <c r="T43" s="17"/>
    </row>
    <row r="44" spans="1:21" x14ac:dyDescent="0.25">
      <c r="A44" s="28" t="s">
        <v>585</v>
      </c>
      <c r="B44" s="22" t="s">
        <v>695</v>
      </c>
      <c r="C44" s="17" t="s">
        <v>668</v>
      </c>
      <c r="D44" s="17" t="s">
        <v>678</v>
      </c>
      <c r="G44" s="17" t="s">
        <v>665</v>
      </c>
      <c r="H44" s="22" t="s">
        <v>696</v>
      </c>
      <c r="J44" s="26" t="s">
        <v>570</v>
      </c>
      <c r="K44" s="26" t="s">
        <v>581</v>
      </c>
      <c r="L44" s="26" t="s">
        <v>580</v>
      </c>
      <c r="M44" s="26" t="s">
        <v>571</v>
      </c>
      <c r="N44" s="26" t="s">
        <v>573</v>
      </c>
      <c r="O44" s="26" t="s">
        <v>576</v>
      </c>
      <c r="P44" s="26" t="s">
        <v>581</v>
      </c>
      <c r="Q44" s="17"/>
      <c r="R44" s="17"/>
      <c r="S44" s="17"/>
      <c r="T44" s="17"/>
    </row>
    <row r="45" spans="1:21" x14ac:dyDescent="0.25"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</row>
    <row r="46" spans="1:21" x14ac:dyDescent="0.25"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</row>
    <row r="47" spans="1:21" x14ac:dyDescent="0.25"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</row>
    <row r="48" spans="1:21" x14ac:dyDescent="0.25"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</row>
    <row r="49" spans="2:20" x14ac:dyDescent="0.25"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tsGo">
                <anchor moveWithCells="1" sizeWithCells="1">
                  <from>
                    <xdr:col>10</xdr:col>
                    <xdr:colOff>548640</xdr:colOff>
                    <xdr:row>0</xdr:row>
                    <xdr:rowOff>106680</xdr:rowOff>
                  </from>
                  <to>
                    <xdr:col>13</xdr:col>
                    <xdr:colOff>381000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VersionHistory</vt:lpstr>
      <vt:lpstr>To do</vt:lpstr>
      <vt:lpstr>Parameters</vt:lpstr>
      <vt:lpstr>Sizes</vt:lpstr>
      <vt:lpstr>Templates</vt:lpstr>
      <vt:lpstr>Elements</vt:lpstr>
      <vt:lpstr>Schemes</vt:lpstr>
      <vt:lpstr>ElementColours</vt:lpstr>
      <vt:lpstr>Gradients</vt:lpstr>
      <vt:lpstr>SysColours</vt:lpstr>
      <vt:lpstr>UserColours</vt:lpstr>
      <vt:lpstr>Shapes</vt:lpstr>
      <vt:lpstr>Borkowo</vt:lpstr>
      <vt:lpstr>bordercolour</vt:lpstr>
      <vt:lpstr>commonfolder</vt:lpstr>
      <vt:lpstr>doublesided</vt:lpstr>
      <vt:lpstr>imagefolder</vt:lpstr>
      <vt:lpstr>margin</vt:lpstr>
      <vt:lpstr>sprueheight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Newell, Christopher (IE Dundrum)</dc:creator>
  <cp:lastModifiedBy>Newell, Christopher (Ireland Dundrum)</cp:lastModifiedBy>
  <cp:lastPrinted>2020-06-09T08:45:20Z</cp:lastPrinted>
  <dcterms:created xsi:type="dcterms:W3CDTF">2020-03-03T11:19:15Z</dcterms:created>
  <dcterms:modified xsi:type="dcterms:W3CDTF">2020-08-22T17:12:50Z</dcterms:modified>
</cp:coreProperties>
</file>