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christopher.newell\Desktop\perso\xlctrgen\"/>
    </mc:Choice>
  </mc:AlternateContent>
  <bookViews>
    <workbookView xWindow="-12" yWindow="-12" windowWidth="3972" windowHeight="9288" firstSheet="2" activeTab="2"/>
  </bookViews>
  <sheets>
    <sheet name="Gradients" sheetId="426" state="hidden" r:id="rId1"/>
    <sheet name="PDG" sheetId="748" r:id="rId2"/>
    <sheet name="Shapes" sheetId="745" r:id="rId3"/>
    <sheet name="SysColours" sheetId="746" r:id="rId4"/>
    <sheet name="Structure" sheetId="747" r:id="rId5"/>
    <sheet name="oldcolours" sheetId="749" r:id="rId6"/>
  </sheets>
  <functionGroups builtInGroupCount="18"/>
  <externalReferences>
    <externalReference r:id="rId7"/>
    <externalReference r:id="rId8"/>
    <externalReference r:id="rId9"/>
  </externalReferences>
  <definedNames>
    <definedName name="BillingAddress">#REF!</definedName>
    <definedName name="bordercolour">[1]Parameters!$B$6</definedName>
    <definedName name="ColourCodes">[2]!Table14[Colour Name]</definedName>
    <definedName name="commonfolder">[1]Parameters!$B$5</definedName>
    <definedName name="Countries">'[2]Reference Data'!$G$4:$G$50</definedName>
    <definedName name="CurrencyCells">#REF!</definedName>
    <definedName name="doublesided">[1]Parameters!$B$7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Forces">#REF!</definedName>
    <definedName name="FragileStatus">[2]!Table24[Fragile Status]</definedName>
    <definedName name="imagefolder">[1]Parameters!$B$4</definedName>
    <definedName name="margin">[1]Parameters!$B$2</definedName>
    <definedName name="oval432">'[3]Counter Sheet'!#REF!</definedName>
    <definedName name="oval433">'[3]Counter Sheet'!#REF!</definedName>
    <definedName name="_xlnm.Print_Area" localSheetId="2">Shapes!$A:$E</definedName>
    <definedName name="SizeSymbols">[2]!Table12[#Data]</definedName>
    <definedName name="sprueheight">[1]Parameters!$B$3</definedName>
    <definedName name="SupportStatus">'[2]Reference Data'!$E$4:$E$10</definedName>
    <definedName name="SupportSymbols">[2]!Table11[#Data]</definedName>
    <definedName name="UnitBorders">[2]!Table55[Borders]</definedName>
    <definedName name="UnitSizes">'[2]Reference Data'!$C$4:$C$29</definedName>
    <definedName name="UnitSymbols">[2]!Table10[#Data]</definedName>
    <definedName name="UnitTypes">'[2]Reference Data'!$A$4:$A$152</definedName>
    <definedName name="Vichy_France">[2]!Table46[Vichy_France]</definedName>
  </definedNames>
  <calcPr calcId="162913"/>
</workbook>
</file>

<file path=xl/calcChain.xml><?xml version="1.0" encoding="utf-8"?>
<calcChain xmlns="http://schemas.openxmlformats.org/spreadsheetml/2006/main">
  <c r="J210" i="749" l="1"/>
  <c r="I210" i="749"/>
  <c r="F210" i="749"/>
  <c r="J209" i="749"/>
  <c r="I209" i="749"/>
  <c r="F209" i="749"/>
  <c r="I208" i="749"/>
  <c r="J208" i="749" s="1"/>
  <c r="F208" i="749"/>
  <c r="I207" i="749"/>
  <c r="J207" i="749" s="1"/>
  <c r="F207" i="749"/>
  <c r="J206" i="749"/>
  <c r="I206" i="749"/>
  <c r="F206" i="749"/>
  <c r="J205" i="749"/>
  <c r="I205" i="749"/>
  <c r="F205" i="749"/>
  <c r="I204" i="749"/>
  <c r="J204" i="749" s="1"/>
  <c r="F204" i="749"/>
  <c r="I203" i="749"/>
  <c r="F203" i="749"/>
  <c r="J202" i="749"/>
  <c r="I202" i="749"/>
  <c r="F202" i="749"/>
  <c r="J201" i="749"/>
  <c r="I201" i="749"/>
  <c r="F201" i="749"/>
  <c r="I200" i="749"/>
  <c r="J200" i="749" s="1"/>
  <c r="F200" i="749"/>
  <c r="I199" i="749"/>
  <c r="J199" i="749" s="1"/>
  <c r="F199" i="749"/>
  <c r="J198" i="749"/>
  <c r="I198" i="749"/>
  <c r="F198" i="749"/>
  <c r="I197" i="749"/>
  <c r="J197" i="749" s="1"/>
  <c r="F197" i="749"/>
  <c r="I196" i="749"/>
  <c r="F196" i="749"/>
  <c r="I195" i="749"/>
  <c r="J195" i="749" s="1"/>
  <c r="F195" i="749"/>
  <c r="I194" i="749"/>
  <c r="F194" i="749"/>
  <c r="I193" i="749"/>
  <c r="J193" i="749" s="1"/>
  <c r="F193" i="749"/>
  <c r="I192" i="749"/>
  <c r="F192" i="749"/>
  <c r="I191" i="749"/>
  <c r="J191" i="749" s="1"/>
  <c r="F191" i="749"/>
  <c r="I190" i="749"/>
  <c r="J190" i="749" s="1"/>
  <c r="I189" i="749"/>
  <c r="F189" i="749"/>
  <c r="J189" i="749" s="1"/>
  <c r="I188" i="749"/>
  <c r="F188" i="749"/>
  <c r="I187" i="749"/>
  <c r="F187" i="749"/>
  <c r="J187" i="749" s="1"/>
  <c r="I186" i="749"/>
  <c r="F186" i="749"/>
  <c r="I185" i="749"/>
  <c r="F185" i="749"/>
  <c r="J185" i="749" s="1"/>
  <c r="I184" i="749"/>
  <c r="F184" i="749"/>
  <c r="I183" i="749"/>
  <c r="F183" i="749"/>
  <c r="J183" i="749" s="1"/>
  <c r="I182" i="749"/>
  <c r="F182" i="749"/>
  <c r="I181" i="749"/>
  <c r="F181" i="749"/>
  <c r="J181" i="749" s="1"/>
  <c r="I180" i="749"/>
  <c r="F180" i="749"/>
  <c r="I179" i="749"/>
  <c r="F179" i="749"/>
  <c r="J179" i="749" s="1"/>
  <c r="I178" i="749"/>
  <c r="F178" i="749"/>
  <c r="I177" i="749"/>
  <c r="J177" i="749" s="1"/>
  <c r="I176" i="749"/>
  <c r="J176" i="749" s="1"/>
  <c r="F176" i="749"/>
  <c r="I175" i="749"/>
  <c r="F175" i="749"/>
  <c r="I174" i="749"/>
  <c r="F174" i="749"/>
  <c r="I173" i="749"/>
  <c r="F173" i="749"/>
  <c r="I172" i="749"/>
  <c r="F172" i="749"/>
  <c r="I171" i="749"/>
  <c r="F171" i="749"/>
  <c r="I170" i="749"/>
  <c r="F170" i="749"/>
  <c r="I169" i="749"/>
  <c r="F169" i="749"/>
  <c r="I168" i="749"/>
  <c r="J168" i="749" s="1"/>
  <c r="F168" i="749"/>
  <c r="I167" i="749"/>
  <c r="I166" i="749"/>
  <c r="I165" i="749"/>
  <c r="I164" i="749"/>
  <c r="I163" i="749"/>
  <c r="I162" i="749"/>
  <c r="I161" i="749"/>
  <c r="I160" i="749"/>
  <c r="I159" i="749"/>
  <c r="I158" i="749"/>
  <c r="I157" i="749"/>
  <c r="I156" i="749"/>
  <c r="I155" i="749"/>
  <c r="I154" i="749"/>
  <c r="I153" i="749"/>
  <c r="I152" i="749"/>
  <c r="I151" i="749"/>
  <c r="I150" i="749"/>
  <c r="I149" i="749"/>
  <c r="I148" i="749"/>
  <c r="I147" i="749"/>
  <c r="I146" i="749"/>
  <c r="I145" i="749"/>
  <c r="I144" i="749"/>
  <c r="I143" i="749"/>
  <c r="I142" i="749"/>
  <c r="I141" i="749"/>
  <c r="I140" i="749"/>
  <c r="I139" i="749"/>
  <c r="I138" i="749"/>
  <c r="I137" i="749"/>
  <c r="I136" i="749"/>
  <c r="I135" i="749"/>
  <c r="I134" i="749"/>
  <c r="I133" i="749"/>
  <c r="I132" i="749"/>
  <c r="I131" i="749"/>
  <c r="I130" i="749"/>
  <c r="I129" i="749"/>
  <c r="I128" i="749"/>
  <c r="I127" i="749"/>
  <c r="I126" i="749"/>
  <c r="I125" i="749"/>
  <c r="I124" i="749"/>
  <c r="I123" i="749"/>
  <c r="I122" i="749"/>
  <c r="I121" i="749"/>
  <c r="I120" i="749"/>
  <c r="I119" i="749"/>
  <c r="I118" i="749"/>
  <c r="I117" i="749"/>
  <c r="I116" i="749"/>
  <c r="I115" i="749"/>
  <c r="I114" i="749"/>
  <c r="I113" i="749"/>
  <c r="I112" i="749"/>
  <c r="I111" i="749"/>
  <c r="I110" i="749"/>
  <c r="I109" i="749"/>
  <c r="I108" i="749"/>
  <c r="I107" i="749"/>
  <c r="I106" i="749"/>
  <c r="I105" i="749"/>
  <c r="I104" i="749"/>
  <c r="I103" i="749"/>
  <c r="I102" i="749"/>
  <c r="I101" i="749"/>
  <c r="I100" i="749"/>
  <c r="I99" i="749"/>
  <c r="I98" i="749"/>
  <c r="I97" i="749"/>
  <c r="I96" i="749"/>
  <c r="I95" i="749"/>
  <c r="I94" i="749"/>
  <c r="I93" i="749"/>
  <c r="I92" i="749"/>
  <c r="I91" i="749"/>
  <c r="I90" i="749"/>
  <c r="I89" i="749"/>
  <c r="I88" i="749"/>
  <c r="I87" i="749"/>
  <c r="I86" i="749"/>
  <c r="I85" i="749"/>
  <c r="I84" i="749"/>
  <c r="I83" i="749"/>
  <c r="I82" i="749"/>
  <c r="I81" i="749"/>
  <c r="I80" i="749"/>
  <c r="I79" i="749"/>
  <c r="I78" i="749"/>
  <c r="I77" i="749"/>
  <c r="I76" i="749"/>
  <c r="I75" i="749"/>
  <c r="I74" i="749"/>
  <c r="I73" i="749"/>
  <c r="I72" i="749"/>
  <c r="I71" i="749"/>
  <c r="I70" i="749"/>
  <c r="I69" i="749"/>
  <c r="I68" i="749"/>
  <c r="I67" i="749"/>
  <c r="J67" i="749" s="1"/>
  <c r="I66" i="749"/>
  <c r="I65" i="749"/>
  <c r="I64" i="749"/>
  <c r="I63" i="749"/>
  <c r="I62" i="749"/>
  <c r="I61" i="749"/>
  <c r="I60" i="749"/>
  <c r="I59" i="749"/>
  <c r="I58" i="749"/>
  <c r="I57" i="749"/>
  <c r="I56" i="749"/>
  <c r="I55" i="749"/>
  <c r="I54" i="749"/>
  <c r="I53" i="749"/>
  <c r="I52" i="749"/>
  <c r="I51" i="749"/>
  <c r="I50" i="749"/>
  <c r="I49" i="749"/>
  <c r="I48" i="749"/>
  <c r="I47" i="749"/>
  <c r="I46" i="749"/>
  <c r="I45" i="749"/>
  <c r="I44" i="749"/>
  <c r="I43" i="749"/>
  <c r="I42" i="749"/>
  <c r="I41" i="749"/>
  <c r="I40" i="749"/>
  <c r="I39" i="749"/>
  <c r="I38" i="749"/>
  <c r="I37" i="749"/>
  <c r="I36" i="749"/>
  <c r="I35" i="749"/>
  <c r="I34" i="749"/>
  <c r="I33" i="749"/>
  <c r="I32" i="749"/>
  <c r="I31" i="749"/>
  <c r="I30" i="749"/>
  <c r="I29" i="749"/>
  <c r="I28" i="749"/>
  <c r="I27" i="749"/>
  <c r="I26" i="749"/>
  <c r="I25" i="749"/>
  <c r="I24" i="749"/>
  <c r="I23" i="749"/>
  <c r="I22" i="749"/>
  <c r="I21" i="749"/>
  <c r="I20" i="749"/>
  <c r="I19" i="749"/>
  <c r="I18" i="749"/>
  <c r="I17" i="749"/>
  <c r="I16" i="749"/>
  <c r="I15" i="749"/>
  <c r="I14" i="749"/>
  <c r="I13" i="749"/>
  <c r="I12" i="749"/>
  <c r="I11" i="749"/>
  <c r="I10" i="749"/>
  <c r="I9" i="749"/>
  <c r="I8" i="749"/>
  <c r="I7" i="749"/>
  <c r="I6" i="749"/>
  <c r="I5" i="749"/>
  <c r="I4" i="749"/>
  <c r="I3" i="749"/>
  <c r="I2" i="749"/>
  <c r="J57" i="749" l="1"/>
  <c r="J73" i="749"/>
  <c r="J105" i="749"/>
  <c r="J3" i="749"/>
  <c r="J31" i="749"/>
  <c r="J92" i="749"/>
  <c r="J4" i="749"/>
  <c r="J49" i="749"/>
  <c r="J93" i="749"/>
  <c r="J125" i="749"/>
  <c r="J203" i="749"/>
  <c r="J5" i="749"/>
  <c r="J11" i="749"/>
  <c r="J60" i="749"/>
  <c r="J84" i="749"/>
  <c r="J112" i="749"/>
  <c r="J130" i="749"/>
  <c r="J128" i="749"/>
  <c r="J160" i="749"/>
  <c r="J42" i="749"/>
  <c r="J86" i="749"/>
  <c r="J143" i="749"/>
  <c r="J150" i="749"/>
  <c r="J12" i="749"/>
  <c r="J34" i="749"/>
  <c r="J54" i="749"/>
  <c r="J71" i="749"/>
  <c r="J99" i="749"/>
  <c r="J102" i="749"/>
  <c r="J159" i="749"/>
  <c r="J90" i="749"/>
  <c r="J116" i="749"/>
  <c r="J132" i="749"/>
  <c r="J135" i="749"/>
  <c r="J151" i="749"/>
  <c r="J169" i="749"/>
  <c r="J171" i="749"/>
  <c r="J8" i="749"/>
  <c r="J27" i="749"/>
  <c r="J30" i="749"/>
  <c r="J46" i="749"/>
  <c r="J56" i="749"/>
  <c r="J94" i="749"/>
  <c r="J155" i="749"/>
  <c r="J158" i="749"/>
  <c r="J178" i="749"/>
  <c r="J180" i="749"/>
  <c r="J182" i="749"/>
  <c r="J184" i="749"/>
  <c r="J186" i="749"/>
  <c r="J188" i="749"/>
  <c r="J192" i="749"/>
  <c r="J194" i="749"/>
  <c r="J196" i="749"/>
  <c r="E3" i="746"/>
  <c r="E4" i="746"/>
  <c r="E5" i="746"/>
  <c r="E6" i="746"/>
  <c r="E7" i="746"/>
  <c r="E8" i="746"/>
  <c r="J88" i="749" s="1"/>
  <c r="E9" i="746"/>
  <c r="E10" i="746"/>
  <c r="E11" i="746"/>
  <c r="E12" i="746"/>
  <c r="J141" i="749" s="1"/>
  <c r="E13" i="746"/>
  <c r="E14" i="746"/>
  <c r="E15" i="746"/>
  <c r="E16" i="746"/>
  <c r="J79" i="749" s="1"/>
  <c r="E17" i="746"/>
  <c r="E18" i="746"/>
  <c r="E19" i="746"/>
  <c r="E20" i="746"/>
  <c r="E21" i="746"/>
  <c r="J140" i="749" s="1"/>
  <c r="E22" i="746"/>
  <c r="E23" i="746"/>
  <c r="E24" i="746"/>
  <c r="E25" i="746"/>
  <c r="E26" i="746"/>
  <c r="J47" i="749" s="1"/>
  <c r="E27" i="746"/>
  <c r="J13" i="749" s="1"/>
  <c r="E28" i="746"/>
  <c r="E29" i="746"/>
  <c r="E30" i="746"/>
  <c r="E31" i="746"/>
  <c r="E32" i="746"/>
  <c r="E33" i="746"/>
  <c r="E34" i="746"/>
  <c r="J107" i="749" s="1"/>
  <c r="E35" i="746"/>
  <c r="E36" i="746"/>
  <c r="E37" i="746"/>
  <c r="E38" i="746"/>
  <c r="E39" i="746"/>
  <c r="E40" i="746"/>
  <c r="J170" i="749" s="1"/>
  <c r="E41" i="746"/>
  <c r="J21" i="749" s="1"/>
  <c r="E42" i="746"/>
  <c r="E43" i="746"/>
  <c r="E44" i="746"/>
  <c r="E45" i="746"/>
  <c r="E46" i="746"/>
  <c r="E47" i="746"/>
  <c r="E48" i="746"/>
  <c r="E49" i="746"/>
  <c r="E50" i="746"/>
  <c r="E51" i="746"/>
  <c r="E52" i="746"/>
  <c r="E53" i="746"/>
  <c r="E54" i="746"/>
  <c r="E55" i="746"/>
  <c r="E56" i="746"/>
  <c r="E57" i="746"/>
  <c r="E58" i="746"/>
  <c r="E59" i="746"/>
  <c r="E60" i="746"/>
  <c r="E61" i="746"/>
  <c r="E62" i="746"/>
  <c r="E63" i="746"/>
  <c r="E64" i="746"/>
  <c r="E65" i="746"/>
  <c r="J78" i="749" s="1"/>
  <c r="E66" i="746"/>
  <c r="E67" i="746"/>
  <c r="E68" i="746"/>
  <c r="E69" i="746"/>
  <c r="E70" i="746"/>
  <c r="E71" i="746"/>
  <c r="E72" i="746"/>
  <c r="E73" i="746"/>
  <c r="E74" i="746"/>
  <c r="E75" i="746"/>
  <c r="E76" i="746"/>
  <c r="E77" i="746"/>
  <c r="E78" i="746"/>
  <c r="E79" i="746"/>
  <c r="E80" i="746"/>
  <c r="E81" i="746"/>
  <c r="E82" i="746"/>
  <c r="E83" i="746"/>
  <c r="E84" i="746"/>
  <c r="E85" i="746"/>
  <c r="E86" i="746"/>
  <c r="E87" i="746"/>
  <c r="E88" i="746"/>
  <c r="J137" i="749" s="1"/>
  <c r="E89" i="746"/>
  <c r="J162" i="749" s="1"/>
  <c r="E90" i="746"/>
  <c r="E91" i="746"/>
  <c r="E92" i="746"/>
  <c r="J50" i="749" s="1"/>
  <c r="E93" i="746"/>
  <c r="J106" i="749" s="1"/>
  <c r="E94" i="746"/>
  <c r="E95" i="746"/>
  <c r="E96" i="746"/>
  <c r="E97" i="746"/>
  <c r="E98" i="746"/>
  <c r="E99" i="746"/>
  <c r="E100" i="746"/>
  <c r="J139" i="749" s="1"/>
  <c r="E101" i="746"/>
  <c r="J110" i="749" s="1"/>
  <c r="E102" i="746"/>
  <c r="E103" i="746"/>
  <c r="E104" i="746"/>
  <c r="E105" i="746"/>
  <c r="E106" i="746"/>
  <c r="J41" i="749" s="1"/>
  <c r="E107" i="746"/>
  <c r="J33" i="749" s="1"/>
  <c r="E108" i="746"/>
  <c r="E109" i="746"/>
  <c r="E110" i="746"/>
  <c r="E111" i="746"/>
  <c r="E112" i="746"/>
  <c r="E113" i="746"/>
  <c r="J80" i="749" s="1"/>
  <c r="E114" i="746"/>
  <c r="E115" i="746"/>
  <c r="E116" i="746"/>
  <c r="E117" i="746"/>
  <c r="E118" i="746"/>
  <c r="E119" i="746"/>
  <c r="J111" i="749" s="1"/>
  <c r="E120" i="746"/>
  <c r="E121" i="746"/>
  <c r="E122" i="746"/>
  <c r="E123" i="746"/>
  <c r="E124" i="746"/>
  <c r="J37" i="749" s="1"/>
  <c r="E125" i="746"/>
  <c r="E126" i="746"/>
  <c r="J113" i="749" s="1"/>
  <c r="E127" i="746"/>
  <c r="E128" i="746"/>
  <c r="E129" i="746"/>
  <c r="E130" i="746"/>
  <c r="E131" i="746"/>
  <c r="E132" i="746"/>
  <c r="J52" i="749" s="1"/>
  <c r="E133" i="746"/>
  <c r="J83" i="749" s="1"/>
  <c r="E134" i="746"/>
  <c r="E135" i="746"/>
  <c r="E136" i="746"/>
  <c r="E137" i="746"/>
  <c r="E138" i="746"/>
  <c r="J109" i="749" s="1"/>
  <c r="E139" i="746"/>
  <c r="E140" i="746"/>
  <c r="J23" i="749" s="1"/>
  <c r="E141" i="746"/>
  <c r="J117" i="749" s="1"/>
  <c r="E142" i="746"/>
  <c r="J122" i="749" s="1"/>
  <c r="E143" i="746"/>
  <c r="E144" i="746"/>
  <c r="J142" i="749" s="1"/>
  <c r="E145" i="746"/>
  <c r="E146" i="746"/>
  <c r="E147" i="746"/>
  <c r="E148" i="746"/>
  <c r="E149" i="746"/>
  <c r="J19" i="749" s="1"/>
  <c r="E150" i="746"/>
  <c r="J101" i="749" s="1"/>
  <c r="E151" i="746"/>
  <c r="E152" i="746"/>
  <c r="E153" i="746"/>
  <c r="E154" i="746"/>
  <c r="E155" i="746"/>
  <c r="E156" i="746"/>
  <c r="E157" i="746"/>
  <c r="E158" i="746"/>
  <c r="E159" i="746"/>
  <c r="E160" i="746"/>
  <c r="J100" i="749" s="1"/>
  <c r="E161" i="746"/>
  <c r="J152" i="749" s="1"/>
  <c r="E162" i="746"/>
  <c r="J153" i="749" s="1"/>
  <c r="E163" i="746"/>
  <c r="E164" i="746"/>
  <c r="E165" i="746"/>
  <c r="E166" i="746"/>
  <c r="E167" i="746"/>
  <c r="E168" i="746"/>
  <c r="J2" i="749" s="1"/>
  <c r="E169" i="746"/>
  <c r="E170" i="746"/>
  <c r="J156" i="749" s="1"/>
  <c r="E171" i="746"/>
  <c r="E172" i="746"/>
  <c r="E173" i="746"/>
  <c r="E174" i="746"/>
  <c r="E175" i="746"/>
  <c r="E176" i="746"/>
  <c r="E177" i="746"/>
  <c r="E178" i="746"/>
  <c r="J98" i="749" s="1"/>
  <c r="E179" i="746"/>
  <c r="E180" i="746"/>
  <c r="E181" i="746"/>
  <c r="E182" i="746"/>
  <c r="E183" i="746"/>
  <c r="E184" i="746"/>
  <c r="E185" i="746"/>
  <c r="J43" i="749" s="1"/>
  <c r="E186" i="746"/>
  <c r="E187" i="746"/>
  <c r="E188" i="746"/>
  <c r="E189" i="746"/>
  <c r="E190" i="746"/>
  <c r="E191" i="746"/>
  <c r="E192" i="746"/>
  <c r="J87" i="749" s="1"/>
  <c r="E193" i="746"/>
  <c r="E194" i="746"/>
  <c r="J138" i="749" s="1"/>
  <c r="E195" i="746"/>
  <c r="E196" i="746"/>
  <c r="E197" i="746"/>
  <c r="E198" i="746"/>
  <c r="E199" i="746"/>
  <c r="E200" i="746"/>
  <c r="E201" i="746"/>
  <c r="E202" i="746"/>
  <c r="E203" i="746"/>
  <c r="E204" i="746"/>
  <c r="J15" i="749" s="1"/>
  <c r="E205" i="746"/>
  <c r="J40" i="749" s="1"/>
  <c r="E206" i="746"/>
  <c r="J6" i="749" s="1"/>
  <c r="E207" i="746"/>
  <c r="E208" i="746"/>
  <c r="J89" i="749" s="1"/>
  <c r="E209" i="746"/>
  <c r="E210" i="746"/>
  <c r="E211" i="746"/>
  <c r="E212" i="746"/>
  <c r="E213" i="746"/>
  <c r="J131" i="749" s="1"/>
  <c r="E214" i="746"/>
  <c r="E215" i="746"/>
  <c r="E216" i="746"/>
  <c r="E217" i="746"/>
  <c r="E218" i="746"/>
  <c r="E219" i="746"/>
  <c r="E220" i="746"/>
  <c r="E221" i="746"/>
  <c r="E222" i="746"/>
  <c r="E223" i="746"/>
  <c r="E224" i="746"/>
  <c r="J22" i="749" s="1"/>
  <c r="E225" i="746"/>
  <c r="E226" i="746"/>
  <c r="E227" i="746"/>
  <c r="E228" i="746"/>
  <c r="E229" i="746"/>
  <c r="E230" i="746"/>
  <c r="E231" i="746"/>
  <c r="J24" i="749" s="1"/>
  <c r="E232" i="746"/>
  <c r="E233" i="746"/>
  <c r="J38" i="749" s="1"/>
  <c r="E234" i="746"/>
  <c r="J39" i="749" s="1"/>
  <c r="E235" i="746"/>
  <c r="J115" i="749" s="1"/>
  <c r="E236" i="746"/>
  <c r="J97" i="749" s="1"/>
  <c r="E237" i="746"/>
  <c r="J161" i="749" s="1"/>
  <c r="E238" i="746"/>
  <c r="E239" i="746"/>
  <c r="E240" i="746"/>
  <c r="E241" i="746"/>
  <c r="E242" i="746"/>
  <c r="E243" i="746"/>
  <c r="J108" i="749" s="1"/>
  <c r="E244" i="746"/>
  <c r="J114" i="749" s="1"/>
  <c r="E245" i="746"/>
  <c r="J118" i="749" s="1"/>
  <c r="E246" i="746"/>
  <c r="E247" i="746"/>
  <c r="E248" i="746"/>
  <c r="E249" i="746"/>
  <c r="E250" i="746"/>
  <c r="E251" i="746"/>
  <c r="E252" i="746"/>
  <c r="J146" i="749" s="1"/>
  <c r="E253" i="746"/>
  <c r="E254" i="746"/>
  <c r="E255" i="746"/>
  <c r="E256" i="746"/>
  <c r="E257" i="746"/>
  <c r="E258" i="746"/>
  <c r="J77" i="749" s="1"/>
  <c r="E259" i="746"/>
  <c r="E260" i="746"/>
  <c r="E261" i="746"/>
  <c r="E262" i="746"/>
  <c r="E263" i="746"/>
  <c r="E264" i="746"/>
  <c r="E265" i="746"/>
  <c r="E266" i="746"/>
  <c r="E267" i="746"/>
  <c r="E268" i="746"/>
  <c r="E269" i="746"/>
  <c r="J36" i="749" s="1"/>
  <c r="E270" i="746"/>
  <c r="E271" i="746"/>
  <c r="E272" i="746"/>
  <c r="E273" i="746"/>
  <c r="J103" i="749" s="1"/>
  <c r="E274" i="746"/>
  <c r="J104" i="749" s="1"/>
  <c r="E275" i="746"/>
  <c r="E276" i="746"/>
  <c r="E277" i="746"/>
  <c r="E278" i="746"/>
  <c r="E279" i="746"/>
  <c r="E280" i="746"/>
  <c r="E281" i="746"/>
  <c r="J65" i="749" s="1"/>
  <c r="E282" i="746"/>
  <c r="E283" i="746"/>
  <c r="J85" i="749" s="1"/>
  <c r="E284" i="746"/>
  <c r="J16" i="749" s="1"/>
  <c r="E285" i="746"/>
  <c r="E286" i="746"/>
  <c r="E287" i="746"/>
  <c r="E288" i="746"/>
  <c r="E289" i="746"/>
  <c r="J66" i="749" s="1"/>
  <c r="E290" i="746"/>
  <c r="E291" i="746"/>
  <c r="E292" i="746"/>
  <c r="E293" i="746"/>
  <c r="E294" i="746"/>
  <c r="E295" i="746"/>
  <c r="E296" i="746"/>
  <c r="E297" i="746"/>
  <c r="E298" i="746"/>
  <c r="E299" i="746"/>
  <c r="J167" i="749" s="1"/>
  <c r="E300" i="746"/>
  <c r="E301" i="746"/>
  <c r="J81" i="749" s="1"/>
  <c r="E302" i="746"/>
  <c r="E303" i="746"/>
  <c r="E304" i="746"/>
  <c r="E305" i="746"/>
  <c r="J7" i="749" s="1"/>
  <c r="E306" i="746"/>
  <c r="E307" i="746"/>
  <c r="E308" i="746"/>
  <c r="E309" i="746"/>
  <c r="E310" i="746"/>
  <c r="E311" i="746"/>
  <c r="E312" i="746"/>
  <c r="E313" i="746"/>
  <c r="J166" i="749" s="1"/>
  <c r="E314" i="746"/>
  <c r="E315" i="746"/>
  <c r="E316" i="746"/>
  <c r="E317" i="746"/>
  <c r="E318" i="746"/>
  <c r="J124" i="749" s="1"/>
  <c r="E319" i="746"/>
  <c r="J29" i="749" s="1"/>
  <c r="E320" i="746"/>
  <c r="E321" i="746"/>
  <c r="E322" i="746"/>
  <c r="E323" i="746"/>
  <c r="E324" i="746"/>
  <c r="E325" i="746"/>
  <c r="J129" i="749" s="1"/>
  <c r="E326" i="746"/>
  <c r="E327" i="746"/>
  <c r="E328" i="746"/>
  <c r="J82" i="749" s="1"/>
  <c r="E329" i="746"/>
  <c r="E330" i="746"/>
  <c r="E331" i="746"/>
  <c r="E332" i="746"/>
  <c r="E333" i="746"/>
  <c r="J53" i="749" s="1"/>
  <c r="E334" i="746"/>
  <c r="E335" i="746"/>
  <c r="E336" i="746"/>
  <c r="E337" i="746"/>
  <c r="E338" i="746"/>
  <c r="E339" i="746"/>
  <c r="E340" i="746"/>
  <c r="E341" i="746"/>
  <c r="E342" i="746"/>
  <c r="E343" i="746"/>
  <c r="E344" i="746"/>
  <c r="E345" i="746"/>
  <c r="J20" i="749" s="1"/>
  <c r="E346" i="746"/>
  <c r="E347" i="746"/>
  <c r="E348" i="746"/>
  <c r="E349" i="746"/>
  <c r="E350" i="746"/>
  <c r="E351" i="746"/>
  <c r="E352" i="746"/>
  <c r="J25" i="749" s="1"/>
  <c r="E353" i="746"/>
  <c r="E354" i="746"/>
  <c r="E355" i="746"/>
  <c r="E356" i="746"/>
  <c r="E357" i="746"/>
  <c r="J48" i="749" s="1"/>
  <c r="E358" i="746"/>
  <c r="E359" i="746"/>
  <c r="J123" i="749" s="1"/>
  <c r="E360" i="746"/>
  <c r="J163" i="749" s="1"/>
  <c r="E361" i="746"/>
  <c r="E362" i="746"/>
  <c r="E363" i="746"/>
  <c r="J126" i="749" s="1"/>
  <c r="E364" i="746"/>
  <c r="J172" i="749" s="1"/>
  <c r="E365" i="746"/>
  <c r="J173" i="749" s="1"/>
  <c r="E366" i="746"/>
  <c r="J174" i="749" s="1"/>
  <c r="E367" i="746"/>
  <c r="J175" i="749" s="1"/>
  <c r="E368" i="746"/>
  <c r="E369" i="746"/>
  <c r="J120" i="749" s="1"/>
  <c r="E370" i="746"/>
  <c r="J133" i="749" s="1"/>
  <c r="E371" i="746"/>
  <c r="E372" i="746"/>
  <c r="J10" i="749" s="1"/>
  <c r="E373" i="746"/>
  <c r="J121" i="749" s="1"/>
  <c r="E374" i="746"/>
  <c r="E375" i="746"/>
  <c r="E376" i="746"/>
  <c r="E377" i="746"/>
  <c r="E378" i="746"/>
  <c r="E379" i="746"/>
  <c r="J157" i="749" s="1"/>
  <c r="E380" i="746"/>
  <c r="E381" i="746"/>
  <c r="J14" i="749" s="1"/>
  <c r="E382" i="746"/>
  <c r="E383" i="746"/>
  <c r="E384" i="746"/>
  <c r="E385" i="746"/>
  <c r="E386" i="746"/>
  <c r="E387" i="746"/>
  <c r="E388" i="746"/>
  <c r="E389" i="746"/>
  <c r="J32" i="749" s="1"/>
  <c r="E390" i="746"/>
  <c r="E391" i="746"/>
  <c r="E392" i="746"/>
  <c r="E393" i="746"/>
  <c r="E394" i="746"/>
  <c r="E395" i="746"/>
  <c r="E396" i="746"/>
  <c r="E397" i="746"/>
  <c r="E398" i="746"/>
  <c r="E399" i="746"/>
  <c r="E400" i="746"/>
  <c r="E401" i="746"/>
  <c r="E402" i="746"/>
  <c r="E403" i="746"/>
  <c r="E404" i="746"/>
  <c r="J134" i="749" s="1"/>
  <c r="E405" i="746"/>
  <c r="E406" i="746"/>
  <c r="E407" i="746"/>
  <c r="E408" i="746"/>
  <c r="E409" i="746"/>
  <c r="J145" i="749" s="1"/>
  <c r="E410" i="746"/>
  <c r="E411" i="746"/>
  <c r="E412" i="746"/>
  <c r="E413" i="746"/>
  <c r="J17" i="749" s="1"/>
  <c r="E414" i="746"/>
  <c r="E415" i="746"/>
  <c r="E416" i="746"/>
  <c r="E417" i="746"/>
  <c r="E418" i="746"/>
  <c r="E419" i="746"/>
  <c r="J147" i="749" s="1"/>
  <c r="E420" i="746"/>
  <c r="E421" i="746"/>
  <c r="E422" i="746"/>
  <c r="J148" i="749" s="1"/>
  <c r="E423" i="746"/>
  <c r="E424" i="746"/>
  <c r="E425" i="746"/>
  <c r="E426" i="746"/>
  <c r="E427" i="746"/>
  <c r="J96" i="749" s="1"/>
  <c r="E428" i="746"/>
  <c r="E429" i="746"/>
  <c r="E430" i="746"/>
  <c r="E431" i="746"/>
  <c r="J18" i="749" s="1"/>
  <c r="E432" i="746"/>
  <c r="J127" i="749" s="1"/>
  <c r="E433" i="746"/>
  <c r="E434" i="746"/>
  <c r="E435" i="746"/>
  <c r="E436" i="746"/>
  <c r="E437" i="746"/>
  <c r="J35" i="749" s="1"/>
  <c r="E438" i="746"/>
  <c r="E439" i="746"/>
  <c r="E440" i="746"/>
  <c r="E441" i="746"/>
  <c r="E442" i="746"/>
  <c r="E443" i="746"/>
  <c r="E444" i="746"/>
  <c r="E445" i="746"/>
  <c r="E446" i="746"/>
  <c r="E447" i="746"/>
  <c r="E448" i="746"/>
  <c r="E449" i="746"/>
  <c r="E450" i="746"/>
  <c r="E451" i="746"/>
  <c r="E452" i="746"/>
  <c r="E453" i="746"/>
  <c r="J119" i="749" s="1"/>
  <c r="E454" i="746"/>
  <c r="E455" i="746"/>
  <c r="J144" i="749" s="1"/>
  <c r="E456" i="746"/>
  <c r="E457" i="746"/>
  <c r="J164" i="749" s="1"/>
  <c r="E458" i="746"/>
  <c r="E459" i="746"/>
  <c r="E460" i="746"/>
  <c r="E461" i="746"/>
  <c r="E462" i="746"/>
  <c r="E463" i="746"/>
  <c r="E464" i="746"/>
  <c r="E465" i="746"/>
  <c r="E466" i="746"/>
  <c r="E467" i="746"/>
  <c r="E468" i="746"/>
  <c r="E469" i="746"/>
  <c r="J165" i="749" s="1"/>
  <c r="E470" i="746"/>
  <c r="E471" i="746"/>
  <c r="E472" i="746"/>
  <c r="E473" i="746"/>
  <c r="E474" i="746"/>
  <c r="E475" i="746"/>
  <c r="E476" i="746"/>
  <c r="E477" i="746"/>
  <c r="E478" i="746"/>
  <c r="E479" i="746"/>
  <c r="E480" i="746"/>
  <c r="J64" i="749" s="1"/>
  <c r="E481" i="746"/>
  <c r="J76" i="749" s="1"/>
  <c r="E482" i="746"/>
  <c r="E483" i="746"/>
  <c r="E484" i="746"/>
  <c r="E485" i="746"/>
  <c r="E486" i="746"/>
  <c r="E487" i="746"/>
  <c r="E488" i="746"/>
  <c r="J51" i="749" s="1"/>
  <c r="E489" i="746"/>
  <c r="E490" i="746"/>
  <c r="E491" i="746"/>
  <c r="E492" i="746"/>
  <c r="E493" i="746"/>
  <c r="E494" i="746"/>
  <c r="E495" i="746"/>
  <c r="E496" i="746"/>
  <c r="E497" i="746"/>
  <c r="J91" i="749" s="1"/>
  <c r="E498" i="746"/>
  <c r="E499" i="746"/>
  <c r="E500" i="746"/>
  <c r="E501" i="746"/>
  <c r="E502" i="746"/>
  <c r="E503" i="746"/>
  <c r="J63" i="749" s="1"/>
  <c r="E504" i="746"/>
  <c r="J75" i="749" s="1"/>
  <c r="E505" i="746"/>
  <c r="E506" i="746"/>
  <c r="E507" i="746"/>
  <c r="E508" i="746"/>
  <c r="E509" i="746"/>
  <c r="E510" i="746"/>
  <c r="E511" i="746"/>
  <c r="E512" i="746"/>
  <c r="E513" i="746"/>
  <c r="J149" i="749" s="1"/>
  <c r="E514" i="746"/>
  <c r="E515" i="746"/>
  <c r="E516" i="746"/>
  <c r="E517" i="746"/>
  <c r="E518" i="746"/>
  <c r="E519" i="746"/>
  <c r="E520" i="746"/>
  <c r="E521" i="746"/>
  <c r="E522" i="746"/>
  <c r="E523" i="746"/>
  <c r="E524" i="746"/>
  <c r="J62" i="749" s="1"/>
  <c r="E525" i="746"/>
  <c r="J74" i="749" s="1"/>
  <c r="E526" i="746"/>
  <c r="E527" i="746"/>
  <c r="E528" i="746"/>
  <c r="E529" i="746"/>
  <c r="E530" i="746"/>
  <c r="E531" i="746"/>
  <c r="E532" i="746"/>
  <c r="J26" i="749" s="1"/>
  <c r="E533" i="746"/>
  <c r="J28" i="749" s="1"/>
  <c r="E534" i="746"/>
  <c r="E535" i="746"/>
  <c r="E536" i="746"/>
  <c r="E537" i="746"/>
  <c r="E538" i="746"/>
  <c r="E539" i="746"/>
  <c r="E540" i="746"/>
  <c r="E541" i="746"/>
  <c r="E542" i="746"/>
  <c r="E543" i="746"/>
  <c r="E544" i="746"/>
  <c r="E545" i="746"/>
  <c r="E546" i="746"/>
  <c r="J61" i="749" s="1"/>
  <c r="E547" i="746"/>
  <c r="E548" i="746"/>
  <c r="E549" i="746"/>
  <c r="E550" i="746"/>
  <c r="E551" i="746"/>
  <c r="E552" i="746"/>
  <c r="E553" i="746"/>
  <c r="E554" i="746"/>
  <c r="E555" i="746"/>
  <c r="E556" i="746"/>
  <c r="E557" i="746"/>
  <c r="E558" i="746"/>
  <c r="E559" i="746"/>
  <c r="E560" i="746"/>
  <c r="E561" i="746"/>
  <c r="E562" i="746"/>
  <c r="E563" i="746"/>
  <c r="E564" i="746"/>
  <c r="E565" i="746"/>
  <c r="E566" i="746"/>
  <c r="E567" i="746"/>
  <c r="E568" i="746"/>
  <c r="J72" i="749" s="1"/>
  <c r="E569" i="746"/>
  <c r="J55" i="749" s="1"/>
  <c r="E570" i="746"/>
  <c r="E571" i="746"/>
  <c r="E572" i="746"/>
  <c r="E573" i="746"/>
  <c r="E574" i="746"/>
  <c r="E575" i="746"/>
  <c r="E576" i="746"/>
  <c r="E577" i="746"/>
  <c r="E578" i="746"/>
  <c r="E579" i="746"/>
  <c r="E580" i="746"/>
  <c r="E581" i="746"/>
  <c r="E582" i="746"/>
  <c r="E583" i="746"/>
  <c r="E584" i="746"/>
  <c r="E585" i="746"/>
  <c r="E586" i="746"/>
  <c r="J44" i="749" s="1"/>
  <c r="E587" i="746"/>
  <c r="J45" i="749" s="1"/>
  <c r="E588" i="746"/>
  <c r="E589" i="746"/>
  <c r="E590" i="746"/>
  <c r="J59" i="749" s="1"/>
  <c r="E591" i="746"/>
  <c r="E592" i="746"/>
  <c r="E593" i="746"/>
  <c r="E594" i="746"/>
  <c r="E595" i="746"/>
  <c r="E596" i="746"/>
  <c r="E597" i="746"/>
  <c r="E598" i="746"/>
  <c r="E599" i="746"/>
  <c r="E600" i="746"/>
  <c r="E601" i="746"/>
  <c r="E602" i="746"/>
  <c r="E603" i="746"/>
  <c r="E604" i="746"/>
  <c r="E605" i="746"/>
  <c r="E606" i="746"/>
  <c r="E607" i="746"/>
  <c r="E608" i="746"/>
  <c r="E609" i="746"/>
  <c r="E610" i="746"/>
  <c r="J58" i="749" s="1"/>
  <c r="E611" i="746"/>
  <c r="J70" i="749" s="1"/>
  <c r="E612" i="746"/>
  <c r="E613" i="746"/>
  <c r="E614" i="746"/>
  <c r="E615" i="746"/>
  <c r="E616" i="746"/>
  <c r="E617" i="746"/>
  <c r="E618" i="746"/>
  <c r="E619" i="746"/>
  <c r="E620" i="746"/>
  <c r="E621" i="746"/>
  <c r="E622" i="746"/>
  <c r="E623" i="746"/>
  <c r="E624" i="746"/>
  <c r="E625" i="746"/>
  <c r="E626" i="746"/>
  <c r="E627" i="746"/>
  <c r="E628" i="746"/>
  <c r="E629" i="746"/>
  <c r="E630" i="746"/>
  <c r="E631" i="746"/>
  <c r="J69" i="749" s="1"/>
  <c r="E632" i="746"/>
  <c r="E633" i="746"/>
  <c r="E634" i="746"/>
  <c r="E635" i="746"/>
  <c r="E636" i="746"/>
  <c r="E637" i="746"/>
  <c r="E638" i="746"/>
  <c r="E639" i="746"/>
  <c r="E640" i="746"/>
  <c r="E641" i="746"/>
  <c r="E642" i="746"/>
  <c r="E643" i="746"/>
  <c r="E644" i="746"/>
  <c r="E645" i="746"/>
  <c r="E646" i="746"/>
  <c r="E647" i="746"/>
  <c r="E648" i="746"/>
  <c r="E649" i="746"/>
  <c r="E650" i="746"/>
  <c r="E651" i="746"/>
  <c r="J68" i="749" s="1"/>
  <c r="E652" i="746"/>
  <c r="E653" i="746"/>
  <c r="E654" i="746"/>
  <c r="E655" i="746"/>
  <c r="E656" i="746"/>
  <c r="E657" i="746"/>
  <c r="E658" i="746"/>
  <c r="E659" i="746"/>
  <c r="E660" i="746"/>
  <c r="E661" i="746"/>
  <c r="E662" i="746"/>
  <c r="E663" i="746"/>
  <c r="E664" i="746"/>
  <c r="E665" i="746"/>
  <c r="E666" i="746"/>
  <c r="E667" i="746"/>
  <c r="E668" i="746"/>
  <c r="E669" i="746"/>
  <c r="E670" i="746"/>
  <c r="J9" i="749" s="1"/>
  <c r="E671" i="746"/>
  <c r="E672" i="746"/>
  <c r="E673" i="746"/>
  <c r="E674" i="746"/>
  <c r="E675" i="746"/>
  <c r="E2" i="746"/>
  <c r="J154" i="749" s="1"/>
  <c r="G205" i="749"/>
  <c r="G5" i="749"/>
  <c r="G34" i="749"/>
  <c r="G166" i="749"/>
  <c r="G69" i="749"/>
  <c r="G104" i="749"/>
  <c r="G97" i="749"/>
  <c r="G71" i="749"/>
  <c r="G41" i="749"/>
  <c r="G3" i="749"/>
  <c r="G112" i="749"/>
  <c r="G176" i="749"/>
  <c r="G99" i="749"/>
  <c r="G6" i="749"/>
  <c r="G152" i="749"/>
  <c r="G24" i="749"/>
  <c r="G138" i="749"/>
  <c r="G137" i="749"/>
  <c r="G178" i="749"/>
  <c r="G129" i="749"/>
  <c r="G90" i="749"/>
  <c r="G199" i="749"/>
  <c r="G125" i="749"/>
  <c r="G155" i="749"/>
  <c r="G27" i="749"/>
  <c r="G13" i="749"/>
  <c r="G39" i="749"/>
  <c r="G170" i="749"/>
  <c r="G23" i="749"/>
  <c r="G16" i="749"/>
  <c r="G68" i="749"/>
  <c r="G143" i="749"/>
  <c r="G83" i="749"/>
  <c r="G52" i="749"/>
  <c r="G21" i="749"/>
  <c r="G117" i="749"/>
  <c r="G196" i="749"/>
  <c r="G184" i="749"/>
  <c r="G92" i="749"/>
  <c r="G192" i="749"/>
  <c r="G85" i="749"/>
  <c r="G79" i="749"/>
  <c r="G89" i="749"/>
  <c r="G62" i="749"/>
  <c r="G203" i="749"/>
  <c r="G17" i="749"/>
  <c r="G141" i="749"/>
  <c r="G126" i="749"/>
  <c r="G147" i="749"/>
  <c r="G209" i="749"/>
  <c r="G118" i="749"/>
  <c r="G197" i="749"/>
  <c r="G66" i="749"/>
  <c r="G130" i="749"/>
  <c r="G84" i="749"/>
  <c r="G162" i="749"/>
  <c r="G19" i="749"/>
  <c r="G47" i="749"/>
  <c r="G120" i="749"/>
  <c r="G42" i="749"/>
  <c r="G150" i="749"/>
  <c r="G106" i="749"/>
  <c r="G119" i="749"/>
  <c r="G29" i="749"/>
  <c r="G12" i="749"/>
  <c r="G101" i="749"/>
  <c r="G91" i="749"/>
  <c r="G7" i="749"/>
  <c r="G144" i="749"/>
  <c r="G139" i="749"/>
  <c r="G38" i="749"/>
  <c r="G80" i="749"/>
  <c r="G74" i="749"/>
  <c r="G146" i="749"/>
  <c r="G164" i="749"/>
  <c r="G116" i="749"/>
  <c r="G102" i="749"/>
  <c r="G77" i="749"/>
  <c r="G54" i="749"/>
  <c r="G200" i="749"/>
  <c r="G95" i="749"/>
  <c r="G58" i="749"/>
  <c r="G193" i="749"/>
  <c r="G114" i="749"/>
  <c r="G50" i="749"/>
  <c r="G107" i="749"/>
  <c r="G15" i="749"/>
  <c r="G8" i="749"/>
  <c r="G210" i="749"/>
  <c r="G82" i="749"/>
  <c r="G105" i="749"/>
  <c r="G63" i="749"/>
  <c r="G44" i="749"/>
  <c r="G122" i="749"/>
  <c r="G30" i="749"/>
  <c r="G123" i="749"/>
  <c r="G48" i="749"/>
  <c r="G9" i="749"/>
  <c r="G181" i="749"/>
  <c r="G70" i="749"/>
  <c r="G56" i="749"/>
  <c r="G98" i="749"/>
  <c r="G154" i="749"/>
  <c r="G86" i="749"/>
  <c r="G165" i="749"/>
  <c r="G134" i="749"/>
  <c r="G159" i="749"/>
  <c r="G35" i="749"/>
  <c r="G132" i="749"/>
  <c r="G174" i="749"/>
  <c r="G131" i="749"/>
  <c r="G115" i="749"/>
  <c r="G149" i="749"/>
  <c r="G194" i="749"/>
  <c r="G136" i="749"/>
  <c r="G109" i="749"/>
  <c r="G124" i="749"/>
  <c r="G61" i="749"/>
  <c r="G160" i="749"/>
  <c r="G65" i="749"/>
  <c r="G78" i="749"/>
  <c r="G140" i="749"/>
  <c r="G163" i="749"/>
  <c r="G87" i="749"/>
  <c r="G11" i="749"/>
  <c r="G191" i="749"/>
  <c r="G72" i="749"/>
  <c r="G57" i="749"/>
  <c r="G76" i="749"/>
  <c r="G183" i="749"/>
  <c r="G179" i="749"/>
  <c r="G51" i="749"/>
  <c r="G110" i="749"/>
  <c r="G206" i="749"/>
  <c r="G198" i="749"/>
  <c r="G75" i="749"/>
  <c r="G64" i="749"/>
  <c r="G128" i="749"/>
  <c r="G20" i="749"/>
  <c r="G186" i="749"/>
  <c r="G25" i="749"/>
  <c r="G93" i="749"/>
  <c r="G49" i="749"/>
  <c r="G96" i="749"/>
  <c r="G81" i="749"/>
  <c r="G43" i="749"/>
  <c r="G157" i="749"/>
  <c r="G94" i="749"/>
  <c r="G175" i="749"/>
  <c r="G207" i="749"/>
  <c r="G60" i="749"/>
  <c r="G31" i="749"/>
  <c r="G185" i="749"/>
  <c r="G22" i="749"/>
  <c r="G59" i="749"/>
  <c r="G14" i="749"/>
  <c r="G36" i="749"/>
  <c r="G53" i="749"/>
  <c r="G127" i="749"/>
  <c r="G18" i="749"/>
  <c r="G173" i="749"/>
  <c r="G113" i="749"/>
  <c r="G202" i="749"/>
  <c r="G148" i="749"/>
  <c r="G26" i="749"/>
  <c r="G182" i="749"/>
  <c r="G171" i="749"/>
  <c r="G208" i="749"/>
  <c r="G156" i="749"/>
  <c r="G135" i="749"/>
  <c r="G100" i="749"/>
  <c r="G55" i="749"/>
  <c r="G167" i="749"/>
  <c r="G133" i="749"/>
  <c r="G4" i="749"/>
  <c r="G32" i="749"/>
  <c r="G158" i="749"/>
  <c r="G204" i="749"/>
  <c r="G103" i="749"/>
  <c r="G187" i="749"/>
  <c r="G169" i="749"/>
  <c r="G108" i="749"/>
  <c r="G161" i="749"/>
  <c r="G33" i="749"/>
  <c r="G168" i="749"/>
  <c r="G28" i="749"/>
  <c r="G67" i="749"/>
  <c r="G46" i="749"/>
  <c r="G172" i="749"/>
  <c r="G142" i="749"/>
  <c r="G10" i="749"/>
  <c r="G189" i="749"/>
  <c r="G111" i="749"/>
  <c r="G88" i="749"/>
  <c r="G45" i="749"/>
  <c r="G40" i="749"/>
  <c r="G195" i="749"/>
  <c r="G201" i="749"/>
  <c r="G180" i="749"/>
  <c r="G37" i="749"/>
  <c r="G151" i="749"/>
  <c r="G121" i="749"/>
  <c r="G145" i="749"/>
  <c r="G153" i="749"/>
  <c r="G188" i="749"/>
  <c r="G73" i="749"/>
  <c r="J136" i="749" l="1"/>
  <c r="J95" i="749"/>
</calcChain>
</file>

<file path=xl/sharedStrings.xml><?xml version="1.0" encoding="utf-8"?>
<sst xmlns="http://schemas.openxmlformats.org/spreadsheetml/2006/main" count="2684" uniqueCount="1491">
  <si>
    <t>H</t>
  </si>
  <si>
    <t>name</t>
  </si>
  <si>
    <t>rgb</t>
  </si>
  <si>
    <t>b</t>
  </si>
  <si>
    <t>r</t>
  </si>
  <si>
    <t>g</t>
  </si>
  <si>
    <t>V</t>
  </si>
  <si>
    <t>DD</t>
  </si>
  <si>
    <t>CE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</si>
  <si>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</si>
  <si>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</si>
  <si>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</si>
  <si>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</si>
  <si>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</si>
  <si>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</si>
  <si>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</si>
  <si>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</si>
  <si>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</si>
  <si>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</si>
  <si>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</si>
  <si>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</si>
  <si>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p1</t>
  </si>
  <si>
    <t>p2</t>
  </si>
  <si>
    <t>angle</t>
  </si>
  <si>
    <t>Red</t>
  </si>
  <si>
    <t>hex</t>
  </si>
  <si>
    <t>sample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</si>
  <si>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</si>
  <si>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</si>
  <si>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</si>
  <si>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</si>
  <si>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</si>
  <si>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</si>
  <si>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</si>
  <si>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</si>
  <si>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</si>
  <si>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</si>
  <si>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</si>
  <si>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</si>
  <si>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</si>
  <si>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</si>
  <si>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</si>
  <si>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</si>
  <si>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</si>
  <si>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</si>
  <si>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</si>
  <si>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</si>
  <si>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</si>
  <si>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</si>
  <si>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</si>
  <si>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</si>
  <si>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</si>
  <si>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</si>
  <si>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</si>
  <si>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</si>
  <si>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</si>
  <si>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</si>
  <si>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</si>
  <si>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</si>
  <si>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</si>
  <si>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</si>
  <si>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</si>
  <si>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</si>
  <si>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</si>
  <si>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</si>
  <si>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</si>
  <si>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</si>
  <si>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</si>
  <si>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</si>
  <si>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</si>
  <si>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</si>
  <si>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</si>
  <si>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</si>
  <si>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</si>
  <si>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</si>
  <si>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</si>
  <si>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</si>
  <si>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</si>
  <si>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</si>
  <si>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</si>
  <si>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</si>
  <si>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</si>
  <si>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</si>
  <si>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</si>
  <si>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</si>
  <si>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</si>
  <si>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</si>
  <si>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</si>
  <si>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</si>
  <si>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</si>
  <si>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</si>
  <si>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</si>
  <si>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</si>
  <si>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</si>
  <si>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</si>
  <si>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</si>
  <si>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</si>
  <si>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</si>
  <si>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</si>
  <si>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</si>
  <si>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</si>
  <si>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</si>
  <si>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</si>
  <si>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</si>
  <si>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</si>
  <si>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</si>
  <si>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</si>
  <si>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</si>
  <si>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</si>
  <si>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</si>
  <si>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</si>
  <si>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</si>
  <si>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</si>
  <si>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</si>
  <si>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</si>
  <si>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</si>
  <si>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</si>
  <si>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</si>
  <si>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</si>
  <si>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</si>
  <si>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</si>
  <si>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</si>
  <si>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</si>
  <si>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</si>
  <si>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</si>
  <si>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</si>
  <si>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</si>
  <si>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</si>
  <si>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</si>
  <si>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</si>
  <si>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</si>
  <si>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</si>
  <si>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</si>
  <si>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</si>
  <si>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</si>
  <si>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</si>
  <si>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</si>
  <si>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</si>
  <si>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</si>
  <si>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</si>
  <si>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</si>
  <si>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</si>
  <si>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</si>
  <si>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</si>
  <si>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</si>
  <si>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</si>
  <si>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</si>
  <si>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</si>
  <si>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</si>
  <si>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</si>
  <si>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</si>
  <si>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</si>
  <si>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</si>
  <si>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</si>
  <si>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</si>
  <si>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</si>
  <si>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</si>
  <si>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</si>
  <si>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</si>
  <si>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</si>
  <si>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</si>
  <si>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</si>
  <si>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</si>
  <si>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</si>
  <si>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</si>
  <si>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</si>
  <si>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</si>
  <si>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</si>
  <si>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</si>
  <si>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</si>
  <si>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</si>
  <si>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</si>
  <si>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</si>
  <si>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</si>
  <si>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</si>
  <si>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</si>
  <si>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</si>
  <si>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</si>
  <si>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</si>
  <si>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</si>
  <si>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</si>
  <si>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</si>
  <si>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</si>
  <si>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</si>
  <si>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</si>
  <si>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</si>
  <si>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</si>
  <si>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</si>
  <si>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</si>
  <si>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</si>
  <si>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</si>
  <si>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DarkPink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</si>
  <si>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</si>
  <si>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</si>
  <si>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</si>
  <si>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</si>
  <si>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</si>
  <si>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</si>
  <si>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</si>
  <si>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</si>
  <si>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</si>
  <si>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</si>
  <si>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</si>
  <si>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</si>
  <si>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</si>
  <si>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</si>
  <si>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</si>
  <si>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</si>
  <si>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</si>
  <si>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</si>
  <si>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</si>
  <si>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</si>
  <si>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</si>
  <si>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</si>
  <si>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</si>
  <si>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</si>
  <si>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</si>
  <si>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</si>
  <si>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</si>
  <si>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</si>
  <si>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</si>
  <si>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</si>
  <si>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</si>
  <si>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</si>
  <si>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</si>
  <si>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</si>
  <si>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</si>
  <si>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</si>
  <si>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</si>
  <si>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</si>
  <si>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</si>
  <si>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</si>
  <si>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</si>
  <si>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mso name</t>
  </si>
  <si>
    <t>shape</t>
  </si>
  <si>
    <t>param1</t>
  </si>
  <si>
    <t>param2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</si>
  <si>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</si>
  <si>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</si>
  <si>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</si>
  <si>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</si>
  <si>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</si>
  <si>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</si>
  <si>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</si>
  <si>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</si>
  <si>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</si>
  <si>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</si>
  <si>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</si>
  <si>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</si>
  <si>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</si>
  <si>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</si>
  <si>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</si>
  <si>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</si>
  <si>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</si>
  <si>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</si>
  <si>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</si>
  <si>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</si>
  <si>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</si>
  <si>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</si>
  <si>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</si>
  <si>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</si>
  <si>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</si>
  <si>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</si>
  <si>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</si>
  <si>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</si>
  <si>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</si>
  <si>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</si>
  <si>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</si>
  <si>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</si>
  <si>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</si>
  <si>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</si>
  <si>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</si>
  <si>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</si>
  <si>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</si>
  <si>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</si>
  <si>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</si>
  <si>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</si>
  <si>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</si>
  <si>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square</t>
  </si>
  <si>
    <t>F0F8FF</t>
  </si>
  <si>
    <t>FF7300</t>
  </si>
  <si>
    <t>00FF7F</t>
  </si>
  <si>
    <t>Hex</t>
  </si>
  <si>
    <t>snow</t>
  </si>
  <si>
    <t>#FFFAFA</t>
  </si>
  <si>
    <t>snow1</t>
  </si>
  <si>
    <t>snow2</t>
  </si>
  <si>
    <t>#EEE9E9</t>
  </si>
  <si>
    <t>RosyBrown1</t>
  </si>
  <si>
    <t>#FFC1C1</t>
  </si>
  <si>
    <t>RosyBrown2</t>
  </si>
  <si>
    <t>#EEB4B4</t>
  </si>
  <si>
    <t>snow3</t>
  </si>
  <si>
    <t>#CDC9C9</t>
  </si>
  <si>
    <t>#F08080</t>
  </si>
  <si>
    <t>IndianRed1</t>
  </si>
  <si>
    <t>#FF6A6A</t>
  </si>
  <si>
    <t>RosyBrown3</t>
  </si>
  <si>
    <t>#CD9B9B</t>
  </si>
  <si>
    <t>IndianRed2</t>
  </si>
  <si>
    <t>#EE6363</t>
  </si>
  <si>
    <t>#BC8F8F</t>
  </si>
  <si>
    <t>brown1</t>
  </si>
  <si>
    <t>#FF4040</t>
  </si>
  <si>
    <t>firebrick1</t>
  </si>
  <si>
    <t>#FF3030</t>
  </si>
  <si>
    <t>brown2</t>
  </si>
  <si>
    <t>#EE3B3B</t>
  </si>
  <si>
    <t>#CD5C5C</t>
  </si>
  <si>
    <t>IndianRed3</t>
  </si>
  <si>
    <t>#CD5555</t>
  </si>
  <si>
    <t>firebrick2</t>
  </si>
  <si>
    <t>#EE2C2C</t>
  </si>
  <si>
    <t>snow4</t>
  </si>
  <si>
    <t>#8B8989</t>
  </si>
  <si>
    <t>brown3</t>
  </si>
  <si>
    <t>#CD3333</t>
  </si>
  <si>
    <t>red</t>
  </si>
  <si>
    <t>#FF0000</t>
  </si>
  <si>
    <t>red1</t>
  </si>
  <si>
    <t>RosyBrown4</t>
  </si>
  <si>
    <t>#8B6969</t>
  </si>
  <si>
    <t>firebrick3</t>
  </si>
  <si>
    <t>#CD2626</t>
  </si>
  <si>
    <t>red2</t>
  </si>
  <si>
    <t>#EE0000</t>
  </si>
  <si>
    <t>firebrick</t>
  </si>
  <si>
    <t>#B22222</t>
  </si>
  <si>
    <t>brown</t>
  </si>
  <si>
    <t>#A52A2A</t>
  </si>
  <si>
    <t>red3</t>
  </si>
  <si>
    <t>#CD0000</t>
  </si>
  <si>
    <t>IndianRed4</t>
  </si>
  <si>
    <t>#8B3A3A</t>
  </si>
  <si>
    <t>brown4</t>
  </si>
  <si>
    <t>#8B2323</t>
  </si>
  <si>
    <t>firebrick4</t>
  </si>
  <si>
    <t>#8B1A1A</t>
  </si>
  <si>
    <t>#8B0000</t>
  </si>
  <si>
    <t>red4</t>
  </si>
  <si>
    <t>#800000</t>
  </si>
  <si>
    <t>LightPink1</t>
  </si>
  <si>
    <t>#FFAEB9</t>
  </si>
  <si>
    <t>LightPink3</t>
  </si>
  <si>
    <t>#CD8C95</t>
  </si>
  <si>
    <t>LightPink4</t>
  </si>
  <si>
    <t>#8B5F65</t>
  </si>
  <si>
    <t>LightPink2</t>
  </si>
  <si>
    <t>#EEA2AD</t>
  </si>
  <si>
    <t>#FFB6C1</t>
  </si>
  <si>
    <t>pink</t>
  </si>
  <si>
    <t>#FFC0CB</t>
  </si>
  <si>
    <t>crimson</t>
  </si>
  <si>
    <t>#DC143C</t>
  </si>
  <si>
    <t>pink1</t>
  </si>
  <si>
    <t>#FFB5C5</t>
  </si>
  <si>
    <t>pink2</t>
  </si>
  <si>
    <t>#EEA9B8</t>
  </si>
  <si>
    <t>pink3</t>
  </si>
  <si>
    <t>#CD919E</t>
  </si>
  <si>
    <t>pink4</t>
  </si>
  <si>
    <t>#8B636C</t>
  </si>
  <si>
    <t>PaleVioletRed4</t>
  </si>
  <si>
    <t>#8B475D</t>
  </si>
  <si>
    <t>#DB7093</t>
  </si>
  <si>
    <t>PaleVioletRed2</t>
  </si>
  <si>
    <t>#EE799F</t>
  </si>
  <si>
    <t>PaleVioletRed1</t>
  </si>
  <si>
    <t>#FF82AB</t>
  </si>
  <si>
    <t>PaleVioletRed3</t>
  </si>
  <si>
    <t>#CD6889</t>
  </si>
  <si>
    <t>#FFF0F5</t>
  </si>
  <si>
    <t>LavenderBlush1</t>
  </si>
  <si>
    <t>LavenderBlush3</t>
  </si>
  <si>
    <t>#CDC1C5</t>
  </si>
  <si>
    <t>LavenderBlush2</t>
  </si>
  <si>
    <t>#EEE0E5</t>
  </si>
  <si>
    <t>LavenderBlush4</t>
  </si>
  <si>
    <t>#8B8386</t>
  </si>
  <si>
    <t>#B03060</t>
  </si>
  <si>
    <t>HotPink3</t>
  </si>
  <si>
    <t>#CD6090</t>
  </si>
  <si>
    <t>VioletRed3</t>
  </si>
  <si>
    <t>#CD3278</t>
  </si>
  <si>
    <t>VioletRed1</t>
  </si>
  <si>
    <t>#FF3E96</t>
  </si>
  <si>
    <t>VioletRed2</t>
  </si>
  <si>
    <t>#EE3A8C</t>
  </si>
  <si>
    <t>VioletRed4</t>
  </si>
  <si>
    <t>#8B2252</t>
  </si>
  <si>
    <t>HotPink2</t>
  </si>
  <si>
    <t>#EE6AA7</t>
  </si>
  <si>
    <t>HotPink1</t>
  </si>
  <si>
    <t>#FF6EB4</t>
  </si>
  <si>
    <t>HotPink4</t>
  </si>
  <si>
    <t>#8B3A62</t>
  </si>
  <si>
    <t>#FF69B4</t>
  </si>
  <si>
    <t>#FF1493</t>
  </si>
  <si>
    <t>DeepPink1</t>
  </si>
  <si>
    <t>DeepPink2</t>
  </si>
  <si>
    <t>#EE1289</t>
  </si>
  <si>
    <t>DeepPink3</t>
  </si>
  <si>
    <t>#CD1076</t>
  </si>
  <si>
    <t>DeepPink4</t>
  </si>
  <si>
    <t>#8B0A50</t>
  </si>
  <si>
    <t>maroon1</t>
  </si>
  <si>
    <t>#FF34B3</t>
  </si>
  <si>
    <t>maroon2</t>
  </si>
  <si>
    <t>#EE30A7</t>
  </si>
  <si>
    <t>maroon3</t>
  </si>
  <si>
    <t>#CD2990</t>
  </si>
  <si>
    <t>maroon4</t>
  </si>
  <si>
    <t>#8B1C62</t>
  </si>
  <si>
    <t>#C71585</t>
  </si>
  <si>
    <t>VioletRed</t>
  </si>
  <si>
    <t>#D02090</t>
  </si>
  <si>
    <t>orchid2</t>
  </si>
  <si>
    <t>#EE7AE9</t>
  </si>
  <si>
    <t>orchid</t>
  </si>
  <si>
    <t>#DA70D6</t>
  </si>
  <si>
    <t>orchid1</t>
  </si>
  <si>
    <t>#FF83FA</t>
  </si>
  <si>
    <t>orchid3</t>
  </si>
  <si>
    <t>#CD69C9</t>
  </si>
  <si>
    <t>orchid4</t>
  </si>
  <si>
    <t>#8B4789</t>
  </si>
  <si>
    <t>thistle1</t>
  </si>
  <si>
    <t>#FFE1FF</t>
  </si>
  <si>
    <t>thistle2</t>
  </si>
  <si>
    <t>#EED2EE</t>
  </si>
  <si>
    <t>plum1</t>
  </si>
  <si>
    <t>#FFBBFF</t>
  </si>
  <si>
    <t>plum2</t>
  </si>
  <si>
    <t>#EEAEEE</t>
  </si>
  <si>
    <t>thistle</t>
  </si>
  <si>
    <t>#D8BFD8</t>
  </si>
  <si>
    <t>thistle3</t>
  </si>
  <si>
    <t>#CDB5CD</t>
  </si>
  <si>
    <t>plum</t>
  </si>
  <si>
    <t>#DDA0DD</t>
  </si>
  <si>
    <t>violet</t>
  </si>
  <si>
    <t>#EE82EE</t>
  </si>
  <si>
    <t>plum3</t>
  </si>
  <si>
    <t>#CD96CD</t>
  </si>
  <si>
    <t>thistle4</t>
  </si>
  <si>
    <t>#8B7B8B</t>
  </si>
  <si>
    <t>fuchsia</t>
  </si>
  <si>
    <t>#FF00FF</t>
  </si>
  <si>
    <t>magenta</t>
  </si>
  <si>
    <t>magenta1</t>
  </si>
  <si>
    <t>plum4</t>
  </si>
  <si>
    <t>#8B668B</t>
  </si>
  <si>
    <t>magenta2</t>
  </si>
  <si>
    <t>#EE00EE</t>
  </si>
  <si>
    <t>magenta3</t>
  </si>
  <si>
    <t>#CD00CD</t>
  </si>
  <si>
    <t>#8B008B</t>
  </si>
  <si>
    <t>magenta4</t>
  </si>
  <si>
    <t>#800080</t>
  </si>
  <si>
    <t>#BA55D3</t>
  </si>
  <si>
    <t>MediumOrchid1</t>
  </si>
  <si>
    <t>#E066FF</t>
  </si>
  <si>
    <t>MediumOrchid2</t>
  </si>
  <si>
    <t>#D15FEE</t>
  </si>
  <si>
    <t>MediumOrchid3</t>
  </si>
  <si>
    <t>#B452CD</t>
  </si>
  <si>
    <t>MediumOrchid4</t>
  </si>
  <si>
    <t>#7A378B</t>
  </si>
  <si>
    <t>#9400D3</t>
  </si>
  <si>
    <t>#9932CC</t>
  </si>
  <si>
    <t>DarkOrchid1</t>
  </si>
  <si>
    <t>#BF3EFF</t>
  </si>
  <si>
    <t>DarkOrchid3</t>
  </si>
  <si>
    <t>#9A32CD</t>
  </si>
  <si>
    <t>DarkOrchid2</t>
  </si>
  <si>
    <t>#B23AEE</t>
  </si>
  <si>
    <t>DarkOrchid4</t>
  </si>
  <si>
    <t>#68228B</t>
  </si>
  <si>
    <t>#A020F0</t>
  </si>
  <si>
    <t>indigo</t>
  </si>
  <si>
    <t>#4B0082</t>
  </si>
  <si>
    <t>#8A2BE2</t>
  </si>
  <si>
    <t>purple2</t>
  </si>
  <si>
    <t>#912CEE</t>
  </si>
  <si>
    <t>purple3</t>
  </si>
  <si>
    <t>#7D26CD</t>
  </si>
  <si>
    <t>purple4</t>
  </si>
  <si>
    <t>#551A8B</t>
  </si>
  <si>
    <t>purple1</t>
  </si>
  <si>
    <t>#9B30FF</t>
  </si>
  <si>
    <t>#9370DB</t>
  </si>
  <si>
    <t>MediumPurple1</t>
  </si>
  <si>
    <t>#AB82FF</t>
  </si>
  <si>
    <t>MediumPurple2</t>
  </si>
  <si>
    <t>#9F79EE</t>
  </si>
  <si>
    <t>MediumPurple3</t>
  </si>
  <si>
    <t>#8968CD</t>
  </si>
  <si>
    <t>MediumPurple4</t>
  </si>
  <si>
    <t>#5D478B</t>
  </si>
  <si>
    <t>#483D8B</t>
  </si>
  <si>
    <t>LightSlateBlue</t>
  </si>
  <si>
    <t>#8470FF</t>
  </si>
  <si>
    <t>#7B68EE</t>
  </si>
  <si>
    <t>#6A5ACD</t>
  </si>
  <si>
    <t>SlateBlue1</t>
  </si>
  <si>
    <t>#836FFF</t>
  </si>
  <si>
    <t>SlateBlue2</t>
  </si>
  <si>
    <t>#7A67EE</t>
  </si>
  <si>
    <t>SlateBlue3</t>
  </si>
  <si>
    <t>#6959CD</t>
  </si>
  <si>
    <t>SlateBlue4</t>
  </si>
  <si>
    <t>#473C8B</t>
  </si>
  <si>
    <t>#F8F8FF</t>
  </si>
  <si>
    <t>lavender</t>
  </si>
  <si>
    <t>#E6E6FA</t>
  </si>
  <si>
    <t>blue</t>
  </si>
  <si>
    <t>#0000FF</t>
  </si>
  <si>
    <t>blue1</t>
  </si>
  <si>
    <t>blue2</t>
  </si>
  <si>
    <t>#0000EE</t>
  </si>
  <si>
    <t>blue3</t>
  </si>
  <si>
    <t>#0000CD</t>
  </si>
  <si>
    <t>blue4</t>
  </si>
  <si>
    <t>#00008B</t>
  </si>
  <si>
    <t>#191970</t>
  </si>
  <si>
    <t>navy</t>
  </si>
  <si>
    <t>#000080</t>
  </si>
  <si>
    <t>NavyBlue</t>
  </si>
  <si>
    <t>#4169E1</t>
  </si>
  <si>
    <t>RoyalBlue1</t>
  </si>
  <si>
    <t>#4876FF</t>
  </si>
  <si>
    <t>RoyalBlue2</t>
  </si>
  <si>
    <t>#436EEE</t>
  </si>
  <si>
    <t>RoyalBlue3</t>
  </si>
  <si>
    <t>#3A5FCD</t>
  </si>
  <si>
    <t>RoyalBlue4</t>
  </si>
  <si>
    <t>#27408B</t>
  </si>
  <si>
    <t>#6495ED</t>
  </si>
  <si>
    <t>#B0C4DE</t>
  </si>
  <si>
    <t>LightSteelBlue1</t>
  </si>
  <si>
    <t>#CAE1FF</t>
  </si>
  <si>
    <t>LightSteelBlue2</t>
  </si>
  <si>
    <t>#BCD2EE</t>
  </si>
  <si>
    <t>LightSteelBlue3</t>
  </si>
  <si>
    <t>#A2B5CD</t>
  </si>
  <si>
    <t>LightSteelBlue4</t>
  </si>
  <si>
    <t>#6E7B8B</t>
  </si>
  <si>
    <t>SlateGray4</t>
  </si>
  <si>
    <t>#6C7B8B</t>
  </si>
  <si>
    <t>SlateGray1</t>
  </si>
  <si>
    <t>#C6E2FF</t>
  </si>
  <si>
    <t>SlateGray2</t>
  </si>
  <si>
    <t>#B9D3EE</t>
  </si>
  <si>
    <t>SlateGray3</t>
  </si>
  <si>
    <t>#9FB6CD</t>
  </si>
  <si>
    <t>#778899</t>
  </si>
  <si>
    <t>#708090</t>
  </si>
  <si>
    <t>#1E90FF</t>
  </si>
  <si>
    <t>DodgerBlue1</t>
  </si>
  <si>
    <t>DodgerBlue2</t>
  </si>
  <si>
    <t>#1C86EE</t>
  </si>
  <si>
    <t>DodgerBlue4</t>
  </si>
  <si>
    <t>#104E8B</t>
  </si>
  <si>
    <t>DodgerBlue3</t>
  </si>
  <si>
    <t>#1874CD</t>
  </si>
  <si>
    <t>#F0F8FF</t>
  </si>
  <si>
    <t>SteelBlue4</t>
  </si>
  <si>
    <t>#36648B</t>
  </si>
  <si>
    <t>#4682B4</t>
  </si>
  <si>
    <t>SteelBlue1</t>
  </si>
  <si>
    <t>#63B8FF</t>
  </si>
  <si>
    <t>SteelBlue2</t>
  </si>
  <si>
    <t>#5CACEE</t>
  </si>
  <si>
    <t>SteelBlue3</t>
  </si>
  <si>
    <t>#4F94CD</t>
  </si>
  <si>
    <t>SkyBlue4</t>
  </si>
  <si>
    <t>#4A708B</t>
  </si>
  <si>
    <t>SkyBlue1</t>
  </si>
  <si>
    <t>#87CEFF</t>
  </si>
  <si>
    <t>SkyBlue2</t>
  </si>
  <si>
    <t>#7EC0EE</t>
  </si>
  <si>
    <t>SkyBlue3</t>
  </si>
  <si>
    <t>#6CA6CD</t>
  </si>
  <si>
    <t>#87CEFA</t>
  </si>
  <si>
    <t>LightSkyBlue4</t>
  </si>
  <si>
    <t>#607B8B</t>
  </si>
  <si>
    <t>LightSkyBlue1</t>
  </si>
  <si>
    <t>#B0E2FF</t>
  </si>
  <si>
    <t>LightSkyBlue2</t>
  </si>
  <si>
    <t>#A4D3EE</t>
  </si>
  <si>
    <t>LightSkyBlue3</t>
  </si>
  <si>
    <t>#8DB6CD</t>
  </si>
  <si>
    <t>#87CEEB</t>
  </si>
  <si>
    <t>LightBlue3</t>
  </si>
  <si>
    <t>#9AC0CD</t>
  </si>
  <si>
    <t>#00BFFF</t>
  </si>
  <si>
    <t>DeepSkyBlue1</t>
  </si>
  <si>
    <t>DeepSkyBlue2</t>
  </si>
  <si>
    <t>#00B2EE</t>
  </si>
  <si>
    <t>DeepSkyBlue4</t>
  </si>
  <si>
    <t>#00688B</t>
  </si>
  <si>
    <t>DeepSkyBlue3</t>
  </si>
  <si>
    <t>#009ACD</t>
  </si>
  <si>
    <t>LightBlue1</t>
  </si>
  <si>
    <t>#BFEFFF</t>
  </si>
  <si>
    <t>LightBlue2</t>
  </si>
  <si>
    <t>#B2DFEE</t>
  </si>
  <si>
    <t>#ADD8E6</t>
  </si>
  <si>
    <t>LightBlue4</t>
  </si>
  <si>
    <t>#68838B</t>
  </si>
  <si>
    <t>#B0E0E6</t>
  </si>
  <si>
    <t>CadetBlue1</t>
  </si>
  <si>
    <t>#98F5FF</t>
  </si>
  <si>
    <t>CadetBlue2</t>
  </si>
  <si>
    <t>#8EE5EE</t>
  </si>
  <si>
    <t>CadetBlue3</t>
  </si>
  <si>
    <t>#7AC5CD</t>
  </si>
  <si>
    <t>CadetBlue4</t>
  </si>
  <si>
    <t>#53868B</t>
  </si>
  <si>
    <t>turquoise1</t>
  </si>
  <si>
    <t>#00F5FF</t>
  </si>
  <si>
    <t>turquoise2</t>
  </si>
  <si>
    <t>#00E5EE</t>
  </si>
  <si>
    <t>turquoise3</t>
  </si>
  <si>
    <t>#00C5CD</t>
  </si>
  <si>
    <t>turquoise4</t>
  </si>
  <si>
    <t>#00868B</t>
  </si>
  <si>
    <t>cadet blue</t>
  </si>
  <si>
    <t>#5F9EA0</t>
  </si>
  <si>
    <t>#00CED1</t>
  </si>
  <si>
    <t>azure</t>
  </si>
  <si>
    <t>#F0FFFF</t>
  </si>
  <si>
    <t>azure1</t>
  </si>
  <si>
    <t>#E0FFFF</t>
  </si>
  <si>
    <t>LightCyan1</t>
  </si>
  <si>
    <t>azure2</t>
  </si>
  <si>
    <t>#E0EEEE</t>
  </si>
  <si>
    <t>LightCyan2</t>
  </si>
  <si>
    <t>#D1EEEE</t>
  </si>
  <si>
    <t>PaleTurquoise1</t>
  </si>
  <si>
    <t>#BBFFFF</t>
  </si>
  <si>
    <t>#AFEEEE</t>
  </si>
  <si>
    <t>PaleTurquoise2</t>
  </si>
  <si>
    <t>#AEEEEE</t>
  </si>
  <si>
    <t>DarkSlateGray1</t>
  </si>
  <si>
    <t>#97FFFF</t>
  </si>
  <si>
    <t>azure3</t>
  </si>
  <si>
    <t>#C1CDCD</t>
  </si>
  <si>
    <t>LightCyan3</t>
  </si>
  <si>
    <t>#B4CDCD</t>
  </si>
  <si>
    <t>DarkSlateGray2</t>
  </si>
  <si>
    <t>#8DEEEE</t>
  </si>
  <si>
    <t>PaleTurquoise3</t>
  </si>
  <si>
    <t>#96CDCD</t>
  </si>
  <si>
    <t>DarkSlateGray3</t>
  </si>
  <si>
    <t>#79CDCD</t>
  </si>
  <si>
    <t>azure4</t>
  </si>
  <si>
    <t>#838B8B</t>
  </si>
  <si>
    <t>LightCyan4</t>
  </si>
  <si>
    <t>#7A8B8B</t>
  </si>
  <si>
    <t>aqua</t>
  </si>
  <si>
    <t>#00FFFF</t>
  </si>
  <si>
    <t>cyan</t>
  </si>
  <si>
    <t>cyan1</t>
  </si>
  <si>
    <t>PaleTurquoise4</t>
  </si>
  <si>
    <t>#668B8B</t>
  </si>
  <si>
    <t>cyan2</t>
  </si>
  <si>
    <t>#00EEEE</t>
  </si>
  <si>
    <t>DarkSlateGray4</t>
  </si>
  <si>
    <t>#528B8B</t>
  </si>
  <si>
    <t>cyan3</t>
  </si>
  <si>
    <t>#00CDCD</t>
  </si>
  <si>
    <t>cyan4</t>
  </si>
  <si>
    <t>#008B8B</t>
  </si>
  <si>
    <t>teal</t>
  </si>
  <si>
    <t>#008080</t>
  </si>
  <si>
    <t>#2F4F4F</t>
  </si>
  <si>
    <t>#48D1CC</t>
  </si>
  <si>
    <t>#20B2AA</t>
  </si>
  <si>
    <t>turquoise</t>
  </si>
  <si>
    <t>#40E0D0</t>
  </si>
  <si>
    <t>aquamarine4</t>
  </si>
  <si>
    <t>#458B74</t>
  </si>
  <si>
    <t>aquamarine</t>
  </si>
  <si>
    <t>#7FFFD4</t>
  </si>
  <si>
    <t>aquamarine1</t>
  </si>
  <si>
    <t>aquamarine2</t>
  </si>
  <si>
    <t>#76EEC6</t>
  </si>
  <si>
    <t>aquamarine3</t>
  </si>
  <si>
    <t>#66CDAA</t>
  </si>
  <si>
    <t>#00FA9A</t>
  </si>
  <si>
    <t>#F5FFFA</t>
  </si>
  <si>
    <t>#00FF7F</t>
  </si>
  <si>
    <t>SpringGreen1</t>
  </si>
  <si>
    <t>SpringGreen2</t>
  </si>
  <si>
    <t>#00EE76</t>
  </si>
  <si>
    <t>SpringGreen3</t>
  </si>
  <si>
    <t>#00CD66</t>
  </si>
  <si>
    <t>SpringGreen4</t>
  </si>
  <si>
    <t>#008B45</t>
  </si>
  <si>
    <t>#3CB371</t>
  </si>
  <si>
    <t>#2E8B57</t>
  </si>
  <si>
    <t>SeaGreen3</t>
  </si>
  <si>
    <t>#43CD80</t>
  </si>
  <si>
    <t>SeaGreen1</t>
  </si>
  <si>
    <t>#54FF9F</t>
  </si>
  <si>
    <t>SeaGreen4</t>
  </si>
  <si>
    <t>SeaGreen2</t>
  </si>
  <si>
    <t>#4EEE94</t>
  </si>
  <si>
    <t>MediumForestGreen</t>
  </si>
  <si>
    <t>#32814B</t>
  </si>
  <si>
    <t>honeydew</t>
  </si>
  <si>
    <t>#F0FFF0</t>
  </si>
  <si>
    <t>honeydew1</t>
  </si>
  <si>
    <t>honeydew2</t>
  </si>
  <si>
    <t>#E0EEE0</t>
  </si>
  <si>
    <t>DarkSeaGreen1</t>
  </si>
  <si>
    <t>#C1FFC1</t>
  </si>
  <si>
    <t>DarkSeaGreen2</t>
  </si>
  <si>
    <t>#B4EEB4</t>
  </si>
  <si>
    <t>PaleGreen1</t>
  </si>
  <si>
    <t>#9AFF9A</t>
  </si>
  <si>
    <t>#98FB98</t>
  </si>
  <si>
    <t>honeydew3</t>
  </si>
  <si>
    <t>#C1CDC1</t>
  </si>
  <si>
    <t>#90EE90</t>
  </si>
  <si>
    <t>PaleGreen2</t>
  </si>
  <si>
    <t>DarkSeaGreen3</t>
  </si>
  <si>
    <t>#9BCD9B</t>
  </si>
  <si>
    <t>#8FBC8F</t>
  </si>
  <si>
    <t>PaleGreen3</t>
  </si>
  <si>
    <t>#7CCD7C</t>
  </si>
  <si>
    <t>honeydew4</t>
  </si>
  <si>
    <t>#838B83</t>
  </si>
  <si>
    <t>green1</t>
  </si>
  <si>
    <t>#00FF00</t>
  </si>
  <si>
    <t>lime</t>
  </si>
  <si>
    <t>#32CD32</t>
  </si>
  <si>
    <t>DarkSeaGreen4</t>
  </si>
  <si>
    <t>#698B69</t>
  </si>
  <si>
    <t>green2</t>
  </si>
  <si>
    <t>#00EE00</t>
  </si>
  <si>
    <t>PaleGreen4</t>
  </si>
  <si>
    <t>#548B54</t>
  </si>
  <si>
    <t>green3</t>
  </si>
  <si>
    <t>#00CD00</t>
  </si>
  <si>
    <t>#228B22</t>
  </si>
  <si>
    <t>green4</t>
  </si>
  <si>
    <t>#008B00</t>
  </si>
  <si>
    <t>green</t>
  </si>
  <si>
    <t>#008000</t>
  </si>
  <si>
    <t>#006400</t>
  </si>
  <si>
    <t>#7CFC00</t>
  </si>
  <si>
    <t>chartreuse</t>
  </si>
  <si>
    <t>#7FFF00</t>
  </si>
  <si>
    <t>chartreuse1</t>
  </si>
  <si>
    <t>chartreuse2</t>
  </si>
  <si>
    <t>#76EE00</t>
  </si>
  <si>
    <t>chartreuse3</t>
  </si>
  <si>
    <t>#66CD00</t>
  </si>
  <si>
    <t>chartreuse4</t>
  </si>
  <si>
    <t>#458B00</t>
  </si>
  <si>
    <t>#ADFF2F</t>
  </si>
  <si>
    <t>DarkOliveGreen3</t>
  </si>
  <si>
    <t>#A2CD5A</t>
  </si>
  <si>
    <t>DarkOliveGreen1</t>
  </si>
  <si>
    <t>#CAFF70</t>
  </si>
  <si>
    <t>DarkOliveGreen2</t>
  </si>
  <si>
    <t>#BCEE68</t>
  </si>
  <si>
    <t>DarkOliveGreen4</t>
  </si>
  <si>
    <t>#6E8B3D</t>
  </si>
  <si>
    <t>#556B2F</t>
  </si>
  <si>
    <t>#6B8E23</t>
  </si>
  <si>
    <t>OliveDrab1</t>
  </si>
  <si>
    <t>#C0FF3E</t>
  </si>
  <si>
    <t>OliveDrab2</t>
  </si>
  <si>
    <t>#B3EE3A</t>
  </si>
  <si>
    <t>OliveDrab3</t>
  </si>
  <si>
    <t>#9ACD32</t>
  </si>
  <si>
    <t>OliveDrab4</t>
  </si>
  <si>
    <t>#698B22</t>
  </si>
  <si>
    <t>ivory</t>
  </si>
  <si>
    <t>#FFFFF0</t>
  </si>
  <si>
    <t>ivory1</t>
  </si>
  <si>
    <t>#FFFFE0</t>
  </si>
  <si>
    <t>LightYellow1</t>
  </si>
  <si>
    <t>beige</t>
  </si>
  <si>
    <t>#F5F5DC</t>
  </si>
  <si>
    <t>ivory2</t>
  </si>
  <si>
    <t>#EEEEE0</t>
  </si>
  <si>
    <t>#FAFAD2</t>
  </si>
  <si>
    <t>LightYellow2</t>
  </si>
  <si>
    <t>#EEEED1</t>
  </si>
  <si>
    <t>ivory3</t>
  </si>
  <si>
    <t>#CDCDC1</t>
  </si>
  <si>
    <t>LightYellow3</t>
  </si>
  <si>
    <t>#CDCDB4</t>
  </si>
  <si>
    <t>ivory4</t>
  </si>
  <si>
    <t>#8B8B83</t>
  </si>
  <si>
    <t>LightYellow4</t>
  </si>
  <si>
    <t>#8B8B7A</t>
  </si>
  <si>
    <t>yellow</t>
  </si>
  <si>
    <t>#FFFF00</t>
  </si>
  <si>
    <t>yellow1</t>
  </si>
  <si>
    <t>yellow2</t>
  </si>
  <si>
    <t>#EEEE00</t>
  </si>
  <si>
    <t>yellow3</t>
  </si>
  <si>
    <t>#CDCD00</t>
  </si>
  <si>
    <t>yellow4</t>
  </si>
  <si>
    <t>#8B8B00</t>
  </si>
  <si>
    <t>olive</t>
  </si>
  <si>
    <t>#808000</t>
  </si>
  <si>
    <t>#BDB76B</t>
  </si>
  <si>
    <t>khaki2</t>
  </si>
  <si>
    <t>#EEE685</t>
  </si>
  <si>
    <t>LemonChiffon4</t>
  </si>
  <si>
    <t>#8B8970</t>
  </si>
  <si>
    <t>khaki1</t>
  </si>
  <si>
    <t>#FFF68F</t>
  </si>
  <si>
    <t>khaki3</t>
  </si>
  <si>
    <t>#CDC673</t>
  </si>
  <si>
    <t>khaki4</t>
  </si>
  <si>
    <t>#8B864E</t>
  </si>
  <si>
    <t>#EEE8AA</t>
  </si>
  <si>
    <t>#FFFACD</t>
  </si>
  <si>
    <t>LemonChiffon1</t>
  </si>
  <si>
    <t>khaki</t>
  </si>
  <si>
    <t>#F0E68C</t>
  </si>
  <si>
    <t>LemonChiffon3</t>
  </si>
  <si>
    <t>#CDC9A5</t>
  </si>
  <si>
    <t>LemonChiffon2</t>
  </si>
  <si>
    <t>#EEE9BF</t>
  </si>
  <si>
    <t>MediumGoldenRod</t>
  </si>
  <si>
    <t>#D1C166</t>
  </si>
  <si>
    <t>cornsilk4</t>
  </si>
  <si>
    <t>#8B8878</t>
  </si>
  <si>
    <t>gold</t>
  </si>
  <si>
    <t>#FFD700</t>
  </si>
  <si>
    <t>gold1</t>
  </si>
  <si>
    <t>gold2</t>
  </si>
  <si>
    <t>#EEC900</t>
  </si>
  <si>
    <t>gold3</t>
  </si>
  <si>
    <t>#CDAD00</t>
  </si>
  <si>
    <t>gold4</t>
  </si>
  <si>
    <t>#8B7500</t>
  </si>
  <si>
    <t>LightGoldenrod</t>
  </si>
  <si>
    <t>#EEDD82</t>
  </si>
  <si>
    <t>LightGoldenrod4</t>
  </si>
  <si>
    <t>#8B814C</t>
  </si>
  <si>
    <t>LightGoldenrod1</t>
  </si>
  <si>
    <t>#FFEC8B</t>
  </si>
  <si>
    <t>LightGoldenrod3</t>
  </si>
  <si>
    <t>#CDBE70</t>
  </si>
  <si>
    <t>LightGoldenrod2</t>
  </si>
  <si>
    <t>#EEDC82</t>
  </si>
  <si>
    <t>cornsilk3</t>
  </si>
  <si>
    <t>#CDC8B1</t>
  </si>
  <si>
    <t>cornsilk2</t>
  </si>
  <si>
    <t>#EEE8CD</t>
  </si>
  <si>
    <t>cornsilk</t>
  </si>
  <si>
    <t>#FFF8DC</t>
  </si>
  <si>
    <t>cornsilk1</t>
  </si>
  <si>
    <t>goldenrod</t>
  </si>
  <si>
    <t>#DAA520</t>
  </si>
  <si>
    <t>goldenrod1</t>
  </si>
  <si>
    <t>#FFC125</t>
  </si>
  <si>
    <t>goldenrod2</t>
  </si>
  <si>
    <t>#EEB422</t>
  </si>
  <si>
    <t>goldenrod3</t>
  </si>
  <si>
    <t>#CD9B1D</t>
  </si>
  <si>
    <t>goldenrod4</t>
  </si>
  <si>
    <t>#8B6914</t>
  </si>
  <si>
    <t>#B8860B</t>
  </si>
  <si>
    <t>DarkGoldenrod1</t>
  </si>
  <si>
    <t>#FFB90F</t>
  </si>
  <si>
    <t>DarkGoldenrod2</t>
  </si>
  <si>
    <t>#EEAD0E</t>
  </si>
  <si>
    <t>DarkGoldenrod3</t>
  </si>
  <si>
    <t>#CD950C</t>
  </si>
  <si>
    <t>DarkGoldenrod4</t>
  </si>
  <si>
    <t>#8B6508</t>
  </si>
  <si>
    <t>#FFFAF0</t>
  </si>
  <si>
    <t>wheat2</t>
  </si>
  <si>
    <t>#EED8AE</t>
  </si>
  <si>
    <t>#FDF5E6</t>
  </si>
  <si>
    <t>wheat</t>
  </si>
  <si>
    <t>#F5DEB3</t>
  </si>
  <si>
    <t>wheat1</t>
  </si>
  <si>
    <t>#FFE7BA</t>
  </si>
  <si>
    <t>wheat3</t>
  </si>
  <si>
    <t>#CDBA96</t>
  </si>
  <si>
    <t>orange</t>
  </si>
  <si>
    <t>#FFA500</t>
  </si>
  <si>
    <t>#EE9A00</t>
  </si>
  <si>
    <t>#CD8500</t>
  </si>
  <si>
    <t>#8B5A00</t>
  </si>
  <si>
    <t>wheat4</t>
  </si>
  <si>
    <t>#8B7E66</t>
  </si>
  <si>
    <t>moccasin</t>
  </si>
  <si>
    <t>#FFE4B5</t>
  </si>
  <si>
    <t>#FFEFD5</t>
  </si>
  <si>
    <t>NavajoWhite3</t>
  </si>
  <si>
    <t>#CDB38B</t>
  </si>
  <si>
    <t>#FFEBCD</t>
  </si>
  <si>
    <t>#FFDEAD</t>
  </si>
  <si>
    <t>NavajoWhite1</t>
  </si>
  <si>
    <t>NavajoWhite2</t>
  </si>
  <si>
    <t>#EECFA1</t>
  </si>
  <si>
    <t>NavajoWhite4</t>
  </si>
  <si>
    <t>#8B795E</t>
  </si>
  <si>
    <t>AntiqueWhite4</t>
  </si>
  <si>
    <t>#8B8378</t>
  </si>
  <si>
    <t>#FAEBD7</t>
  </si>
  <si>
    <t>tan</t>
  </si>
  <si>
    <t>#D2B48C</t>
  </si>
  <si>
    <t>bisque4</t>
  </si>
  <si>
    <t>#8B7D6B</t>
  </si>
  <si>
    <t>burlywood</t>
  </si>
  <si>
    <t>#DEB887</t>
  </si>
  <si>
    <t>AntiqueWhite2</t>
  </si>
  <si>
    <t>#EEDFCC</t>
  </si>
  <si>
    <t>burlywood1</t>
  </si>
  <si>
    <t>#FFD39B</t>
  </si>
  <si>
    <t>burlywood3</t>
  </si>
  <si>
    <t>#CDAA7D</t>
  </si>
  <si>
    <t>burlywood2</t>
  </si>
  <si>
    <t>#EEC591</t>
  </si>
  <si>
    <t>AntiqueWhite1</t>
  </si>
  <si>
    <t>#FFEFDB</t>
  </si>
  <si>
    <t>burlywood4</t>
  </si>
  <si>
    <t>#8B7355</t>
  </si>
  <si>
    <t>AntiqueWhite3</t>
  </si>
  <si>
    <t>#CDC0B0</t>
  </si>
  <si>
    <t>#FF8C00</t>
  </si>
  <si>
    <t>bisque2</t>
  </si>
  <si>
    <t>#EED5B7</t>
  </si>
  <si>
    <t>bisque</t>
  </si>
  <si>
    <t>#FFE4C4</t>
  </si>
  <si>
    <t>bisque1</t>
  </si>
  <si>
    <t>bisque3</t>
  </si>
  <si>
    <t>#CDB79E</t>
  </si>
  <si>
    <t>DarkOrange1</t>
  </si>
  <si>
    <t>#FF7F00</t>
  </si>
  <si>
    <t>linen</t>
  </si>
  <si>
    <t>#FAF0E6</t>
  </si>
  <si>
    <t>DarkOrange2</t>
  </si>
  <si>
    <t>#EE7600</t>
  </si>
  <si>
    <t>DarkOrange3</t>
  </si>
  <si>
    <t>#CD6600</t>
  </si>
  <si>
    <t>DarkOrange4</t>
  </si>
  <si>
    <t>#8B4500</t>
  </si>
  <si>
    <t>peru</t>
  </si>
  <si>
    <t>#CD853F</t>
  </si>
  <si>
    <t>tan1</t>
  </si>
  <si>
    <t>#FFA54F</t>
  </si>
  <si>
    <t>tan2</t>
  </si>
  <si>
    <t>#EE9A49</t>
  </si>
  <si>
    <t>tan3</t>
  </si>
  <si>
    <t>tan4</t>
  </si>
  <si>
    <t>#8B5A2B</t>
  </si>
  <si>
    <t>#FFDAB9</t>
  </si>
  <si>
    <t>PeachPuff1</t>
  </si>
  <si>
    <t>PeachPuff4</t>
  </si>
  <si>
    <t>#8B7765</t>
  </si>
  <si>
    <t>PeachPuff2</t>
  </si>
  <si>
    <t>#EECBAD</t>
  </si>
  <si>
    <t>PeachPuff3</t>
  </si>
  <si>
    <t>#CDAF95</t>
  </si>
  <si>
    <t>#F4A460</t>
  </si>
  <si>
    <t>seashell4</t>
  </si>
  <si>
    <t>#8B8682</t>
  </si>
  <si>
    <t>seashell2</t>
  </si>
  <si>
    <t>#EEE5DE</t>
  </si>
  <si>
    <t>seashell3</t>
  </si>
  <si>
    <t>#CDC5BF</t>
  </si>
  <si>
    <t>chocolate</t>
  </si>
  <si>
    <t>#D2691E</t>
  </si>
  <si>
    <t>chocolate1</t>
  </si>
  <si>
    <t>#FF7F24</t>
  </si>
  <si>
    <t>chocolate2</t>
  </si>
  <si>
    <t>#EE7621</t>
  </si>
  <si>
    <t>chocolate3</t>
  </si>
  <si>
    <t>#CD661D</t>
  </si>
  <si>
    <t>chocolate4</t>
  </si>
  <si>
    <t>#8B4513</t>
  </si>
  <si>
    <t>seashell</t>
  </si>
  <si>
    <t>#FFF5EE</t>
  </si>
  <si>
    <t>seashell1</t>
  </si>
  <si>
    <t>sienna4</t>
  </si>
  <si>
    <t>#8B4726</t>
  </si>
  <si>
    <t>sienna</t>
  </si>
  <si>
    <t>#A0522D</t>
  </si>
  <si>
    <t>sienna1</t>
  </si>
  <si>
    <t>#FF8247</t>
  </si>
  <si>
    <t>sienna2</t>
  </si>
  <si>
    <t>#EE7942</t>
  </si>
  <si>
    <t>sienna3</t>
  </si>
  <si>
    <t>#CD6839</t>
  </si>
  <si>
    <t>LightSalmon3</t>
  </si>
  <si>
    <t>#CD8162</t>
  </si>
  <si>
    <t>#FFA07A</t>
  </si>
  <si>
    <t>LightSalmon1</t>
  </si>
  <si>
    <t>LightSalmon4</t>
  </si>
  <si>
    <t>#8B5742</t>
  </si>
  <si>
    <t>LightSalmon2</t>
  </si>
  <si>
    <t>#EE9572</t>
  </si>
  <si>
    <t>coral</t>
  </si>
  <si>
    <t>#FF7F50</t>
  </si>
  <si>
    <t>#FF4500</t>
  </si>
  <si>
    <t>OrangeRed1</t>
  </si>
  <si>
    <t>OrangeRed2</t>
  </si>
  <si>
    <t>#EE4000</t>
  </si>
  <si>
    <t>OrangeRed3</t>
  </si>
  <si>
    <t>#CD3700</t>
  </si>
  <si>
    <t>OrangeRed4</t>
  </si>
  <si>
    <t>#8B2500</t>
  </si>
  <si>
    <t>#E9967A</t>
  </si>
  <si>
    <t>salmon1</t>
  </si>
  <si>
    <t>#FF8C69</t>
  </si>
  <si>
    <t>salmon2</t>
  </si>
  <si>
    <t>#EE8262</t>
  </si>
  <si>
    <t>salmon3</t>
  </si>
  <si>
    <t>#CD7054</t>
  </si>
  <si>
    <t>salmon4</t>
  </si>
  <si>
    <t>#8B4C39</t>
  </si>
  <si>
    <t>coral1</t>
  </si>
  <si>
    <t>#FF7256</t>
  </si>
  <si>
    <t>coral2</t>
  </si>
  <si>
    <t>#EE6A50</t>
  </si>
  <si>
    <t>coral3</t>
  </si>
  <si>
    <t>#CD5B45</t>
  </si>
  <si>
    <t>coral4</t>
  </si>
  <si>
    <t>#8B3E2F</t>
  </si>
  <si>
    <t>tomato4</t>
  </si>
  <si>
    <t>#8B3626</t>
  </si>
  <si>
    <t>tomato</t>
  </si>
  <si>
    <t>#FF6347</t>
  </si>
  <si>
    <t>tomato1</t>
  </si>
  <si>
    <t>tomato2</t>
  </si>
  <si>
    <t>#EE5C42</t>
  </si>
  <si>
    <t>tomato3</t>
  </si>
  <si>
    <t>#CD4F39</t>
  </si>
  <si>
    <t>MistyRose4</t>
  </si>
  <si>
    <t>#8B7D7B</t>
  </si>
  <si>
    <t>MistyRose2</t>
  </si>
  <si>
    <t>#EED5D2</t>
  </si>
  <si>
    <t>#FFE4E1</t>
  </si>
  <si>
    <t>MistyRose1</t>
  </si>
  <si>
    <t>salmon</t>
  </si>
  <si>
    <t>#FA8072</t>
  </si>
  <si>
    <t>MistyRose3</t>
  </si>
  <si>
    <t>#CDB7B5</t>
  </si>
  <si>
    <t>white</t>
  </si>
  <si>
    <t>#FFFFFF</t>
  </si>
  <si>
    <t>gray100</t>
  </si>
  <si>
    <t>grey100</t>
  </si>
  <si>
    <t>gray99</t>
  </si>
  <si>
    <t>#FCFCFC</t>
  </si>
  <si>
    <t>grey99</t>
  </si>
  <si>
    <t>gray98</t>
  </si>
  <si>
    <t>#FAFAFA</t>
  </si>
  <si>
    <t>grey98</t>
  </si>
  <si>
    <t>gray97</t>
  </si>
  <si>
    <t>#F7F7F7</t>
  </si>
  <si>
    <t>grey97</t>
  </si>
  <si>
    <t>gray96</t>
  </si>
  <si>
    <t>#F5F5F5</t>
  </si>
  <si>
    <t>grey96</t>
  </si>
  <si>
    <t>gray95</t>
  </si>
  <si>
    <t>#F2F2F2</t>
  </si>
  <si>
    <t>grey95</t>
  </si>
  <si>
    <t>gray94</t>
  </si>
  <si>
    <t>#F0F0F0</t>
  </si>
  <si>
    <t>grey94</t>
  </si>
  <si>
    <t>gray93</t>
  </si>
  <si>
    <t>#EDEDED</t>
  </si>
  <si>
    <t>grey93</t>
  </si>
  <si>
    <t>gray92</t>
  </si>
  <si>
    <t>#EBEBEB</t>
  </si>
  <si>
    <t>grey92</t>
  </si>
  <si>
    <t>gray91</t>
  </si>
  <si>
    <t>#E8E8E8</t>
  </si>
  <si>
    <t>grey91</t>
  </si>
  <si>
    <t>gray90</t>
  </si>
  <si>
    <t>#E5E5E5</t>
  </si>
  <si>
    <t>grey90</t>
  </si>
  <si>
    <t>gray89</t>
  </si>
  <si>
    <t>#E3E3E3</t>
  </si>
  <si>
    <t>grey89</t>
  </si>
  <si>
    <t>gray88</t>
  </si>
  <si>
    <t>#E0E0E0</t>
  </si>
  <si>
    <t>grey88</t>
  </si>
  <si>
    <t>gray87</t>
  </si>
  <si>
    <t>#DEDEDE</t>
  </si>
  <si>
    <t>grey87</t>
  </si>
  <si>
    <t>gainsboro</t>
  </si>
  <si>
    <t>#DCDCDC</t>
  </si>
  <si>
    <t>gray86</t>
  </si>
  <si>
    <t>#DBDBDB</t>
  </si>
  <si>
    <t>grey86</t>
  </si>
  <si>
    <t>gray85</t>
  </si>
  <si>
    <t>#D9D9D9</t>
  </si>
  <si>
    <t>grey85</t>
  </si>
  <si>
    <t>gray84</t>
  </si>
  <si>
    <t>#D6D6D6</t>
  </si>
  <si>
    <t>grey84</t>
  </si>
  <si>
    <t>gray83</t>
  </si>
  <si>
    <t>#D4D4D4</t>
  </si>
  <si>
    <t>grey83</t>
  </si>
  <si>
    <t>#D3D3D3</t>
  </si>
  <si>
    <t>gray82</t>
  </si>
  <si>
    <t>#D1D1D1</t>
  </si>
  <si>
    <t>grey82</t>
  </si>
  <si>
    <t>gray81</t>
  </si>
  <si>
    <t>#CFCFCF</t>
  </si>
  <si>
    <t>grey81</t>
  </si>
  <si>
    <t>gray80</t>
  </si>
  <si>
    <t>#CCCCCC</t>
  </si>
  <si>
    <t>grey80</t>
  </si>
  <si>
    <t>gray79</t>
  </si>
  <si>
    <t>#C9C9C9</t>
  </si>
  <si>
    <t>grey79</t>
  </si>
  <si>
    <t>gray78</t>
  </si>
  <si>
    <t>#C7C7C7</t>
  </si>
  <si>
    <t>grey78</t>
  </si>
  <si>
    <t>gray77</t>
  </si>
  <si>
    <t>#C4C4C4</t>
  </si>
  <si>
    <t>grey77</t>
  </si>
  <si>
    <t>gray76</t>
  </si>
  <si>
    <t>#C2C2C2</t>
  </si>
  <si>
    <t>grey76</t>
  </si>
  <si>
    <t>silver</t>
  </si>
  <si>
    <t>#C0C0C0</t>
  </si>
  <si>
    <t>gray75</t>
  </si>
  <si>
    <t>#BFBFBF</t>
  </si>
  <si>
    <t>grey75</t>
  </si>
  <si>
    <t>gray74</t>
  </si>
  <si>
    <t>#BDBDBD</t>
  </si>
  <si>
    <t>grey74</t>
  </si>
  <si>
    <t>gray73</t>
  </si>
  <si>
    <t>#BABABA</t>
  </si>
  <si>
    <t>grey73</t>
  </si>
  <si>
    <t>gray72</t>
  </si>
  <si>
    <t>#B8B8B8</t>
  </si>
  <si>
    <t>grey72</t>
  </si>
  <si>
    <t>gray71</t>
  </si>
  <si>
    <t>#B5B5B5</t>
  </si>
  <si>
    <t>grey71</t>
  </si>
  <si>
    <t>gray70</t>
  </si>
  <si>
    <t>#B3B3B3</t>
  </si>
  <si>
    <t>grey70</t>
  </si>
  <si>
    <t>gray69</t>
  </si>
  <si>
    <t>#B0B0B0</t>
  </si>
  <si>
    <t>grey69</t>
  </si>
  <si>
    <t>gray68</t>
  </si>
  <si>
    <t>#ADADAD</t>
  </si>
  <si>
    <t>grey68</t>
  </si>
  <si>
    <t>gray67</t>
  </si>
  <si>
    <t>#ABABAB</t>
  </si>
  <si>
    <t>grey67</t>
  </si>
  <si>
    <t>#A9A9A9</t>
  </si>
  <si>
    <t>gray66</t>
  </si>
  <si>
    <t>#A8A8A8</t>
  </si>
  <si>
    <t>grey66</t>
  </si>
  <si>
    <t>gray65</t>
  </si>
  <si>
    <t>#A6A6A6</t>
  </si>
  <si>
    <t>grey65</t>
  </si>
  <si>
    <t>gray64</t>
  </si>
  <si>
    <t>#A3A3A3</t>
  </si>
  <si>
    <t>grey64</t>
  </si>
  <si>
    <t>gray63</t>
  </si>
  <si>
    <t>#A1A1A1</t>
  </si>
  <si>
    <t>grey63</t>
  </si>
  <si>
    <t>gray62</t>
  </si>
  <si>
    <t>#9E9E9E</t>
  </si>
  <si>
    <t>grey62</t>
  </si>
  <si>
    <t>gray61</t>
  </si>
  <si>
    <t>#9C9C9C</t>
  </si>
  <si>
    <t>grey61</t>
  </si>
  <si>
    <t>gray60</t>
  </si>
  <si>
    <t>#999999</t>
  </si>
  <si>
    <t>grey60</t>
  </si>
  <si>
    <t>gray59</t>
  </si>
  <si>
    <t>#969696</t>
  </si>
  <si>
    <t>grey59</t>
  </si>
  <si>
    <t>gray58</t>
  </si>
  <si>
    <t>#949494</t>
  </si>
  <si>
    <t>grey58</t>
  </si>
  <si>
    <t>gray57</t>
  </si>
  <si>
    <t>#919191</t>
  </si>
  <si>
    <t>grey57</t>
  </si>
  <si>
    <t>gray56</t>
  </si>
  <si>
    <t>#8F8F8F</t>
  </si>
  <si>
    <t>grey56</t>
  </si>
  <si>
    <t>gray55</t>
  </si>
  <si>
    <t>#8C8C8C</t>
  </si>
  <si>
    <t>grey55</t>
  </si>
  <si>
    <t>gray54</t>
  </si>
  <si>
    <t>#8A8A8A</t>
  </si>
  <si>
    <t>grey54</t>
  </si>
  <si>
    <t>gray53</t>
  </si>
  <si>
    <t>#878787</t>
  </si>
  <si>
    <t>grey53</t>
  </si>
  <si>
    <t>gray52</t>
  </si>
  <si>
    <t>#858585</t>
  </si>
  <si>
    <t>grey52</t>
  </si>
  <si>
    <t>gray51</t>
  </si>
  <si>
    <t>#828282</t>
  </si>
  <si>
    <t>grey51</t>
  </si>
  <si>
    <t>fractal</t>
  </si>
  <si>
    <t>#808080</t>
  </si>
  <si>
    <t>gray50</t>
  </si>
  <si>
    <t>#7F7F7F</t>
  </si>
  <si>
    <t>grey50</t>
  </si>
  <si>
    <t>gray</t>
  </si>
  <si>
    <t>#7E7E7E</t>
  </si>
  <si>
    <t>gray49</t>
  </si>
  <si>
    <t>#7D7D7D</t>
  </si>
  <si>
    <t>grey49</t>
  </si>
  <si>
    <t>gray48</t>
  </si>
  <si>
    <t>#7A7A7A</t>
  </si>
  <si>
    <t>grey48</t>
  </si>
  <si>
    <t>gray47</t>
  </si>
  <si>
    <t>#787878</t>
  </si>
  <si>
    <t>grey47</t>
  </si>
  <si>
    <t>gray46</t>
  </si>
  <si>
    <t>#757575</t>
  </si>
  <si>
    <t>grey46</t>
  </si>
  <si>
    <t>gray45</t>
  </si>
  <si>
    <t>#737373</t>
  </si>
  <si>
    <t>grey45</t>
  </si>
  <si>
    <t>gray44</t>
  </si>
  <si>
    <t>#707070</t>
  </si>
  <si>
    <t>grey44</t>
  </si>
  <si>
    <t>gray43</t>
  </si>
  <si>
    <t>#6E6E6E</t>
  </si>
  <si>
    <t>grey43</t>
  </si>
  <si>
    <t>gray42</t>
  </si>
  <si>
    <t>#6B6B6B</t>
  </si>
  <si>
    <t>grey42</t>
  </si>
  <si>
    <t>#696969</t>
  </si>
  <si>
    <t>gray41</t>
  </si>
  <si>
    <t>grey41</t>
  </si>
  <si>
    <t>gray40</t>
  </si>
  <si>
    <t>#666666</t>
  </si>
  <si>
    <t>grey40</t>
  </si>
  <si>
    <t>gray39</t>
  </si>
  <si>
    <t>#636363</t>
  </si>
  <si>
    <t>grey39</t>
  </si>
  <si>
    <t>gray38</t>
  </si>
  <si>
    <t>#616161</t>
  </si>
  <si>
    <t>grey38</t>
  </si>
  <si>
    <t>gray37</t>
  </si>
  <si>
    <t>#5E5E5E</t>
  </si>
  <si>
    <t>grey37</t>
  </si>
  <si>
    <t>gray36</t>
  </si>
  <si>
    <t>#5C5C5C</t>
  </si>
  <si>
    <t>grey36</t>
  </si>
  <si>
    <t>gray35</t>
  </si>
  <si>
    <t>#595959</t>
  </si>
  <si>
    <t>grey35</t>
  </si>
  <si>
    <t>gray34</t>
  </si>
  <si>
    <t>#575757</t>
  </si>
  <si>
    <t>grey34</t>
  </si>
  <si>
    <t>gray33</t>
  </si>
  <si>
    <t>#545454</t>
  </si>
  <si>
    <t>grey33</t>
  </si>
  <si>
    <t>gray32</t>
  </si>
  <si>
    <t>#525252</t>
  </si>
  <si>
    <t>grey32</t>
  </si>
  <si>
    <t>gray31</t>
  </si>
  <si>
    <t>#4F4F4F</t>
  </si>
  <si>
    <t>grey31</t>
  </si>
  <si>
    <t>gray30</t>
  </si>
  <si>
    <t>#4D4D4D</t>
  </si>
  <si>
    <t>grey30</t>
  </si>
  <si>
    <t>gray29</t>
  </si>
  <si>
    <t>#4A4A4A</t>
  </si>
  <si>
    <t>grey29</t>
  </si>
  <si>
    <t>gray28</t>
  </si>
  <si>
    <t>#474747</t>
  </si>
  <si>
    <t>grey28</t>
  </si>
  <si>
    <t>gray27</t>
  </si>
  <si>
    <t>#454545</t>
  </si>
  <si>
    <t>grey27</t>
  </si>
  <si>
    <t>gray26</t>
  </si>
  <si>
    <t>#424242</t>
  </si>
  <si>
    <t>grey26</t>
  </si>
  <si>
    <t>gray25</t>
  </si>
  <si>
    <t>#404040</t>
  </si>
  <si>
    <t>grey25</t>
  </si>
  <si>
    <t>gray24</t>
  </si>
  <si>
    <t>#3D3D3D</t>
  </si>
  <si>
    <t>grey24</t>
  </si>
  <si>
    <t>gray23</t>
  </si>
  <si>
    <t>#3B3B3B</t>
  </si>
  <si>
    <t>grey23</t>
  </si>
  <si>
    <t>gray22</t>
  </si>
  <si>
    <t>#383838</t>
  </si>
  <si>
    <t>grey22</t>
  </si>
  <si>
    <t>gray21</t>
  </si>
  <si>
    <t>#363636</t>
  </si>
  <si>
    <t>grey21</t>
  </si>
  <si>
    <t>gray20</t>
  </si>
  <si>
    <t>#333333</t>
  </si>
  <si>
    <t>grey20</t>
  </si>
  <si>
    <t>gray19</t>
  </si>
  <si>
    <t>#303030</t>
  </si>
  <si>
    <t>grey19</t>
  </si>
  <si>
    <t>gray18</t>
  </si>
  <si>
    <t>#2E2E2E</t>
  </si>
  <si>
    <t>grey18</t>
  </si>
  <si>
    <t>gray17</t>
  </si>
  <si>
    <t>#2B2B2B</t>
  </si>
  <si>
    <t>grey17</t>
  </si>
  <si>
    <t>gray16</t>
  </si>
  <si>
    <t>#292929</t>
  </si>
  <si>
    <t>grey16</t>
  </si>
  <si>
    <t>gray15</t>
  </si>
  <si>
    <t>#262626</t>
  </si>
  <si>
    <t>grey15</t>
  </si>
  <si>
    <t>gray14</t>
  </si>
  <si>
    <t>#242424</t>
  </si>
  <si>
    <t>grey14</t>
  </si>
  <si>
    <t>gray13</t>
  </si>
  <si>
    <t>#212121</t>
  </si>
  <si>
    <t>grey13</t>
  </si>
  <si>
    <t>gray12</t>
  </si>
  <si>
    <t>#1F1F1F</t>
  </si>
  <si>
    <t>grey12</t>
  </si>
  <si>
    <t>gray11</t>
  </si>
  <si>
    <t>#1C1C1C</t>
  </si>
  <si>
    <t>grey11</t>
  </si>
  <si>
    <t>gray10</t>
  </si>
  <si>
    <t>#1A1A1A</t>
  </si>
  <si>
    <t>grey10</t>
  </si>
  <si>
    <t>gray9</t>
  </si>
  <si>
    <t>#171717</t>
  </si>
  <si>
    <t>grey9</t>
  </si>
  <si>
    <t>gray8</t>
  </si>
  <si>
    <t>#141414</t>
  </si>
  <si>
    <t>grey8</t>
  </si>
  <si>
    <t>gray7</t>
  </si>
  <si>
    <t>#121212</t>
  </si>
  <si>
    <t>grey7</t>
  </si>
  <si>
    <t>gray6</t>
  </si>
  <si>
    <t>#0F0F0F</t>
  </si>
  <si>
    <t>grey6</t>
  </si>
  <si>
    <t>gray5</t>
  </si>
  <si>
    <t>#0D0D0D</t>
  </si>
  <si>
    <t>grey5</t>
  </si>
  <si>
    <t>gray4</t>
  </si>
  <si>
    <t>#0A0A0A</t>
  </si>
  <si>
    <t>grey4</t>
  </si>
  <si>
    <t>gray3</t>
  </si>
  <si>
    <t>#080808</t>
  </si>
  <si>
    <t>grey3</t>
  </si>
  <si>
    <t>gray2</t>
  </si>
  <si>
    <t>#050505</t>
  </si>
  <si>
    <t>grey2</t>
  </si>
  <si>
    <t>gray1</t>
  </si>
  <si>
    <t>#030303</t>
  </si>
  <si>
    <t>grey1</t>
  </si>
  <si>
    <t>black</t>
  </si>
  <si>
    <t>#000000</t>
  </si>
  <si>
    <t>gray0</t>
  </si>
  <si>
    <t>grey0</t>
  </si>
  <si>
    <t>opaque</t>
  </si>
  <si>
    <t>none</t>
  </si>
  <si>
    <t>transparent</t>
  </si>
  <si>
    <t>purple</t>
  </si>
  <si>
    <t>maroon</t>
  </si>
  <si>
    <t>maroon_x11</t>
  </si>
  <si>
    <t>purple_x11</t>
  </si>
  <si>
    <t>Sizes</t>
  </si>
  <si>
    <t>Templates</t>
  </si>
  <si>
    <t>Elements</t>
  </si>
  <si>
    <t>Schemes</t>
  </si>
  <si>
    <t>ElementColours</t>
  </si>
  <si>
    <t>UserColours</t>
  </si>
  <si>
    <t>Manifest</t>
  </si>
  <si>
    <t>Size</t>
  </si>
  <si>
    <t>Template</t>
  </si>
  <si>
    <t>Scheme</t>
  </si>
  <si>
    <t>Qty</t>
  </si>
  <si>
    <t>Value</t>
  </si>
  <si>
    <t>Comments</t>
  </si>
  <si>
    <t>Parameter</t>
  </si>
  <si>
    <t>Name</t>
  </si>
  <si>
    <t>Width</t>
  </si>
  <si>
    <t>Height</t>
  </si>
  <si>
    <t>BlockWidth</t>
  </si>
  <si>
    <t>BlockHeight</t>
  </si>
  <si>
    <t>HGridsize</t>
  </si>
  <si>
    <t>VGridsize</t>
  </si>
  <si>
    <t>parent</t>
  </si>
  <si>
    <t>Comment</t>
  </si>
  <si>
    <t>template</t>
  </si>
  <si>
    <t>Nature</t>
  </si>
  <si>
    <t>frontback</t>
  </si>
  <si>
    <t>left</t>
  </si>
  <si>
    <t>top</t>
  </si>
  <si>
    <t>width</t>
  </si>
  <si>
    <t>height</t>
  </si>
  <si>
    <t>font</t>
  </si>
  <si>
    <t>size</t>
  </si>
  <si>
    <t>bold</t>
  </si>
  <si>
    <t>Italic</t>
  </si>
  <si>
    <t>uline</t>
  </si>
  <si>
    <t>outline</t>
  </si>
  <si>
    <t>orientation</t>
  </si>
  <si>
    <t>align</t>
  </si>
  <si>
    <t>valign</t>
  </si>
  <si>
    <t>transp</t>
  </si>
  <si>
    <t>empty</t>
  </si>
  <si>
    <t>flip</t>
  </si>
  <si>
    <t>Element</t>
  </si>
  <si>
    <t>FG</t>
  </si>
  <si>
    <t>BG</t>
  </si>
  <si>
    <t>BG2</t>
  </si>
  <si>
    <t>gradtype</t>
  </si>
  <si>
    <t>gradval</t>
  </si>
  <si>
    <t>gradstart</t>
  </si>
  <si>
    <t>gradend</t>
  </si>
  <si>
    <t>Sheet</t>
  </si>
  <si>
    <t>Col1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</si>
  <si>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</si>
  <si>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</si>
  <si>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</si>
  <si>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</si>
  <si>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</si>
  <si>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</si>
  <si>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</si>
  <si>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</si>
  <si>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</si>
  <si>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</si>
  <si>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</si>
  <si>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</si>
  <si>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</si>
  <si>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</si>
  <si>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</si>
  <si>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</si>
  <si>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</si>
  <si>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</si>
  <si>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</si>
  <si>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</si>
  <si>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</si>
  <si>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</si>
  <si>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***old values below*** NOT compatible with ImageMagick</t>
  </si>
  <si>
    <t>Parameters</t>
  </si>
  <si>
    <t>Margin</t>
  </si>
  <si>
    <t>Sprue Height</t>
  </si>
  <si>
    <t>Image folder</t>
  </si>
  <si>
    <t>Common image folder</t>
  </si>
  <si>
    <t>List of all image folders</t>
  </si>
  <si>
    <t>List of image extensions</t>
  </si>
  <si>
    <t>Border colour</t>
  </si>
  <si>
    <t>Double sided</t>
  </si>
  <si>
    <t>Path to ImageMagick</t>
  </si>
  <si>
    <t>Explicit Qty</t>
  </si>
  <si>
    <t>CellName</t>
  </si>
  <si>
    <t>margin</t>
  </si>
  <si>
    <t>sprueheight</t>
  </si>
  <si>
    <t>imagefolder</t>
  </si>
  <si>
    <t>commonfolder</t>
  </si>
  <si>
    <t>imagefolders</t>
  </si>
  <si>
    <t>imageexts</t>
  </si>
  <si>
    <t>bordercolour</t>
  </si>
  <si>
    <t>doublesided</t>
  </si>
  <si>
    <t>impath</t>
  </si>
  <si>
    <t>explicitqty</t>
  </si>
  <si>
    <t>Default</t>
  </si>
  <si>
    <t>Margin size in points between the edge of the page and the counters</t>
  </si>
  <si>
    <t>Vertical separation between blocks of counters</t>
  </si>
  <si>
    <t>Where any images are stored</t>
  </si>
  <si>
    <t>Look here if not found in previous folder</t>
  </si>
  <si>
    <t>Comma-separated list of folders, replaces the previous two, can contain multiple folders, in order or priority, Can be absolute or relative</t>
  </si>
  <si>
    <t>Comma-separated list accepted image extensions, in order of priority</t>
  </si>
  <si>
    <t>If empty then IM has to be in the PATH</t>
  </si>
  <si>
    <t>If true then manifest column 4 has to be the QTY</t>
  </si>
  <si>
    <t>line intentionally left blank</t>
  </si>
  <si>
    <t>16pointStar</t>
  </si>
  <si>
    <t>Spacers</t>
  </si>
  <si>
    <t>Corner style</t>
  </si>
  <si>
    <t>cornerstyle</t>
  </si>
  <si>
    <t>common</t>
  </si>
  <si>
    <t>png, gif, jpg</t>
  </si>
  <si>
    <t>FRONT or FALSE for single-sided counters, TRUE or BOTH for two-sided, BACK for backs only</t>
  </si>
  <si>
    <t>SQUARE or ROUND, CROSS to come</t>
  </si>
  <si>
    <t>triangle</t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</si>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</sst>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color rgb="FF212529"/>
      <name val="Arial"/>
      <family val="2"/>
    </font>
    <font>
      <sz val="10"/>
      <color rgb="FF212529"/>
      <name val="Arial"/>
      <family val="2"/>
    </font>
    <font>
      <b/>
      <sz val="10"/>
      <color rgb="FFFFFFFF"/>
      <name val="Arial"/>
      <family val="2"/>
    </font>
    <font>
      <b/>
      <sz val="8"/>
      <color rgb="FFFF0000"/>
      <name val="Arial"/>
      <family val="2"/>
    </font>
  </fonts>
  <fills count="5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FF6AAF"/>
        <bgColor indexed="64"/>
      </patternFill>
    </fill>
    <fill>
      <patternFill patternType="solid">
        <fgColor rgb="FFFFA3CD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F3ED02"/>
        <bgColor indexed="64"/>
      </patternFill>
    </fill>
    <fill>
      <patternFill patternType="solid">
        <fgColor rgb="FFE7DB04"/>
        <bgColor indexed="64"/>
      </patternFill>
    </fill>
    <fill>
      <patternFill patternType="solid">
        <fgColor rgb="FFDBC906"/>
        <bgColor indexed="64"/>
      </patternFill>
    </fill>
    <fill>
      <patternFill patternType="solid">
        <fgColor rgb="FFCFB708"/>
        <bgColor indexed="64"/>
      </patternFill>
    </fill>
    <fill>
      <patternFill patternType="solid">
        <fgColor rgb="FFC3A50A"/>
        <bgColor indexed="64"/>
      </patternFill>
    </fill>
    <fill>
      <patternFill patternType="solid">
        <fgColor rgb="FFB7930C"/>
        <bgColor indexed="64"/>
      </patternFill>
    </fill>
    <fill>
      <patternFill patternType="solid">
        <fgColor rgb="FFAB810E"/>
        <bgColor indexed="64"/>
      </patternFill>
    </fill>
    <fill>
      <patternFill patternType="solid">
        <fgColor rgb="FF9F6F10"/>
        <bgColor indexed="64"/>
      </patternFill>
    </fill>
    <fill>
      <patternFill patternType="solid">
        <fgColor rgb="FF935D12"/>
        <bgColor indexed="64"/>
      </patternFill>
    </fill>
    <fill>
      <patternFill patternType="solid">
        <fgColor rgb="FF874B14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32814B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D1C166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DEE2E6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54">
    <xf numFmtId="0" fontId="0" fillId="0" borderId="0" xfId="0"/>
    <xf numFmtId="0" fontId="2" fillId="2" borderId="1" xfId="0" applyFont="1" applyFill="1" applyBorder="1"/>
    <xf numFmtId="49" fontId="2" fillId="2" borderId="1" xfId="0" applyNumberFormat="1" applyFont="1" applyFill="1" applyBorder="1"/>
    <xf numFmtId="0" fontId="2" fillId="0" borderId="0" xfId="0" applyFont="1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4" fillId="0" borderId="0" xfId="0" applyFont="1"/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4" fillId="11" borderId="0" xfId="0" applyFont="1" applyFill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9" borderId="0" xfId="0" applyFont="1" applyFill="1"/>
    <xf numFmtId="0" fontId="4" fillId="20" borderId="0" xfId="0" applyFont="1" applyFill="1"/>
    <xf numFmtId="0" fontId="4" fillId="21" borderId="0" xfId="0" applyFont="1" applyFill="1"/>
    <xf numFmtId="0" fontId="4" fillId="26" borderId="0" xfId="0" applyFont="1" applyFill="1"/>
    <xf numFmtId="0" fontId="4" fillId="28" borderId="0" xfId="0" applyFont="1" applyFill="1"/>
    <xf numFmtId="0" fontId="4" fillId="31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8" borderId="0" xfId="0" applyFont="1" applyFill="1"/>
    <xf numFmtId="0" fontId="4" fillId="41" borderId="0" xfId="0" applyFont="1" applyFill="1"/>
    <xf numFmtId="0" fontId="4" fillId="45" borderId="0" xfId="0" applyFont="1" applyFill="1"/>
    <xf numFmtId="0" fontId="4" fillId="48" borderId="0" xfId="0" applyFont="1" applyFill="1"/>
    <xf numFmtId="0" fontId="4" fillId="49" borderId="0" xfId="0" applyFont="1" applyFill="1"/>
    <xf numFmtId="0" fontId="4" fillId="50" borderId="0" xfId="0" applyFont="1" applyFill="1"/>
    <xf numFmtId="0" fontId="4" fillId="51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56" borderId="0" xfId="0" applyFont="1" applyFill="1"/>
    <xf numFmtId="0" fontId="4" fillId="62" borderId="0" xfId="0" applyFont="1" applyFill="1"/>
    <xf numFmtId="0" fontId="4" fillId="63" borderId="0" xfId="0" applyFont="1" applyFill="1"/>
    <xf numFmtId="0" fontId="4" fillId="64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70" borderId="0" xfId="0" applyFont="1" applyFill="1"/>
    <xf numFmtId="0" fontId="4" fillId="71" borderId="0" xfId="0" applyFont="1" applyFill="1"/>
    <xf numFmtId="0" fontId="4" fillId="72" borderId="0" xfId="0" applyFont="1" applyFill="1"/>
    <xf numFmtId="0" fontId="4" fillId="73" borderId="0" xfId="0" applyFont="1" applyFill="1"/>
    <xf numFmtId="0" fontId="4" fillId="74" borderId="0" xfId="0" applyFont="1" applyFill="1"/>
    <xf numFmtId="0" fontId="4" fillId="75" borderId="0" xfId="0" applyFont="1" applyFill="1"/>
    <xf numFmtId="0" fontId="4" fillId="76" borderId="0" xfId="0" applyFont="1" applyFill="1"/>
    <xf numFmtId="0" fontId="4" fillId="77" borderId="0" xfId="0" applyFont="1" applyFill="1"/>
    <xf numFmtId="0" fontId="4" fillId="78" borderId="0" xfId="0" applyFont="1" applyFill="1"/>
    <xf numFmtId="0" fontId="4" fillId="7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4" borderId="0" xfId="0" applyFont="1" applyFill="1"/>
    <xf numFmtId="0" fontId="4" fillId="85" borderId="0" xfId="0" applyFont="1" applyFill="1"/>
    <xf numFmtId="0" fontId="4" fillId="86" borderId="0" xfId="0" applyFont="1" applyFill="1"/>
    <xf numFmtId="0" fontId="4" fillId="87" borderId="0" xfId="0" applyFont="1" applyFill="1"/>
    <xf numFmtId="0" fontId="4" fillId="88" borderId="0" xfId="0" applyFont="1" applyFill="1"/>
    <xf numFmtId="0" fontId="4" fillId="90" borderId="0" xfId="0" applyFont="1" applyFill="1"/>
    <xf numFmtId="0" fontId="4" fillId="94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100" borderId="0" xfId="0" applyFont="1" applyFill="1"/>
    <xf numFmtId="0" fontId="4" fillId="101" borderId="0" xfId="0" applyFont="1" applyFill="1"/>
    <xf numFmtId="0" fontId="4" fillId="102" borderId="0" xfId="0" applyFont="1" applyFill="1"/>
    <xf numFmtId="0" fontId="4" fillId="103" borderId="0" xfId="0" applyFont="1" applyFill="1"/>
    <xf numFmtId="0" fontId="4" fillId="105" borderId="0" xfId="0" applyFont="1" applyFill="1"/>
    <xf numFmtId="0" fontId="4" fillId="108" borderId="0" xfId="0" applyFont="1" applyFill="1"/>
    <xf numFmtId="0" fontId="4" fillId="110" borderId="0" xfId="0" applyFont="1" applyFill="1"/>
    <xf numFmtId="0" fontId="4" fillId="111" borderId="0" xfId="0" applyFont="1" applyFill="1"/>
    <xf numFmtId="0" fontId="4" fillId="112" borderId="0" xfId="0" applyFont="1" applyFill="1"/>
    <xf numFmtId="0" fontId="4" fillId="113" borderId="0" xfId="0" applyFont="1" applyFill="1"/>
    <xf numFmtId="0" fontId="4" fillId="115" borderId="0" xfId="0" applyFont="1" applyFill="1"/>
    <xf numFmtId="0" fontId="4" fillId="116" borderId="0" xfId="0" applyFont="1" applyFill="1"/>
    <xf numFmtId="0" fontId="4" fillId="117" borderId="0" xfId="0" applyFont="1" applyFill="1"/>
    <xf numFmtId="0" fontId="4" fillId="118" borderId="0" xfId="0" applyFont="1" applyFill="1"/>
    <xf numFmtId="0" fontId="4" fillId="119" borderId="0" xfId="0" applyFont="1" applyFill="1"/>
    <xf numFmtId="0" fontId="4" fillId="120" borderId="0" xfId="0" applyFont="1" applyFill="1"/>
    <xf numFmtId="0" fontId="4" fillId="123" borderId="0" xfId="0" applyFont="1" applyFill="1"/>
    <xf numFmtId="0" fontId="4" fillId="126" borderId="0" xfId="0" applyFont="1" applyFill="1"/>
    <xf numFmtId="0" fontId="4" fillId="127" borderId="0" xfId="0" applyFont="1" applyFill="1"/>
    <xf numFmtId="0" fontId="4" fillId="129" borderId="0" xfId="0" applyFont="1" applyFill="1"/>
    <xf numFmtId="0" fontId="4" fillId="131" borderId="0" xfId="0" applyFont="1" applyFill="1"/>
    <xf numFmtId="0" fontId="4" fillId="132" borderId="0" xfId="0" applyFont="1" applyFill="1"/>
    <xf numFmtId="0" fontId="4" fillId="135" borderId="0" xfId="0" applyFont="1" applyFill="1"/>
    <xf numFmtId="0" fontId="4" fillId="136" borderId="0" xfId="0" applyFont="1" applyFill="1"/>
    <xf numFmtId="0" fontId="4" fillId="138" borderId="0" xfId="0" applyFont="1" applyFill="1"/>
    <xf numFmtId="0" fontId="4" fillId="140" borderId="0" xfId="0" applyFont="1" applyFill="1"/>
    <xf numFmtId="0" fontId="4" fillId="142" borderId="0" xfId="0" applyFont="1" applyFill="1"/>
    <xf numFmtId="0" fontId="4" fillId="143" borderId="0" xfId="0" applyFont="1" applyFill="1"/>
    <xf numFmtId="0" fontId="4" fillId="144" borderId="0" xfId="0" applyFont="1" applyFill="1"/>
    <xf numFmtId="0" fontId="4" fillId="145" borderId="0" xfId="0" applyFont="1" applyFill="1"/>
    <xf numFmtId="0" fontId="4" fillId="146" borderId="0" xfId="0" applyFont="1" applyFill="1"/>
    <xf numFmtId="0" fontId="4" fillId="147" borderId="0" xfId="0" applyFont="1" applyFill="1"/>
    <xf numFmtId="0" fontId="4" fillId="148" borderId="0" xfId="0" applyFont="1" applyFill="1"/>
    <xf numFmtId="0" fontId="4" fillId="149" borderId="0" xfId="0" applyFont="1" applyFill="1"/>
    <xf numFmtId="0" fontId="4" fillId="150" borderId="0" xfId="0" applyFont="1" applyFill="1"/>
    <xf numFmtId="0" fontId="4" fillId="151" borderId="0" xfId="0" applyFont="1" applyFill="1"/>
    <xf numFmtId="0" fontId="4" fillId="157" borderId="0" xfId="0" applyFont="1" applyFill="1"/>
    <xf numFmtId="0" fontId="4" fillId="158" borderId="0" xfId="0" applyFont="1" applyFill="1"/>
    <xf numFmtId="0" fontId="4" fillId="161" borderId="0" xfId="0" applyFont="1" applyFill="1"/>
    <xf numFmtId="0" fontId="4" fillId="162" borderId="0" xfId="0" applyFont="1" applyFill="1"/>
    <xf numFmtId="0" fontId="4" fillId="163" borderId="0" xfId="0" applyFont="1" applyFill="1"/>
    <xf numFmtId="0" fontId="4" fillId="164" borderId="0" xfId="0" applyFont="1" applyFill="1"/>
    <xf numFmtId="0" fontId="4" fillId="165" borderId="0" xfId="0" applyFont="1" applyFill="1"/>
    <xf numFmtId="0" fontId="4" fillId="166" borderId="0" xfId="0" applyFont="1" applyFill="1"/>
    <xf numFmtId="0" fontId="5" fillId="0" borderId="0" xfId="0" applyFont="1"/>
    <xf numFmtId="0" fontId="5" fillId="10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8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7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52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83" borderId="0" xfId="0" applyFont="1" applyFill="1"/>
    <xf numFmtId="0" fontId="5" fillId="89" borderId="0" xfId="0" applyFont="1" applyFill="1"/>
    <xf numFmtId="0" fontId="5" fillId="91" borderId="0" xfId="0" applyFont="1" applyFill="1"/>
    <xf numFmtId="0" fontId="5" fillId="92" borderId="0" xfId="0" applyFont="1" applyFill="1"/>
    <xf numFmtId="0" fontId="5" fillId="93" borderId="0" xfId="0" applyFont="1" applyFill="1"/>
    <xf numFmtId="0" fontId="5" fillId="95" borderId="0" xfId="0" applyFont="1" applyFill="1"/>
    <xf numFmtId="0" fontId="5" fillId="98" borderId="0" xfId="0" applyFont="1" applyFill="1"/>
    <xf numFmtId="0" fontId="5" fillId="99" borderId="0" xfId="0" applyFont="1" applyFill="1"/>
    <xf numFmtId="0" fontId="5" fillId="104" borderId="0" xfId="0" applyFont="1" applyFill="1"/>
    <xf numFmtId="0" fontId="5" fillId="106" borderId="0" xfId="0" applyFont="1" applyFill="1"/>
    <xf numFmtId="0" fontId="5" fillId="107" borderId="0" xfId="0" applyFont="1" applyFill="1"/>
    <xf numFmtId="0" fontId="5" fillId="109" borderId="0" xfId="0" applyFont="1" applyFill="1"/>
    <xf numFmtId="0" fontId="5" fillId="114" borderId="0" xfId="0" applyFont="1" applyFill="1"/>
    <xf numFmtId="0" fontId="5" fillId="121" borderId="0" xfId="0" applyFont="1" applyFill="1"/>
    <xf numFmtId="0" fontId="5" fillId="122" borderId="0" xfId="0" applyFont="1" applyFill="1"/>
    <xf numFmtId="0" fontId="5" fillId="124" borderId="0" xfId="0" applyFont="1" applyFill="1"/>
    <xf numFmtId="0" fontId="5" fillId="125" borderId="0" xfId="0" applyFont="1" applyFill="1"/>
    <xf numFmtId="0" fontId="5" fillId="128" borderId="0" xfId="0" applyFont="1" applyFill="1"/>
    <xf numFmtId="0" fontId="5" fillId="130" borderId="0" xfId="0" applyFont="1" applyFill="1"/>
    <xf numFmtId="0" fontId="5" fillId="133" borderId="0" xfId="0" applyFont="1" applyFill="1"/>
    <xf numFmtId="0" fontId="5" fillId="134" borderId="0" xfId="0" applyFont="1" applyFill="1"/>
    <xf numFmtId="0" fontId="5" fillId="137" borderId="0" xfId="0" applyFont="1" applyFill="1"/>
    <xf numFmtId="0" fontId="5" fillId="139" borderId="0" xfId="0" applyFont="1" applyFill="1"/>
    <xf numFmtId="0" fontId="5" fillId="141" borderId="0" xfId="0" applyFont="1" applyFill="1"/>
    <xf numFmtId="0" fontId="5" fillId="152" borderId="0" xfId="0" applyFont="1" applyFill="1"/>
    <xf numFmtId="0" fontId="5" fillId="153" borderId="0" xfId="0" applyFont="1" applyFill="1"/>
    <xf numFmtId="0" fontId="5" fillId="154" borderId="0" xfId="0" applyFont="1" applyFill="1"/>
    <xf numFmtId="0" fontId="5" fillId="155" borderId="0" xfId="0" applyFont="1" applyFill="1"/>
    <xf numFmtId="0" fontId="5" fillId="156" borderId="0" xfId="0" applyFont="1" applyFill="1"/>
    <xf numFmtId="0" fontId="5" fillId="159" borderId="0" xfId="0" applyFont="1" applyFill="1"/>
    <xf numFmtId="0" fontId="5" fillId="160" borderId="0" xfId="0" applyFont="1" applyFill="1"/>
    <xf numFmtId="0" fontId="5" fillId="167" borderId="0" xfId="0" applyFont="1" applyFill="1"/>
    <xf numFmtId="0" fontId="5" fillId="168" borderId="0" xfId="0" applyFont="1" applyFill="1"/>
    <xf numFmtId="0" fontId="5" fillId="169" borderId="0" xfId="0" applyFont="1" applyFill="1"/>
    <xf numFmtId="0" fontId="5" fillId="170" borderId="0" xfId="0" applyFont="1" applyFill="1"/>
    <xf numFmtId="0" fontId="7" fillId="0" borderId="2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  <xf numFmtId="0" fontId="2" fillId="0" borderId="3" xfId="0" applyFont="1" applyBorder="1"/>
    <xf numFmtId="0" fontId="2" fillId="0" borderId="4" xfId="0" applyFont="1" applyBorder="1"/>
    <xf numFmtId="0" fontId="4" fillId="171" borderId="0" xfId="0" applyFont="1" applyFill="1"/>
    <xf numFmtId="0" fontId="4" fillId="172" borderId="0" xfId="0" applyFont="1" applyFill="1"/>
    <xf numFmtId="0" fontId="4" fillId="173" borderId="0" xfId="0" applyFont="1" applyFill="1"/>
    <xf numFmtId="0" fontId="4" fillId="174" borderId="0" xfId="0" applyFont="1" applyFill="1"/>
    <xf numFmtId="0" fontId="5" fillId="175" borderId="0" xfId="0" applyFont="1" applyFill="1"/>
    <xf numFmtId="0" fontId="4" fillId="176" borderId="0" xfId="0" applyFont="1" applyFill="1"/>
    <xf numFmtId="0" fontId="5" fillId="177" borderId="0" xfId="0" applyFont="1" applyFill="1"/>
    <xf numFmtId="0" fontId="5" fillId="178" borderId="0" xfId="0" applyFont="1" applyFill="1"/>
    <xf numFmtId="0" fontId="5" fillId="179" borderId="0" xfId="0" applyFont="1" applyFill="1"/>
    <xf numFmtId="0" fontId="5" fillId="180" borderId="0" xfId="0" applyFont="1" applyFill="1"/>
    <xf numFmtId="0" fontId="5" fillId="181" borderId="0" xfId="0" applyFont="1" applyFill="1"/>
    <xf numFmtId="0" fontId="5" fillId="182" borderId="0" xfId="0" applyFont="1" applyFill="1"/>
    <xf numFmtId="0" fontId="5" fillId="183" borderId="0" xfId="0" applyFont="1" applyFill="1"/>
    <xf numFmtId="0" fontId="5" fillId="184" borderId="0" xfId="0" applyFont="1" applyFill="1"/>
    <xf numFmtId="0" fontId="5" fillId="185" borderId="0" xfId="0" applyFont="1" applyFill="1"/>
    <xf numFmtId="0" fontId="5" fillId="186" borderId="0" xfId="0" applyFont="1" applyFill="1"/>
    <xf numFmtId="0" fontId="5" fillId="187" borderId="0" xfId="0" applyFont="1" applyFill="1"/>
    <xf numFmtId="0" fontId="5" fillId="188" borderId="0" xfId="0" applyFont="1" applyFill="1"/>
    <xf numFmtId="0" fontId="5" fillId="189" borderId="0" xfId="0" applyFont="1" applyFill="1"/>
    <xf numFmtId="0" fontId="5" fillId="190" borderId="0" xfId="0" applyFont="1" applyFill="1"/>
    <xf numFmtId="0" fontId="5" fillId="191" borderId="0" xfId="0" applyFont="1" applyFill="1"/>
    <xf numFmtId="0" fontId="4" fillId="192" borderId="0" xfId="0" applyFont="1" applyFill="1"/>
    <xf numFmtId="0" fontId="4" fillId="193" borderId="0" xfId="0" applyFont="1" applyFill="1"/>
    <xf numFmtId="0" fontId="5" fillId="194" borderId="0" xfId="0" applyFont="1" applyFill="1"/>
    <xf numFmtId="0" fontId="4" fillId="195" borderId="0" xfId="0" applyFont="1" applyFill="1"/>
    <xf numFmtId="0" fontId="4" fillId="196" borderId="0" xfId="0" applyFont="1" applyFill="1"/>
    <xf numFmtId="0" fontId="4" fillId="197" borderId="0" xfId="0" applyFont="1" applyFill="1"/>
    <xf numFmtId="0" fontId="4" fillId="198" borderId="0" xfId="0" applyFont="1" applyFill="1"/>
    <xf numFmtId="0" fontId="5" fillId="199" borderId="0" xfId="0" applyFont="1" applyFill="1"/>
    <xf numFmtId="0" fontId="5" fillId="200" borderId="0" xfId="0" applyFont="1" applyFill="1"/>
    <xf numFmtId="0" fontId="4" fillId="201" borderId="0" xfId="0" applyFont="1" applyFill="1"/>
    <xf numFmtId="0" fontId="4" fillId="202" borderId="0" xfId="0" applyFont="1" applyFill="1"/>
    <xf numFmtId="0" fontId="5" fillId="203" borderId="0" xfId="0" applyFont="1" applyFill="1"/>
    <xf numFmtId="0" fontId="4" fillId="204" borderId="0" xfId="0" applyFont="1" applyFill="1"/>
    <xf numFmtId="0" fontId="4" fillId="205" borderId="0" xfId="0" applyFont="1" applyFill="1"/>
    <xf numFmtId="0" fontId="5" fillId="206" borderId="0" xfId="0" applyFont="1" applyFill="1"/>
    <xf numFmtId="0" fontId="5" fillId="207" borderId="0" xfId="0" applyFont="1" applyFill="1"/>
    <xf numFmtId="0" fontId="5" fillId="208" borderId="0" xfId="0" applyFont="1" applyFill="1"/>
    <xf numFmtId="0" fontId="5" fillId="209" borderId="0" xfId="0" applyFont="1" applyFill="1"/>
    <xf numFmtId="0" fontId="5" fillId="210" borderId="0" xfId="0" applyFont="1" applyFill="1"/>
    <xf numFmtId="0" fontId="5" fillId="211" borderId="0" xfId="0" applyFont="1" applyFill="1"/>
    <xf numFmtId="0" fontId="5" fillId="212" borderId="0" xfId="0" applyFont="1" applyFill="1"/>
    <xf numFmtId="0" fontId="5" fillId="213" borderId="0" xfId="0" applyFont="1" applyFill="1"/>
    <xf numFmtId="0" fontId="4" fillId="214" borderId="0" xfId="0" applyFont="1" applyFill="1"/>
    <xf numFmtId="0" fontId="5" fillId="215" borderId="0" xfId="0" applyFont="1" applyFill="1"/>
    <xf numFmtId="0" fontId="5" fillId="216" borderId="0" xfId="0" applyFont="1" applyFill="1"/>
    <xf numFmtId="0" fontId="5" fillId="217" borderId="0" xfId="0" applyFont="1" applyFill="1"/>
    <xf numFmtId="0" fontId="5" fillId="218" borderId="0" xfId="0" applyFont="1" applyFill="1"/>
    <xf numFmtId="0" fontId="5" fillId="219" borderId="0" xfId="0" applyFont="1" applyFill="1"/>
    <xf numFmtId="0" fontId="5" fillId="220" borderId="0" xfId="0" applyFont="1" applyFill="1"/>
    <xf numFmtId="0" fontId="5" fillId="221" borderId="0" xfId="0" applyFont="1" applyFill="1"/>
    <xf numFmtId="0" fontId="5" fillId="222" borderId="0" xfId="0" applyFont="1" applyFill="1"/>
    <xf numFmtId="0" fontId="5" fillId="223" borderId="0" xfId="0" applyFont="1" applyFill="1"/>
    <xf numFmtId="0" fontId="4" fillId="224" borderId="0" xfId="0" applyFont="1" applyFill="1"/>
    <xf numFmtId="0" fontId="4" fillId="225" borderId="0" xfId="0" applyFont="1" applyFill="1"/>
    <xf numFmtId="0" fontId="5" fillId="226" borderId="0" xfId="0" applyFont="1" applyFill="1"/>
    <xf numFmtId="0" fontId="5" fillId="227" borderId="0" xfId="0" applyFont="1" applyFill="1"/>
    <xf numFmtId="0" fontId="4" fillId="228" borderId="0" xfId="0" applyFont="1" applyFill="1"/>
    <xf numFmtId="0" fontId="4" fillId="229" borderId="0" xfId="0" applyFont="1" applyFill="1"/>
    <xf numFmtId="0" fontId="4" fillId="230" borderId="0" xfId="0" applyFont="1" applyFill="1"/>
    <xf numFmtId="0" fontId="4" fillId="231" borderId="0" xfId="0" applyFont="1" applyFill="1"/>
    <xf numFmtId="0" fontId="4" fillId="232" borderId="0" xfId="0" applyFont="1" applyFill="1"/>
    <xf numFmtId="0" fontId="4" fillId="233" borderId="0" xfId="0" applyFont="1" applyFill="1"/>
    <xf numFmtId="0" fontId="5" fillId="234" borderId="0" xfId="0" applyFont="1" applyFill="1"/>
    <xf numFmtId="0" fontId="5" fillId="235" borderId="0" xfId="0" applyFont="1" applyFill="1"/>
    <xf numFmtId="0" fontId="5" fillId="236" borderId="0" xfId="0" applyFont="1" applyFill="1"/>
    <xf numFmtId="0" fontId="5" fillId="237" borderId="0" xfId="0" applyFont="1" applyFill="1"/>
    <xf numFmtId="0" fontId="5" fillId="238" borderId="0" xfId="0" applyFont="1" applyFill="1"/>
    <xf numFmtId="0" fontId="5" fillId="239" borderId="0" xfId="0" applyFont="1" applyFill="1"/>
    <xf numFmtId="0" fontId="5" fillId="240" borderId="0" xfId="0" applyFont="1" applyFill="1"/>
    <xf numFmtId="0" fontId="5" fillId="241" borderId="0" xfId="0" applyFont="1" applyFill="1"/>
    <xf numFmtId="0" fontId="5" fillId="242" borderId="0" xfId="0" applyFont="1" applyFill="1"/>
    <xf numFmtId="0" fontId="5" fillId="243" borderId="0" xfId="0" applyFont="1" applyFill="1"/>
    <xf numFmtId="0" fontId="5" fillId="244" borderId="0" xfId="0" applyFont="1" applyFill="1"/>
    <xf numFmtId="0" fontId="5" fillId="245" borderId="0" xfId="0" applyFont="1" applyFill="1"/>
    <xf numFmtId="0" fontId="5" fillId="246" borderId="0" xfId="0" applyFont="1" applyFill="1"/>
    <xf numFmtId="0" fontId="5" fillId="247" borderId="0" xfId="0" applyFont="1" applyFill="1"/>
    <xf numFmtId="0" fontId="5" fillId="248" borderId="0" xfId="0" applyFont="1" applyFill="1"/>
    <xf numFmtId="0" fontId="5" fillId="249" borderId="0" xfId="0" applyFont="1" applyFill="1"/>
    <xf numFmtId="0" fontId="5" fillId="250" borderId="0" xfId="0" applyFont="1" applyFill="1"/>
    <xf numFmtId="0" fontId="4" fillId="251" borderId="0" xfId="0" applyFont="1" applyFill="1"/>
    <xf numFmtId="0" fontId="5" fillId="252" borderId="0" xfId="0" applyFont="1" applyFill="1"/>
    <xf numFmtId="0" fontId="5" fillId="253" borderId="0" xfId="0" applyFont="1" applyFill="1"/>
    <xf numFmtId="0" fontId="5" fillId="254" borderId="0" xfId="0" applyFont="1" applyFill="1"/>
    <xf numFmtId="0" fontId="5" fillId="255" borderId="0" xfId="0" applyFont="1" applyFill="1"/>
    <xf numFmtId="0" fontId="5" fillId="256" borderId="0" xfId="0" applyFont="1" applyFill="1"/>
    <xf numFmtId="0" fontId="5" fillId="257" borderId="0" xfId="0" applyFont="1" applyFill="1"/>
    <xf numFmtId="0" fontId="5" fillId="258" borderId="0" xfId="0" applyFont="1" applyFill="1"/>
    <xf numFmtId="0" fontId="5" fillId="259" borderId="0" xfId="0" applyFont="1" applyFill="1"/>
    <xf numFmtId="0" fontId="5" fillId="260" borderId="0" xfId="0" applyFont="1" applyFill="1"/>
    <xf numFmtId="0" fontId="5" fillId="261" borderId="0" xfId="0" applyFont="1" applyFill="1"/>
    <xf numFmtId="0" fontId="5" fillId="262" borderId="0" xfId="0" applyFont="1" applyFill="1"/>
    <xf numFmtId="0" fontId="5" fillId="263" borderId="0" xfId="0" applyFont="1" applyFill="1"/>
    <xf numFmtId="0" fontId="5" fillId="264" borderId="0" xfId="0" applyFont="1" applyFill="1"/>
    <xf numFmtId="0" fontId="4" fillId="265" borderId="0" xfId="0" applyFont="1" applyFill="1"/>
    <xf numFmtId="0" fontId="4" fillId="266" borderId="0" xfId="0" applyFont="1" applyFill="1"/>
    <xf numFmtId="0" fontId="4" fillId="267" borderId="0" xfId="0" applyFont="1" applyFill="1"/>
    <xf numFmtId="0" fontId="5" fillId="268" borderId="0" xfId="0" applyFont="1" applyFill="1"/>
    <xf numFmtId="0" fontId="5" fillId="269" borderId="0" xfId="0" applyFont="1" applyFill="1"/>
    <xf numFmtId="0" fontId="4" fillId="270" borderId="0" xfId="0" applyFont="1" applyFill="1"/>
    <xf numFmtId="0" fontId="4" fillId="271" borderId="0" xfId="0" applyFont="1" applyFill="1"/>
    <xf numFmtId="0" fontId="4" fillId="272" borderId="0" xfId="0" applyFont="1" applyFill="1"/>
    <xf numFmtId="0" fontId="5" fillId="273" borderId="0" xfId="0" applyFont="1" applyFill="1"/>
    <xf numFmtId="0" fontId="5" fillId="274" borderId="0" xfId="0" applyFont="1" applyFill="1"/>
    <xf numFmtId="0" fontId="5" fillId="275" borderId="0" xfId="0" applyFont="1" applyFill="1"/>
    <xf numFmtId="0" fontId="5" fillId="276" borderId="0" xfId="0" applyFont="1" applyFill="1"/>
    <xf numFmtId="0" fontId="4" fillId="277" borderId="0" xfId="0" applyFont="1" applyFill="1"/>
    <xf numFmtId="0" fontId="4" fillId="278" borderId="0" xfId="0" applyFont="1" applyFill="1"/>
    <xf numFmtId="0" fontId="5" fillId="279" borderId="0" xfId="0" applyFont="1" applyFill="1"/>
    <xf numFmtId="0" fontId="5" fillId="280" borderId="0" xfId="0" applyFont="1" applyFill="1"/>
    <xf numFmtId="0" fontId="4" fillId="281" borderId="0" xfId="0" applyFont="1" applyFill="1"/>
    <xf numFmtId="0" fontId="4" fillId="282" borderId="0" xfId="0" applyFont="1" applyFill="1"/>
    <xf numFmtId="0" fontId="4" fillId="283" borderId="0" xfId="0" applyFont="1" applyFill="1"/>
    <xf numFmtId="0" fontId="5" fillId="284" borderId="0" xfId="0" applyFont="1" applyFill="1"/>
    <xf numFmtId="0" fontId="4" fillId="285" borderId="0" xfId="0" applyFont="1" applyFill="1"/>
    <xf numFmtId="0" fontId="4" fillId="286" borderId="0" xfId="0" applyFont="1" applyFill="1"/>
    <xf numFmtId="0" fontId="4" fillId="287" borderId="0" xfId="0" applyFont="1" applyFill="1"/>
    <xf numFmtId="0" fontId="4" fillId="288" borderId="0" xfId="0" applyFont="1" applyFill="1"/>
    <xf numFmtId="0" fontId="4" fillId="289" borderId="0" xfId="0" applyFont="1" applyFill="1"/>
    <xf numFmtId="0" fontId="5" fillId="290" borderId="0" xfId="0" applyFont="1" applyFill="1"/>
    <xf numFmtId="0" fontId="5" fillId="291" borderId="0" xfId="0" applyFont="1" applyFill="1"/>
    <xf numFmtId="0" fontId="4" fillId="292" borderId="0" xfId="0" applyFont="1" applyFill="1"/>
    <xf numFmtId="0" fontId="4" fillId="293" borderId="0" xfId="0" applyFont="1" applyFill="1"/>
    <xf numFmtId="0" fontId="5" fillId="294" borderId="0" xfId="0" applyFont="1" applyFill="1"/>
    <xf numFmtId="0" fontId="4" fillId="295" borderId="0" xfId="0" applyFont="1" applyFill="1"/>
    <xf numFmtId="0" fontId="4" fillId="296" borderId="0" xfId="0" applyFont="1" applyFill="1"/>
    <xf numFmtId="0" fontId="4" fillId="297" borderId="0" xfId="0" applyFont="1" applyFill="1"/>
    <xf numFmtId="0" fontId="5" fillId="298" borderId="0" xfId="0" applyFont="1" applyFill="1"/>
    <xf numFmtId="0" fontId="4" fillId="299" borderId="0" xfId="0" applyFont="1" applyFill="1"/>
    <xf numFmtId="0" fontId="4" fillId="300" borderId="0" xfId="0" applyFont="1" applyFill="1"/>
    <xf numFmtId="0" fontId="4" fillId="301" borderId="0" xfId="0" applyFont="1" applyFill="1"/>
    <xf numFmtId="0" fontId="5" fillId="302" borderId="0" xfId="0" applyFont="1" applyFill="1"/>
    <xf numFmtId="0" fontId="4" fillId="303" borderId="0" xfId="0" applyFont="1" applyFill="1"/>
    <xf numFmtId="0" fontId="4" fillId="304" borderId="0" xfId="0" applyFont="1" applyFill="1"/>
    <xf numFmtId="0" fontId="4" fillId="305" borderId="0" xfId="0" applyFont="1" applyFill="1"/>
    <xf numFmtId="0" fontId="4" fillId="306" borderId="0" xfId="0" applyFont="1" applyFill="1"/>
    <xf numFmtId="0" fontId="4" fillId="307" borderId="0" xfId="0" applyFont="1" applyFill="1"/>
    <xf numFmtId="0" fontId="4" fillId="308" borderId="0" xfId="0" applyFont="1" applyFill="1"/>
    <xf numFmtId="0" fontId="4" fillId="309" borderId="0" xfId="0" applyFont="1" applyFill="1"/>
    <xf numFmtId="0" fontId="4" fillId="310" borderId="0" xfId="0" applyFont="1" applyFill="1"/>
    <xf numFmtId="0" fontId="4" fillId="311" borderId="0" xfId="0" applyFont="1" applyFill="1"/>
    <xf numFmtId="0" fontId="4" fillId="312" borderId="0" xfId="0" applyFont="1" applyFill="1"/>
    <xf numFmtId="0" fontId="5" fillId="313" borderId="0" xfId="0" applyFont="1" applyFill="1"/>
    <xf numFmtId="0" fontId="5" fillId="314" borderId="0" xfId="0" applyFont="1" applyFill="1"/>
    <xf numFmtId="0" fontId="5" fillId="315" borderId="0" xfId="0" applyFont="1" applyFill="1"/>
    <xf numFmtId="0" fontId="4" fillId="316" borderId="0" xfId="0" applyFont="1" applyFill="1"/>
    <xf numFmtId="0" fontId="5" fillId="317" borderId="0" xfId="0" applyFont="1" applyFill="1"/>
    <xf numFmtId="0" fontId="4" fillId="318" borderId="0" xfId="0" applyFont="1" applyFill="1"/>
    <xf numFmtId="0" fontId="5" fillId="319" borderId="0" xfId="0" applyFont="1" applyFill="1"/>
    <xf numFmtId="0" fontId="4" fillId="320" borderId="0" xfId="0" applyFont="1" applyFill="1"/>
    <xf numFmtId="0" fontId="4" fillId="321" borderId="0" xfId="0" applyFont="1" applyFill="1"/>
    <xf numFmtId="0" fontId="4" fillId="322" borderId="0" xfId="0" applyFont="1" applyFill="1"/>
    <xf numFmtId="0" fontId="5" fillId="323" borderId="0" xfId="0" applyFont="1" applyFill="1"/>
    <xf numFmtId="0" fontId="4" fillId="324" borderId="0" xfId="0" applyFont="1" applyFill="1"/>
    <xf numFmtId="0" fontId="4" fillId="325" borderId="0" xfId="0" applyFont="1" applyFill="1"/>
    <xf numFmtId="0" fontId="4" fillId="326" borderId="0" xfId="0" applyFont="1" applyFill="1"/>
    <xf numFmtId="0" fontId="5" fillId="327" borderId="0" xfId="0" applyFont="1" applyFill="1"/>
    <xf numFmtId="0" fontId="4" fillId="328" borderId="0" xfId="0" applyFont="1" applyFill="1"/>
    <xf numFmtId="0" fontId="4" fillId="329" borderId="0" xfId="0" applyFont="1" applyFill="1"/>
    <xf numFmtId="0" fontId="4" fillId="330" borderId="0" xfId="0" applyFont="1" applyFill="1"/>
    <xf numFmtId="0" fontId="4" fillId="331" borderId="0" xfId="0" applyFont="1" applyFill="1"/>
    <xf numFmtId="0" fontId="4" fillId="332" borderId="0" xfId="0" applyFont="1" applyFill="1"/>
    <xf numFmtId="0" fontId="4" fillId="333" borderId="0" xfId="0" applyFont="1" applyFill="1"/>
    <xf numFmtId="0" fontId="4" fillId="334" borderId="0" xfId="0" applyFont="1" applyFill="1"/>
    <xf numFmtId="0" fontId="5" fillId="335" borderId="0" xfId="0" applyFont="1" applyFill="1"/>
    <xf numFmtId="0" fontId="5" fillId="336" borderId="0" xfId="0" applyFont="1" applyFill="1"/>
    <xf numFmtId="0" fontId="4" fillId="337" borderId="0" xfId="0" applyFont="1" applyFill="1"/>
    <xf numFmtId="0" fontId="5" fillId="338" borderId="0" xfId="0" applyFont="1" applyFill="1"/>
    <xf numFmtId="0" fontId="4" fillId="339" borderId="0" xfId="0" applyFont="1" applyFill="1"/>
    <xf numFmtId="0" fontId="5" fillId="340" borderId="0" xfId="0" applyFont="1" applyFill="1"/>
    <xf numFmtId="0" fontId="4" fillId="341" borderId="0" xfId="0" applyFont="1" applyFill="1"/>
    <xf numFmtId="0" fontId="4" fillId="342" borderId="0" xfId="0" applyFont="1" applyFill="1"/>
    <xf numFmtId="0" fontId="5" fillId="343" borderId="0" xfId="0" applyFont="1" applyFill="1"/>
    <xf numFmtId="0" fontId="4" fillId="344" borderId="0" xfId="0" applyFont="1" applyFill="1"/>
    <xf numFmtId="0" fontId="4" fillId="345" borderId="0" xfId="0" applyFont="1" applyFill="1"/>
    <xf numFmtId="0" fontId="4" fillId="346" borderId="0" xfId="0" applyFont="1" applyFill="1"/>
    <xf numFmtId="0" fontId="5" fillId="347" borderId="0" xfId="0" applyFont="1" applyFill="1"/>
    <xf numFmtId="0" fontId="4" fillId="348" borderId="0" xfId="0" applyFont="1" applyFill="1"/>
    <xf numFmtId="0" fontId="4" fillId="349" borderId="0" xfId="0" applyFont="1" applyFill="1"/>
    <xf numFmtId="0" fontId="5" fillId="350" borderId="0" xfId="0" applyFont="1" applyFill="1"/>
    <xf numFmtId="0" fontId="4" fillId="351" borderId="0" xfId="0" applyFont="1" applyFill="1"/>
    <xf numFmtId="0" fontId="4" fillId="352" borderId="0" xfId="0" applyFont="1" applyFill="1"/>
    <xf numFmtId="0" fontId="4" fillId="353" borderId="0" xfId="0" applyFont="1" applyFill="1"/>
    <xf numFmtId="0" fontId="4" fillId="354" borderId="0" xfId="0" applyFont="1" applyFill="1"/>
    <xf numFmtId="0" fontId="5" fillId="355" borderId="0" xfId="0" applyFont="1" applyFill="1"/>
    <xf numFmtId="0" fontId="5" fillId="356" borderId="0" xfId="0" applyFont="1" applyFill="1"/>
    <xf numFmtId="0" fontId="4" fillId="357" borderId="0" xfId="0" applyFont="1" applyFill="1"/>
    <xf numFmtId="0" fontId="4" fillId="358" borderId="0" xfId="0" applyFont="1" applyFill="1"/>
    <xf numFmtId="0" fontId="5" fillId="359" borderId="0" xfId="0" applyFont="1" applyFill="1"/>
    <xf numFmtId="0" fontId="4" fillId="360" borderId="0" xfId="0" applyFont="1" applyFill="1"/>
    <xf numFmtId="0" fontId="5" fillId="361" borderId="0" xfId="0" applyFont="1" applyFill="1"/>
    <xf numFmtId="0" fontId="4" fillId="362" borderId="0" xfId="0" applyFont="1" applyFill="1"/>
    <xf numFmtId="0" fontId="4" fillId="363" borderId="0" xfId="0" applyFont="1" applyFill="1"/>
    <xf numFmtId="0" fontId="5" fillId="364" borderId="0" xfId="0" applyFont="1" applyFill="1"/>
    <xf numFmtId="0" fontId="4" fillId="365" borderId="0" xfId="0" applyFont="1" applyFill="1"/>
    <xf numFmtId="0" fontId="4" fillId="366" borderId="0" xfId="0" applyFont="1" applyFill="1"/>
    <xf numFmtId="0" fontId="4" fillId="367" borderId="0" xfId="0" applyFont="1" applyFill="1"/>
    <xf numFmtId="0" fontId="5" fillId="368" borderId="0" xfId="0" applyFont="1" applyFill="1"/>
    <xf numFmtId="0" fontId="4" fillId="369" borderId="0" xfId="0" applyFont="1" applyFill="1"/>
    <xf numFmtId="0" fontId="4" fillId="370" borderId="0" xfId="0" applyFont="1" applyFill="1"/>
    <xf numFmtId="0" fontId="5" fillId="371" borderId="0" xfId="0" applyFont="1" applyFill="1"/>
    <xf numFmtId="0" fontId="4" fillId="372" borderId="0" xfId="0" applyFont="1" applyFill="1"/>
    <xf numFmtId="0" fontId="5" fillId="373" borderId="0" xfId="0" applyFont="1" applyFill="1"/>
    <xf numFmtId="0" fontId="4" fillId="374" borderId="0" xfId="0" applyFont="1" applyFill="1"/>
    <xf numFmtId="0" fontId="4" fillId="375" borderId="0" xfId="0" applyFont="1" applyFill="1"/>
    <xf numFmtId="0" fontId="4" fillId="376" borderId="0" xfId="0" applyFont="1" applyFill="1"/>
    <xf numFmtId="0" fontId="4" fillId="377" borderId="0" xfId="0" applyFont="1" applyFill="1"/>
    <xf numFmtId="0" fontId="4" fillId="378" borderId="0" xfId="0" applyFont="1" applyFill="1"/>
    <xf numFmtId="0" fontId="4" fillId="379" borderId="0" xfId="0" applyFont="1" applyFill="1"/>
    <xf numFmtId="0" fontId="4" fillId="380" borderId="0" xfId="0" applyFont="1" applyFill="1"/>
    <xf numFmtId="0" fontId="4" fillId="381" borderId="0" xfId="0" applyFont="1" applyFill="1"/>
    <xf numFmtId="0" fontId="5" fillId="382" borderId="0" xfId="0" applyFont="1" applyFill="1"/>
    <xf numFmtId="0" fontId="4" fillId="383" borderId="0" xfId="0" applyFont="1" applyFill="1"/>
    <xf numFmtId="0" fontId="4" fillId="384" borderId="0" xfId="0" applyFont="1" applyFill="1"/>
    <xf numFmtId="0" fontId="4" fillId="385" borderId="0" xfId="0" applyFont="1" applyFill="1"/>
    <xf numFmtId="0" fontId="5" fillId="386" borderId="0" xfId="0" applyFont="1" applyFill="1"/>
    <xf numFmtId="0" fontId="4" fillId="387" borderId="0" xfId="0" applyFont="1" applyFill="1"/>
    <xf numFmtId="0" fontId="4" fillId="388" borderId="0" xfId="0" applyFont="1" applyFill="1"/>
    <xf numFmtId="0" fontId="4" fillId="389" borderId="0" xfId="0" applyFont="1" applyFill="1"/>
    <xf numFmtId="0" fontId="4" fillId="390" borderId="0" xfId="0" applyFont="1" applyFill="1"/>
    <xf numFmtId="0" fontId="5" fillId="391" borderId="0" xfId="0" applyFont="1" applyFill="1"/>
    <xf numFmtId="0" fontId="5" fillId="392" borderId="0" xfId="0" applyFont="1" applyFill="1"/>
    <xf numFmtId="0" fontId="5" fillId="393" borderId="0" xfId="0" applyFont="1" applyFill="1"/>
    <xf numFmtId="0" fontId="4" fillId="394" borderId="0" xfId="0" applyFont="1" applyFill="1"/>
    <xf numFmtId="0" fontId="4" fillId="395" borderId="0" xfId="0" applyFont="1" applyFill="1"/>
    <xf numFmtId="0" fontId="5" fillId="396" borderId="0" xfId="0" applyFont="1" applyFill="1"/>
    <xf numFmtId="0" fontId="5" fillId="397" borderId="0" xfId="0" applyFont="1" applyFill="1"/>
    <xf numFmtId="0" fontId="5" fillId="398" borderId="0" xfId="0" applyFont="1" applyFill="1"/>
    <xf numFmtId="0" fontId="4" fillId="399" borderId="0" xfId="0" applyFont="1" applyFill="1"/>
    <xf numFmtId="0" fontId="4" fillId="400" borderId="0" xfId="0" applyFont="1" applyFill="1"/>
    <xf numFmtId="0" fontId="4" fillId="401" borderId="0" xfId="0" applyFont="1" applyFill="1"/>
    <xf numFmtId="0" fontId="4" fillId="402" borderId="0" xfId="0" applyFont="1" applyFill="1"/>
    <xf numFmtId="0" fontId="4" fillId="403" borderId="0" xfId="0" applyFont="1" applyFill="1"/>
    <xf numFmtId="0" fontId="5" fillId="404" borderId="0" xfId="0" applyFont="1" applyFill="1"/>
    <xf numFmtId="0" fontId="4" fillId="405" borderId="0" xfId="0" applyFont="1" applyFill="1"/>
    <xf numFmtId="0" fontId="4" fillId="406" borderId="0" xfId="0" applyFont="1" applyFill="1"/>
    <xf numFmtId="0" fontId="4" fillId="407" borderId="0" xfId="0" applyFont="1" applyFill="1"/>
    <xf numFmtId="0" fontId="5" fillId="408" borderId="0" xfId="0" applyFont="1" applyFill="1"/>
    <xf numFmtId="0" fontId="5" fillId="409" borderId="0" xfId="0" applyFont="1" applyFill="1"/>
    <xf numFmtId="0" fontId="5" fillId="410" borderId="0" xfId="0" applyFont="1" applyFill="1"/>
    <xf numFmtId="0" fontId="4" fillId="411" borderId="0" xfId="0" applyFont="1" applyFill="1"/>
    <xf numFmtId="0" fontId="4" fillId="412" borderId="0" xfId="0" applyFont="1" applyFill="1"/>
    <xf numFmtId="0" fontId="5" fillId="413" borderId="0" xfId="0" applyFont="1" applyFill="1"/>
    <xf numFmtId="0" fontId="5" fillId="414" borderId="0" xfId="0" applyFont="1" applyFill="1"/>
    <xf numFmtId="0" fontId="4" fillId="415" borderId="0" xfId="0" applyFont="1" applyFill="1"/>
    <xf numFmtId="0" fontId="4" fillId="416" borderId="0" xfId="0" applyFont="1" applyFill="1"/>
    <xf numFmtId="0" fontId="5" fillId="417" borderId="0" xfId="0" applyFont="1" applyFill="1"/>
    <xf numFmtId="0" fontId="4" fillId="418" borderId="0" xfId="0" applyFont="1" applyFill="1"/>
    <xf numFmtId="0" fontId="4" fillId="419" borderId="0" xfId="0" applyFont="1" applyFill="1"/>
    <xf numFmtId="0" fontId="4" fillId="420" borderId="0" xfId="0" applyFont="1" applyFill="1"/>
    <xf numFmtId="0" fontId="5" fillId="421" borderId="0" xfId="0" applyFont="1" applyFill="1"/>
    <xf numFmtId="0" fontId="5" fillId="422" borderId="0" xfId="0" applyFont="1" applyFill="1"/>
    <xf numFmtId="0" fontId="5" fillId="423" borderId="0" xfId="0" applyFont="1" applyFill="1"/>
    <xf numFmtId="0" fontId="4" fillId="424" borderId="0" xfId="0" applyFont="1" applyFill="1"/>
    <xf numFmtId="0" fontId="4" fillId="425" borderId="0" xfId="0" applyFont="1" applyFill="1"/>
    <xf numFmtId="0" fontId="5" fillId="426" borderId="0" xfId="0" applyFont="1" applyFill="1"/>
    <xf numFmtId="0" fontId="4" fillId="427" borderId="0" xfId="0" applyFont="1" applyFill="1"/>
    <xf numFmtId="0" fontId="5" fillId="428" borderId="0" xfId="0" applyFont="1" applyFill="1"/>
    <xf numFmtId="0" fontId="4" fillId="429" borderId="0" xfId="0" applyFont="1" applyFill="1"/>
    <xf numFmtId="0" fontId="5" fillId="430" borderId="0" xfId="0" applyFont="1" applyFill="1"/>
    <xf numFmtId="0" fontId="5" fillId="431" borderId="0" xfId="0" applyFont="1" applyFill="1"/>
    <xf numFmtId="0" fontId="5" fillId="432" borderId="0" xfId="0" applyFont="1" applyFill="1"/>
    <xf numFmtId="0" fontId="4" fillId="433" borderId="0" xfId="0" applyFont="1" applyFill="1"/>
    <xf numFmtId="0" fontId="4" fillId="434" borderId="0" xfId="0" applyFont="1" applyFill="1"/>
    <xf numFmtId="0" fontId="5" fillId="435" borderId="0" xfId="0" applyFont="1" applyFill="1"/>
    <xf numFmtId="0" fontId="5" fillId="436" borderId="0" xfId="0" applyFont="1" applyFill="1"/>
    <xf numFmtId="0" fontId="4" fillId="437" borderId="0" xfId="0" applyFont="1" applyFill="1"/>
    <xf numFmtId="0" fontId="5" fillId="438" borderId="0" xfId="0" applyFont="1" applyFill="1"/>
    <xf numFmtId="0" fontId="5" fillId="439" borderId="0" xfId="0" applyFont="1" applyFill="1"/>
    <xf numFmtId="0" fontId="5" fillId="440" borderId="0" xfId="0" applyFont="1" applyFill="1"/>
    <xf numFmtId="0" fontId="5" fillId="441" borderId="0" xfId="0" applyFont="1" applyFill="1"/>
    <xf numFmtId="0" fontId="5" fillId="442" borderId="0" xfId="0" applyFont="1" applyFill="1"/>
    <xf numFmtId="0" fontId="5" fillId="443" borderId="0" xfId="0" applyFont="1" applyFill="1"/>
    <xf numFmtId="0" fontId="5" fillId="444" borderId="0" xfId="0" applyFont="1" applyFill="1"/>
    <xf numFmtId="0" fontId="4" fillId="445" borderId="0" xfId="0" applyFont="1" applyFill="1"/>
    <xf numFmtId="0" fontId="4" fillId="446" borderId="0" xfId="0" applyFont="1" applyFill="1"/>
    <xf numFmtId="0" fontId="4" fillId="447" borderId="0" xfId="0" applyFont="1" applyFill="1"/>
    <xf numFmtId="0" fontId="4" fillId="448" borderId="0" xfId="0" applyFont="1" applyFill="1"/>
    <xf numFmtId="0" fontId="4" fillId="449" borderId="0" xfId="0" applyFont="1" applyFill="1"/>
    <xf numFmtId="0" fontId="4" fillId="450" borderId="0" xfId="0" applyFont="1" applyFill="1"/>
    <xf numFmtId="0" fontId="4" fillId="451" borderId="0" xfId="0" applyFont="1" applyFill="1"/>
    <xf numFmtId="0" fontId="4" fillId="452" borderId="0" xfId="0" applyFont="1" applyFill="1"/>
    <xf numFmtId="0" fontId="4" fillId="453" borderId="0" xfId="0" applyFont="1" applyFill="1"/>
    <xf numFmtId="0" fontId="4" fillId="454" borderId="0" xfId="0" applyFont="1" applyFill="1"/>
    <xf numFmtId="0" fontId="4" fillId="455" borderId="0" xfId="0" applyFont="1" applyFill="1"/>
    <xf numFmtId="0" fontId="4" fillId="456" borderId="0" xfId="0" applyFont="1" applyFill="1"/>
    <xf numFmtId="0" fontId="4" fillId="457" borderId="0" xfId="0" applyFont="1" applyFill="1"/>
    <xf numFmtId="0" fontId="4" fillId="458" borderId="0" xfId="0" applyFont="1" applyFill="1"/>
    <xf numFmtId="0" fontId="4" fillId="459" borderId="0" xfId="0" applyFont="1" applyFill="1"/>
    <xf numFmtId="0" fontId="4" fillId="460" borderId="0" xfId="0" applyFont="1" applyFill="1"/>
    <xf numFmtId="0" fontId="4" fillId="461" borderId="0" xfId="0" applyFont="1" applyFill="1"/>
    <xf numFmtId="0" fontId="4" fillId="462" borderId="0" xfId="0" applyFont="1" applyFill="1"/>
    <xf numFmtId="0" fontId="4" fillId="463" borderId="0" xfId="0" applyFont="1" applyFill="1"/>
    <xf numFmtId="0" fontId="4" fillId="464" borderId="0" xfId="0" applyFont="1" applyFill="1"/>
    <xf numFmtId="0" fontId="4" fillId="465" borderId="0" xfId="0" applyFont="1" applyFill="1"/>
    <xf numFmtId="0" fontId="4" fillId="466" borderId="0" xfId="0" applyFont="1" applyFill="1"/>
    <xf numFmtId="0" fontId="4" fillId="467" borderId="0" xfId="0" applyFont="1" applyFill="1"/>
    <xf numFmtId="0" fontId="4" fillId="468" borderId="0" xfId="0" applyFont="1" applyFill="1"/>
    <xf numFmtId="0" fontId="4" fillId="469" borderId="0" xfId="0" applyFont="1" applyFill="1"/>
    <xf numFmtId="0" fontId="4" fillId="470" borderId="0" xfId="0" applyFont="1" applyFill="1"/>
    <xf numFmtId="0" fontId="4" fillId="471" borderId="0" xfId="0" applyFont="1" applyFill="1"/>
    <xf numFmtId="0" fontId="4" fillId="472" borderId="0" xfId="0" applyFont="1" applyFill="1"/>
    <xf numFmtId="0" fontId="4" fillId="473" borderId="0" xfId="0" applyFont="1" applyFill="1"/>
    <xf numFmtId="0" fontId="4" fillId="474" borderId="0" xfId="0" applyFont="1" applyFill="1"/>
    <xf numFmtId="0" fontId="4" fillId="475" borderId="0" xfId="0" applyFont="1" applyFill="1"/>
    <xf numFmtId="0" fontId="4" fillId="476" borderId="0" xfId="0" applyFont="1" applyFill="1"/>
    <xf numFmtId="0" fontId="4" fillId="477" borderId="0" xfId="0" applyFont="1" applyFill="1"/>
    <xf numFmtId="0" fontId="4" fillId="478" borderId="0" xfId="0" applyFont="1" applyFill="1"/>
    <xf numFmtId="0" fontId="4" fillId="479" borderId="0" xfId="0" applyFont="1" applyFill="1"/>
    <xf numFmtId="0" fontId="4" fillId="480" borderId="0" xfId="0" applyFont="1" applyFill="1"/>
    <xf numFmtId="0" fontId="4" fillId="481" borderId="0" xfId="0" applyFont="1" applyFill="1"/>
    <xf numFmtId="0" fontId="4" fillId="482" borderId="0" xfId="0" applyFont="1" applyFill="1"/>
    <xf numFmtId="0" fontId="4" fillId="483" borderId="0" xfId="0" applyFont="1" applyFill="1"/>
    <xf numFmtId="0" fontId="4" fillId="484" borderId="0" xfId="0" applyFont="1" applyFill="1"/>
    <xf numFmtId="0" fontId="4" fillId="485" borderId="0" xfId="0" applyFont="1" applyFill="1"/>
    <xf numFmtId="0" fontId="4" fillId="486" borderId="0" xfId="0" applyFont="1" applyFill="1"/>
    <xf numFmtId="0" fontId="5" fillId="487" borderId="0" xfId="0" applyFont="1" applyFill="1"/>
    <xf numFmtId="0" fontId="5" fillId="488" borderId="0" xfId="0" applyFont="1" applyFill="1"/>
    <xf numFmtId="0" fontId="5" fillId="489" borderId="0" xfId="0" applyFont="1" applyFill="1"/>
    <xf numFmtId="0" fontId="5" fillId="490" borderId="0" xfId="0" applyFont="1" applyFill="1"/>
    <xf numFmtId="0" fontId="5" fillId="491" borderId="0" xfId="0" applyFont="1" applyFill="1"/>
    <xf numFmtId="0" fontId="5" fillId="492" borderId="0" xfId="0" applyFont="1" applyFill="1"/>
    <xf numFmtId="0" fontId="5" fillId="493" borderId="0" xfId="0" applyFont="1" applyFill="1"/>
    <xf numFmtId="0" fontId="5" fillId="494" borderId="0" xfId="0" applyFont="1" applyFill="1"/>
    <xf numFmtId="0" fontId="5" fillId="495" borderId="0" xfId="0" applyFont="1" applyFill="1"/>
    <xf numFmtId="0" fontId="5" fillId="496" borderId="0" xfId="0" applyFont="1" applyFill="1"/>
    <xf numFmtId="0" fontId="5" fillId="497" borderId="0" xfId="0" applyFont="1" applyFill="1"/>
    <xf numFmtId="0" fontId="5" fillId="498" borderId="0" xfId="0" applyFont="1" applyFill="1"/>
    <xf numFmtId="0" fontId="5" fillId="499" borderId="0" xfId="0" applyFont="1" applyFill="1"/>
    <xf numFmtId="0" fontId="5" fillId="500" borderId="0" xfId="0" applyFont="1" applyFill="1"/>
    <xf numFmtId="0" fontId="5" fillId="501" borderId="0" xfId="0" applyFont="1" applyFill="1"/>
    <xf numFmtId="0" fontId="5" fillId="502" borderId="0" xfId="0" applyFont="1" applyFill="1"/>
    <xf numFmtId="0" fontId="5" fillId="503" borderId="0" xfId="0" applyFont="1" applyFill="1"/>
    <xf numFmtId="0" fontId="5" fillId="504" borderId="0" xfId="0" applyFont="1" applyFill="1"/>
    <xf numFmtId="0" fontId="5" fillId="505" borderId="0" xfId="0" applyFont="1" applyFill="1"/>
    <xf numFmtId="0" fontId="5" fillId="506" borderId="0" xfId="0" applyFont="1" applyFill="1"/>
    <xf numFmtId="0" fontId="5" fillId="507" borderId="0" xfId="0" applyFont="1" applyFill="1"/>
    <xf numFmtId="0" fontId="5" fillId="508" borderId="0" xfId="0" applyFont="1" applyFill="1"/>
    <xf numFmtId="0" fontId="5" fillId="509" borderId="0" xfId="0" applyFont="1" applyFill="1"/>
    <xf numFmtId="0" fontId="5" fillId="510" borderId="0" xfId="0" applyFont="1" applyFill="1"/>
    <xf numFmtId="0" fontId="5" fillId="511" borderId="0" xfId="0" applyFont="1" applyFill="1"/>
    <xf numFmtId="0" fontId="5" fillId="512" borderId="0" xfId="0" applyFont="1" applyFill="1"/>
    <xf numFmtId="0" fontId="5" fillId="513" borderId="0" xfId="0" applyFont="1" applyFill="1"/>
    <xf numFmtId="0" fontId="5" fillId="514" borderId="0" xfId="0" applyFont="1" applyFill="1"/>
    <xf numFmtId="0" fontId="5" fillId="515" borderId="0" xfId="0" applyFont="1" applyFill="1"/>
    <xf numFmtId="0" fontId="5" fillId="516" borderId="0" xfId="0" applyFont="1" applyFill="1"/>
    <xf numFmtId="0" fontId="5" fillId="517" borderId="0" xfId="0" applyFont="1" applyFill="1"/>
    <xf numFmtId="0" fontId="5" fillId="518" borderId="0" xfId="0" applyFont="1" applyFill="1"/>
    <xf numFmtId="0" fontId="5" fillId="519" borderId="0" xfId="0" applyFont="1" applyFill="1"/>
    <xf numFmtId="0" fontId="5" fillId="520" borderId="0" xfId="0" applyFont="1" applyFill="1"/>
    <xf numFmtId="0" fontId="5" fillId="521" borderId="0" xfId="0" applyFont="1" applyFill="1"/>
    <xf numFmtId="0" fontId="5" fillId="522" borderId="0" xfId="0" applyFont="1" applyFill="1"/>
    <xf numFmtId="0" fontId="5" fillId="523" borderId="0" xfId="0" applyFont="1" applyFill="1"/>
    <xf numFmtId="0" fontId="5" fillId="524" borderId="0" xfId="0" applyFont="1" applyFill="1"/>
    <xf numFmtId="0" fontId="5" fillId="525" borderId="0" xfId="0" applyFont="1" applyFill="1"/>
    <xf numFmtId="0" fontId="5" fillId="526" borderId="0" xfId="0" applyFont="1" applyFill="1"/>
    <xf numFmtId="0" fontId="5" fillId="527" borderId="0" xfId="0" applyFont="1" applyFill="1"/>
    <xf numFmtId="0" fontId="5" fillId="528" borderId="0" xfId="0" applyFont="1" applyFill="1"/>
    <xf numFmtId="0" fontId="5" fillId="529" borderId="0" xfId="0" applyFont="1" applyFill="1"/>
    <xf numFmtId="0" fontId="5" fillId="530" borderId="0" xfId="0" applyFont="1" applyFill="1"/>
    <xf numFmtId="0" fontId="5" fillId="531" borderId="0" xfId="0" applyFont="1" applyFill="1"/>
    <xf numFmtId="0" fontId="5" fillId="532" borderId="0" xfId="0" applyFont="1" applyFill="1"/>
    <xf numFmtId="0" fontId="5" fillId="533" borderId="0" xfId="0" applyFont="1" applyFill="1"/>
    <xf numFmtId="0" fontId="5" fillId="534" borderId="0" xfId="0" applyFont="1" applyFill="1"/>
    <xf numFmtId="0" fontId="5" fillId="535" borderId="0" xfId="0" applyFont="1" applyFill="1"/>
    <xf numFmtId="0" fontId="5" fillId="536" borderId="0" xfId="0" applyFont="1" applyFill="1"/>
    <xf numFmtId="0" fontId="5" fillId="537" borderId="0" xfId="0" applyFont="1" applyFill="1"/>
    <xf numFmtId="0" fontId="0" fillId="0" borderId="0" xfId="0" applyAlignment="1">
      <alignment horizontal="left"/>
    </xf>
    <xf numFmtId="0" fontId="9" fillId="0" borderId="0" xfId="0" applyFont="1"/>
    <xf numFmtId="0" fontId="6" fillId="538" borderId="0" xfId="0" applyFont="1" applyFill="1" applyBorder="1" applyAlignment="1">
      <alignment horizontal="left" vertical="top" wrapText="1"/>
    </xf>
    <xf numFmtId="0" fontId="8" fillId="10" borderId="0" xfId="0" applyFont="1" applyFill="1" applyBorder="1" applyAlignment="1">
      <alignment horizontal="left" vertical="top" wrapText="1"/>
    </xf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B6080"/>
      <color rgb="FFFFA3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287337</xdr:colOff>
      <xdr:row>0</xdr:row>
      <xdr:rowOff>0</xdr:rowOff>
    </xdr:from>
    <xdr:to>
      <xdr:col>9</xdr:col>
      <xdr:colOff>201612</xdr:colOff>
      <xdr:row>13</xdr:row>
      <xdr:rowOff>124143</xdr:rowOff>
    </xdr:to>
    <xdr:sp macro="" textlink="">
      <xdr:nvSpPr>
        <xdr:cNvPr id="4" name="AutoShape 24"/>
        <xdr:cNvSpPr>
          <a:spLocks noChangeArrowheads="1"/>
        </xdr:cNvSpPr>
      </xdr:nvSpPr>
      <xdr:spPr bwMode="auto">
        <a:xfrm>
          <a:off x="287337" y="0"/>
          <a:ext cx="5400675" cy="2303463"/>
        </a:xfrm>
        <a:prstGeom prst="flowChartAlternateProcess">
          <a:avLst/>
        </a:prstGeom>
        <a:solidFill>
          <a:srgbClr val="FFFF66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331787</xdr:colOff>
      <xdr:row>0</xdr:row>
      <xdr:rowOff>42863</xdr:rowOff>
    </xdr:from>
    <xdr:to>
      <xdr:col>9</xdr:col>
      <xdr:colOff>246062</xdr:colOff>
      <xdr:row>13</xdr:row>
      <xdr:rowOff>167005</xdr:rowOff>
    </xdr:to>
    <xdr:sp macro="" textlink="">
      <xdr:nvSpPr>
        <xdr:cNvPr id="3" name="AutoShape 25"/>
        <xdr:cNvSpPr>
          <a:spLocks noChangeArrowheads="1"/>
        </xdr:cNvSpPr>
      </xdr:nvSpPr>
      <xdr:spPr bwMode="auto">
        <a:xfrm>
          <a:off x="331787" y="42863"/>
          <a:ext cx="5400675" cy="2303462"/>
        </a:xfrm>
        <a:prstGeom prst="flowChartAlternateProcess">
          <a:avLst/>
        </a:prstGeom>
        <a:solidFill>
          <a:schemeClr val="tx1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287337</xdr:colOff>
      <xdr:row>0</xdr:row>
      <xdr:rowOff>11114</xdr:rowOff>
    </xdr:from>
    <xdr:to>
      <xdr:col>9</xdr:col>
      <xdr:colOff>246062</xdr:colOff>
      <xdr:row>14</xdr:row>
      <xdr:rowOff>10480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287337" y="11114"/>
          <a:ext cx="5445125" cy="2346326"/>
          <a:chOff x="454" y="1188"/>
          <a:chExt cx="3430" cy="1478"/>
        </a:xfrm>
      </xdr:grpSpPr>
      <xdr:sp macro="" textlink="">
        <xdr:nvSpPr>
          <xdr:cNvPr id="11" name="AutoShape 27"/>
          <xdr:cNvSpPr>
            <a:spLocks noChangeArrowheads="1"/>
          </xdr:cNvSpPr>
        </xdr:nvSpPr>
        <xdr:spPr bwMode="auto">
          <a:xfrm>
            <a:off x="482" y="1215"/>
            <a:ext cx="3402" cy="1451"/>
          </a:xfrm>
          <a:prstGeom prst="flowChartAlternateProcess">
            <a:avLst/>
          </a:prstGeom>
          <a:solidFill>
            <a:schemeClr val="tx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endParaRPr lang="en-GB"/>
          </a:p>
        </xdr:txBody>
      </xdr:sp>
      <xdr:sp macro="" textlink="">
        <xdr:nvSpPr>
          <xdr:cNvPr id="12" name="AutoShape 28"/>
          <xdr:cNvSpPr>
            <a:spLocks noChangeArrowheads="1"/>
          </xdr:cNvSpPr>
        </xdr:nvSpPr>
        <xdr:spPr bwMode="auto">
          <a:xfrm>
            <a:off x="454" y="1188"/>
            <a:ext cx="3402" cy="1451"/>
          </a:xfrm>
          <a:prstGeom prst="flowChartAlternateProcess">
            <a:avLst/>
          </a:prstGeom>
          <a:solidFill>
            <a:srgbClr val="FFFF66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pPr algn="ctr"/>
            <a:r>
              <a:rPr lang="en-GB" sz="6600" b="1" u="sng"/>
              <a:t>CC GEN</a:t>
            </a:r>
          </a:p>
          <a:p>
            <a:pPr algn="ctr"/>
            <a:endParaRPr lang="en-GB" sz="2800" b="1" u="sng"/>
          </a:p>
          <a:p>
            <a:pPr algn="ctr"/>
            <a:r>
              <a:rPr lang="en-GB" sz="2000"/>
              <a:t>the Card</a:t>
            </a:r>
            <a:r>
              <a:rPr lang="en-GB" sz="2000" baseline="0"/>
              <a:t> and Counter Generator</a:t>
            </a:r>
            <a:endParaRPr lang="en-GB" sz="2000"/>
          </a:p>
        </xdr:txBody>
      </xdr:sp>
    </xdr:grpSp>
    <xdr:clientData/>
  </xdr:twoCellAnchor>
  <xdr:twoCellAnchor>
    <xdr:from>
      <xdr:col>0</xdr:col>
      <xdr:colOff>30480</xdr:colOff>
      <xdr:row>16</xdr:row>
      <xdr:rowOff>29210</xdr:rowOff>
    </xdr:from>
    <xdr:to>
      <xdr:col>9</xdr:col>
      <xdr:colOff>601980</xdr:colOff>
      <xdr:row>31</xdr:row>
      <xdr:rowOff>13335</xdr:rowOff>
    </xdr:to>
    <xdr:grpSp>
      <xdr:nvGrpSpPr>
        <xdr:cNvPr id="5" name="Group 4"/>
        <xdr:cNvGrpSpPr>
          <a:grpSpLocks/>
        </xdr:cNvGrpSpPr>
      </xdr:nvGrpSpPr>
      <xdr:grpSpPr bwMode="auto">
        <a:xfrm>
          <a:off x="30480" y="2711450"/>
          <a:ext cx="6057900" cy="2498725"/>
          <a:chOff x="210" y="4390"/>
          <a:chExt cx="3816" cy="1574"/>
        </a:xfrm>
      </xdr:grpSpPr>
      <xdr:pic>
        <xdr:nvPicPr>
          <xdr:cNvPr id="6" name="Picture 5" descr="Image 00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22" y="5426"/>
            <a:ext cx="1604" cy="5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0" y="5070"/>
            <a:ext cx="1770" cy="89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grpSp>
        <xdr:nvGrpSpPr>
          <xdr:cNvPr id="8" name="Group 7"/>
          <xdr:cNvGrpSpPr>
            <a:grpSpLocks/>
          </xdr:cNvGrpSpPr>
        </xdr:nvGrpSpPr>
        <xdr:grpSpPr bwMode="auto">
          <a:xfrm>
            <a:off x="210" y="4390"/>
            <a:ext cx="3816" cy="426"/>
            <a:chOff x="618" y="4027"/>
            <a:chExt cx="3816" cy="426"/>
          </a:xfrm>
        </xdr:grpSpPr>
        <xdr:pic>
          <xdr:nvPicPr>
            <xdr:cNvPr id="9" name="Picture 8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18" y="4027"/>
              <a:ext cx="3816" cy="426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accent1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chemeClr val="tx1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</xdr:pic>
        <xdr:sp macro="" textlink="">
          <xdr:nvSpPr>
            <xdr:cNvPr id="10" name="Line 22"/>
            <xdr:cNvSpPr>
              <a:spLocks noChangeShapeType="1"/>
            </xdr:cNvSpPr>
          </xdr:nvSpPr>
          <xdr:spPr bwMode="auto">
            <a:xfrm>
              <a:off x="618" y="4027"/>
              <a:ext cx="0" cy="419"/>
            </a:xfrm>
            <a:prstGeom prst="line">
              <a:avLst/>
            </a:prstGeom>
            <a:noFill/>
            <a:ln w="9525">
              <a:solidFill>
                <a:schemeClr val="tx1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wrap="square"/>
            <a:lstStyle>
              <a:defPPr>
                <a:defRPr lang="fr-B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9pPr>
            </a:lstStyle>
            <a:p>
              <a:endParaRPr lang="en-GB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457200</xdr:colOff>
          <xdr:row>5</xdr:row>
          <xdr:rowOff>236220</xdr:rowOff>
        </xdr:to>
        <xdr:sp macro="" textlink="">
          <xdr:nvSpPr>
            <xdr:cNvPr id="4109" name="ShapeTestButto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160020</xdr:rowOff>
        </xdr:from>
        <xdr:to>
          <xdr:col>9</xdr:col>
          <xdr:colOff>457200</xdr:colOff>
          <xdr:row>8</xdr:row>
          <xdr:rowOff>129540</xdr:rowOff>
        </xdr:to>
        <xdr:sp macro="" textlink="">
          <xdr:nvSpPr>
            <xdr:cNvPr id="4110" name="ParamTestButton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144780</xdr:colOff>
      <xdr:row>1</xdr:row>
      <xdr:rowOff>25400</xdr:rowOff>
    </xdr:from>
    <xdr:to>
      <xdr:col>1</xdr:col>
      <xdr:colOff>398780</xdr:colOff>
      <xdr:row>1</xdr:row>
      <xdr:rowOff>228600</xdr:rowOff>
    </xdr:to>
    <xdr:sp macro="" textlink="">
      <xdr:nvSpPr>
        <xdr:cNvPr id="5084" name="16-Point Star 5083"/>
        <xdr:cNvSpPr/>
      </xdr:nvSpPr>
      <xdr:spPr>
        <a:xfrm>
          <a:off x="1905000" y="292100"/>
          <a:ext cx="254000" cy="2032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</xdr:row>
      <xdr:rowOff>25400</xdr:rowOff>
    </xdr:from>
    <xdr:to>
      <xdr:col>1</xdr:col>
      <xdr:colOff>398780</xdr:colOff>
      <xdr:row>2</xdr:row>
      <xdr:rowOff>228600</xdr:rowOff>
    </xdr:to>
    <xdr:sp macro="" textlink="">
      <xdr:nvSpPr>
        <xdr:cNvPr id="5085" name="4-Point Star 5084"/>
        <xdr:cNvSpPr/>
      </xdr:nvSpPr>
      <xdr:spPr>
        <a:xfrm>
          <a:off x="1905000" y="558800"/>
          <a:ext cx="254000" cy="2032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</xdr:row>
      <xdr:rowOff>25400</xdr:rowOff>
    </xdr:from>
    <xdr:to>
      <xdr:col>1</xdr:col>
      <xdr:colOff>398780</xdr:colOff>
      <xdr:row>3</xdr:row>
      <xdr:rowOff>228600</xdr:rowOff>
    </xdr:to>
    <xdr:sp macro="" textlink="">
      <xdr:nvSpPr>
        <xdr:cNvPr id="5086" name="5-Point Star 5085"/>
        <xdr:cNvSpPr/>
      </xdr:nvSpPr>
      <xdr:spPr>
        <a:xfrm>
          <a:off x="1905000" y="825500"/>
          <a:ext cx="254000" cy="2032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</xdr:row>
      <xdr:rowOff>25400</xdr:rowOff>
    </xdr:from>
    <xdr:to>
      <xdr:col>1</xdr:col>
      <xdr:colOff>398780</xdr:colOff>
      <xdr:row>4</xdr:row>
      <xdr:rowOff>228600</xdr:rowOff>
    </xdr:to>
    <xdr:sp macro="" textlink="">
      <xdr:nvSpPr>
        <xdr:cNvPr id="5087" name="8-Point Star 5086"/>
        <xdr:cNvSpPr/>
      </xdr:nvSpPr>
      <xdr:spPr>
        <a:xfrm>
          <a:off x="1905000" y="1092200"/>
          <a:ext cx="254000" cy="2032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1651000</xdr:colOff>
      <xdr:row>5</xdr:row>
      <xdr:rowOff>25400</xdr:rowOff>
    </xdr:from>
    <xdr:to>
      <xdr:col>1</xdr:col>
      <xdr:colOff>398780</xdr:colOff>
      <xdr:row>6</xdr:row>
      <xdr:rowOff>165100</xdr:rowOff>
    </xdr:to>
    <xdr:sp macro="" textlink="">
      <xdr:nvSpPr>
        <xdr:cNvPr id="5088" name="Arc 5087"/>
        <xdr:cNvSpPr/>
      </xdr:nvSpPr>
      <xdr:spPr>
        <a:xfrm>
          <a:off x="1651000" y="1358900"/>
          <a:ext cx="508000" cy="4064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</xdr:row>
      <xdr:rowOff>25400</xdr:rowOff>
    </xdr:from>
    <xdr:to>
      <xdr:col>1</xdr:col>
      <xdr:colOff>398780</xdr:colOff>
      <xdr:row>6</xdr:row>
      <xdr:rowOff>228600</xdr:rowOff>
    </xdr:to>
    <xdr:sp macro="" textlink="">
      <xdr:nvSpPr>
        <xdr:cNvPr id="5089" name="Block Arc 5088"/>
        <xdr:cNvSpPr/>
      </xdr:nvSpPr>
      <xdr:spPr>
        <a:xfrm>
          <a:off x="1905000" y="1625600"/>
          <a:ext cx="254000" cy="2032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</xdr:row>
      <xdr:rowOff>25400</xdr:rowOff>
    </xdr:from>
    <xdr:to>
      <xdr:col>1</xdr:col>
      <xdr:colOff>398780</xdr:colOff>
      <xdr:row>7</xdr:row>
      <xdr:rowOff>228600</xdr:rowOff>
    </xdr:to>
    <xdr:sp macro="" textlink="">
      <xdr:nvSpPr>
        <xdr:cNvPr id="5090" name="Can 5089"/>
        <xdr:cNvSpPr/>
      </xdr:nvSpPr>
      <xdr:spPr>
        <a:xfrm>
          <a:off x="1905000" y="1892300"/>
          <a:ext cx="254000" cy="2032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</xdr:row>
      <xdr:rowOff>25400</xdr:rowOff>
    </xdr:from>
    <xdr:to>
      <xdr:col>1</xdr:col>
      <xdr:colOff>398780</xdr:colOff>
      <xdr:row>8</xdr:row>
      <xdr:rowOff>228600</xdr:rowOff>
    </xdr:to>
    <xdr:sp macro="" textlink="">
      <xdr:nvSpPr>
        <xdr:cNvPr id="5091" name="Chevron 5090"/>
        <xdr:cNvSpPr/>
      </xdr:nvSpPr>
      <xdr:spPr>
        <a:xfrm>
          <a:off x="1905000" y="2159000"/>
          <a:ext cx="254000" cy="2032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</xdr:row>
      <xdr:rowOff>25400</xdr:rowOff>
    </xdr:from>
    <xdr:to>
      <xdr:col>1</xdr:col>
      <xdr:colOff>398780</xdr:colOff>
      <xdr:row>9</xdr:row>
      <xdr:rowOff>228600</xdr:rowOff>
    </xdr:to>
    <xdr:sp macro="" textlink="">
      <xdr:nvSpPr>
        <xdr:cNvPr id="5092" name="Cross 5091"/>
        <xdr:cNvSpPr/>
      </xdr:nvSpPr>
      <xdr:spPr>
        <a:xfrm>
          <a:off x="1905000" y="2425700"/>
          <a:ext cx="254000" cy="2032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</xdr:row>
      <xdr:rowOff>25400</xdr:rowOff>
    </xdr:from>
    <xdr:to>
      <xdr:col>1</xdr:col>
      <xdr:colOff>398780</xdr:colOff>
      <xdr:row>10</xdr:row>
      <xdr:rowOff>228600</xdr:rowOff>
    </xdr:to>
    <xdr:sp macro="" textlink="">
      <xdr:nvSpPr>
        <xdr:cNvPr id="5093" name="Cube 5092"/>
        <xdr:cNvSpPr/>
      </xdr:nvSpPr>
      <xdr:spPr>
        <a:xfrm>
          <a:off x="1905000" y="2692400"/>
          <a:ext cx="254000" cy="2032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</xdr:row>
      <xdr:rowOff>25400</xdr:rowOff>
    </xdr:from>
    <xdr:to>
      <xdr:col>1</xdr:col>
      <xdr:colOff>398780</xdr:colOff>
      <xdr:row>11</xdr:row>
      <xdr:rowOff>228600</xdr:rowOff>
    </xdr:to>
    <xdr:sp macro="" textlink="">
      <xdr:nvSpPr>
        <xdr:cNvPr id="5094" name="Diamond 5093"/>
        <xdr:cNvSpPr/>
      </xdr:nvSpPr>
      <xdr:spPr>
        <a:xfrm>
          <a:off x="1905000" y="2959100"/>
          <a:ext cx="254000" cy="2032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</xdr:row>
      <xdr:rowOff>25400</xdr:rowOff>
    </xdr:from>
    <xdr:to>
      <xdr:col>1</xdr:col>
      <xdr:colOff>398780</xdr:colOff>
      <xdr:row>12</xdr:row>
      <xdr:rowOff>228600</xdr:rowOff>
    </xdr:to>
    <xdr:sp macro="" textlink="">
      <xdr:nvSpPr>
        <xdr:cNvPr id="5095" name="Double Wave 5094"/>
        <xdr:cNvSpPr/>
      </xdr:nvSpPr>
      <xdr:spPr>
        <a:xfrm>
          <a:off x="1905000" y="3225800"/>
          <a:ext cx="254000" cy="2032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</xdr:row>
      <xdr:rowOff>25400</xdr:rowOff>
    </xdr:from>
    <xdr:to>
      <xdr:col>1</xdr:col>
      <xdr:colOff>398780</xdr:colOff>
      <xdr:row>13</xdr:row>
      <xdr:rowOff>228600</xdr:rowOff>
    </xdr:to>
    <xdr:sp macro="" textlink="">
      <xdr:nvSpPr>
        <xdr:cNvPr id="5096" name="Down Arrow 5095"/>
        <xdr:cNvSpPr/>
      </xdr:nvSpPr>
      <xdr:spPr>
        <a:xfrm>
          <a:off x="1905000" y="3492500"/>
          <a:ext cx="254000" cy="2032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</xdr:row>
      <xdr:rowOff>25400</xdr:rowOff>
    </xdr:from>
    <xdr:to>
      <xdr:col>1</xdr:col>
      <xdr:colOff>398780</xdr:colOff>
      <xdr:row>14</xdr:row>
      <xdr:rowOff>228600</xdr:rowOff>
    </xdr:to>
    <xdr:sp macro="" textlink="">
      <xdr:nvSpPr>
        <xdr:cNvPr id="5097" name="Explosion 1 5096"/>
        <xdr:cNvSpPr/>
      </xdr:nvSpPr>
      <xdr:spPr>
        <a:xfrm>
          <a:off x="1905000" y="3759200"/>
          <a:ext cx="254000" cy="2032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</xdr:row>
      <xdr:rowOff>25400</xdr:rowOff>
    </xdr:from>
    <xdr:to>
      <xdr:col>1</xdr:col>
      <xdr:colOff>398780</xdr:colOff>
      <xdr:row>15</xdr:row>
      <xdr:rowOff>228600</xdr:rowOff>
    </xdr:to>
    <xdr:sp macro="" textlink="">
      <xdr:nvSpPr>
        <xdr:cNvPr id="5098" name="Explosion 2 5097"/>
        <xdr:cNvSpPr/>
      </xdr:nvSpPr>
      <xdr:spPr>
        <a:xfrm>
          <a:off x="1905000" y="4025900"/>
          <a:ext cx="254000" cy="2032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</xdr:row>
      <xdr:rowOff>25400</xdr:rowOff>
    </xdr:from>
    <xdr:to>
      <xdr:col>1</xdr:col>
      <xdr:colOff>398780</xdr:colOff>
      <xdr:row>16</xdr:row>
      <xdr:rowOff>228600</xdr:rowOff>
    </xdr:to>
    <xdr:sp macro="" textlink="">
      <xdr:nvSpPr>
        <xdr:cNvPr id="5099" name="Hexagon 5098"/>
        <xdr:cNvSpPr/>
      </xdr:nvSpPr>
      <xdr:spPr>
        <a:xfrm>
          <a:off x="1905000" y="4292600"/>
          <a:ext cx="254000" cy="2032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</xdr:row>
      <xdr:rowOff>25400</xdr:rowOff>
    </xdr:from>
    <xdr:to>
      <xdr:col>1</xdr:col>
      <xdr:colOff>398780</xdr:colOff>
      <xdr:row>17</xdr:row>
      <xdr:rowOff>228600</xdr:rowOff>
    </xdr:to>
    <xdr:sp macro="" textlink="">
      <xdr:nvSpPr>
        <xdr:cNvPr id="5100" name="Isosceles Triangle 5099"/>
        <xdr:cNvSpPr/>
      </xdr:nvSpPr>
      <xdr:spPr>
        <a:xfrm>
          <a:off x="1905000" y="45593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</xdr:row>
      <xdr:rowOff>25400</xdr:rowOff>
    </xdr:from>
    <xdr:to>
      <xdr:col>1</xdr:col>
      <xdr:colOff>398780</xdr:colOff>
      <xdr:row>18</xdr:row>
      <xdr:rowOff>228600</xdr:rowOff>
    </xdr:to>
    <xdr:sp macro="" textlink="">
      <xdr:nvSpPr>
        <xdr:cNvPr id="5101" name="Isosceles Triangle 5100"/>
        <xdr:cNvSpPr/>
      </xdr:nvSpPr>
      <xdr:spPr>
        <a:xfrm>
          <a:off x="1905000" y="48260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</xdr:row>
      <xdr:rowOff>25400</xdr:rowOff>
    </xdr:from>
    <xdr:to>
      <xdr:col>1</xdr:col>
      <xdr:colOff>398780</xdr:colOff>
      <xdr:row>19</xdr:row>
      <xdr:rowOff>228600</xdr:rowOff>
    </xdr:to>
    <xdr:sp macro="" textlink="">
      <xdr:nvSpPr>
        <xdr:cNvPr id="5102" name="Left Arrow 5101"/>
        <xdr:cNvSpPr/>
      </xdr:nvSpPr>
      <xdr:spPr>
        <a:xfrm>
          <a:off x="1905000" y="5092700"/>
          <a:ext cx="254000" cy="2032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</xdr:row>
      <xdr:rowOff>25400</xdr:rowOff>
    </xdr:from>
    <xdr:to>
      <xdr:col>1</xdr:col>
      <xdr:colOff>398780</xdr:colOff>
      <xdr:row>20</xdr:row>
      <xdr:rowOff>228600</xdr:rowOff>
    </xdr:to>
    <xdr:sp macro="" textlink="">
      <xdr:nvSpPr>
        <xdr:cNvPr id="5103" name="Left-Right Arrow 5102"/>
        <xdr:cNvSpPr/>
      </xdr:nvSpPr>
      <xdr:spPr>
        <a:xfrm>
          <a:off x="1905000" y="5359400"/>
          <a:ext cx="254000" cy="2032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</xdr:row>
      <xdr:rowOff>25400</xdr:rowOff>
    </xdr:from>
    <xdr:to>
      <xdr:col>1</xdr:col>
      <xdr:colOff>398780</xdr:colOff>
      <xdr:row>21</xdr:row>
      <xdr:rowOff>228600</xdr:rowOff>
    </xdr:to>
    <xdr:sp macro="" textlink="">
      <xdr:nvSpPr>
        <xdr:cNvPr id="5104" name="Moon 5103"/>
        <xdr:cNvSpPr/>
      </xdr:nvSpPr>
      <xdr:spPr>
        <a:xfrm>
          <a:off x="1905000" y="5626100"/>
          <a:ext cx="254000" cy="2032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</xdr:row>
      <xdr:rowOff>25400</xdr:rowOff>
    </xdr:from>
    <xdr:to>
      <xdr:col>1</xdr:col>
      <xdr:colOff>398780</xdr:colOff>
      <xdr:row>22</xdr:row>
      <xdr:rowOff>228600</xdr:rowOff>
    </xdr:to>
    <xdr:sp macro="" textlink="">
      <xdr:nvSpPr>
        <xdr:cNvPr id="5105" name="Octagon 5104"/>
        <xdr:cNvSpPr/>
      </xdr:nvSpPr>
      <xdr:spPr>
        <a:xfrm>
          <a:off x="1905000" y="5892800"/>
          <a:ext cx="254000" cy="2032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23</xdr:row>
      <xdr:rowOff>25400</xdr:rowOff>
    </xdr:from>
    <xdr:to>
      <xdr:col>1</xdr:col>
      <xdr:colOff>398780</xdr:colOff>
      <xdr:row>23</xdr:row>
      <xdr:rowOff>228600</xdr:rowOff>
    </xdr:to>
    <xdr:sp macro="" textlink="">
      <xdr:nvSpPr>
        <xdr:cNvPr id="5106" name="Oval 5105"/>
        <xdr:cNvSpPr/>
      </xdr:nvSpPr>
      <xdr:spPr>
        <a:xfrm>
          <a:off x="1905000" y="61595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24</xdr:row>
      <xdr:rowOff>25400</xdr:rowOff>
    </xdr:from>
    <xdr:to>
      <xdr:col>1</xdr:col>
      <xdr:colOff>398780</xdr:colOff>
      <xdr:row>24</xdr:row>
      <xdr:rowOff>228600</xdr:rowOff>
    </xdr:to>
    <xdr:sp macro="" textlink="">
      <xdr:nvSpPr>
        <xdr:cNvPr id="5107" name="Oval 5106"/>
        <xdr:cNvSpPr/>
      </xdr:nvSpPr>
      <xdr:spPr>
        <a:xfrm>
          <a:off x="1905000" y="64262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25</xdr:row>
      <xdr:rowOff>25400</xdr:rowOff>
    </xdr:from>
    <xdr:to>
      <xdr:col>1</xdr:col>
      <xdr:colOff>398780</xdr:colOff>
      <xdr:row>25</xdr:row>
      <xdr:rowOff>228600</xdr:rowOff>
    </xdr:to>
    <xdr:sp macro="" textlink="">
      <xdr:nvSpPr>
        <xdr:cNvPr id="5108" name="Parallelogram 5107"/>
        <xdr:cNvSpPr/>
      </xdr:nvSpPr>
      <xdr:spPr>
        <a:xfrm>
          <a:off x="1905000" y="6692900"/>
          <a:ext cx="254000" cy="2032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26</xdr:row>
      <xdr:rowOff>25400</xdr:rowOff>
    </xdr:from>
    <xdr:to>
      <xdr:col>1</xdr:col>
      <xdr:colOff>398780</xdr:colOff>
      <xdr:row>26</xdr:row>
      <xdr:rowOff>228600</xdr:rowOff>
    </xdr:to>
    <xdr:sp macro="" textlink="">
      <xdr:nvSpPr>
        <xdr:cNvPr id="5109" name="Pentagon 5108"/>
        <xdr:cNvSpPr/>
      </xdr:nvSpPr>
      <xdr:spPr>
        <a:xfrm>
          <a:off x="1905000" y="6959600"/>
          <a:ext cx="254000" cy="2032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27</xdr:row>
      <xdr:rowOff>25400</xdr:rowOff>
    </xdr:from>
    <xdr:to>
      <xdr:col>1</xdr:col>
      <xdr:colOff>398780</xdr:colOff>
      <xdr:row>27</xdr:row>
      <xdr:rowOff>228600</xdr:rowOff>
    </xdr:to>
    <xdr:sp macro="" textlink="">
      <xdr:nvSpPr>
        <xdr:cNvPr id="5110" name="Rectangle 5109"/>
        <xdr:cNvSpPr/>
      </xdr:nvSpPr>
      <xdr:spPr>
        <a:xfrm>
          <a:off x="1905000" y="72263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28</xdr:row>
      <xdr:rowOff>25400</xdr:rowOff>
    </xdr:from>
    <xdr:to>
      <xdr:col>1</xdr:col>
      <xdr:colOff>398780</xdr:colOff>
      <xdr:row>28</xdr:row>
      <xdr:rowOff>228600</xdr:rowOff>
    </xdr:to>
    <xdr:sp macro="" textlink="">
      <xdr:nvSpPr>
        <xdr:cNvPr id="5111" name="Rectangle 5110"/>
        <xdr:cNvSpPr/>
      </xdr:nvSpPr>
      <xdr:spPr>
        <a:xfrm>
          <a:off x="1905000" y="74930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29</xdr:row>
      <xdr:rowOff>25400</xdr:rowOff>
    </xdr:from>
    <xdr:to>
      <xdr:col>1</xdr:col>
      <xdr:colOff>398780</xdr:colOff>
      <xdr:row>29</xdr:row>
      <xdr:rowOff>228600</xdr:rowOff>
    </xdr:to>
    <xdr:sp macro="" textlink="">
      <xdr:nvSpPr>
        <xdr:cNvPr id="5112" name="Regular Pentagon 5111"/>
        <xdr:cNvSpPr/>
      </xdr:nvSpPr>
      <xdr:spPr>
        <a:xfrm>
          <a:off x="1905000" y="7759700"/>
          <a:ext cx="254000" cy="2032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30</xdr:row>
      <xdr:rowOff>25400</xdr:rowOff>
    </xdr:from>
    <xdr:to>
      <xdr:col>1</xdr:col>
      <xdr:colOff>398780</xdr:colOff>
      <xdr:row>30</xdr:row>
      <xdr:rowOff>228600</xdr:rowOff>
    </xdr:to>
    <xdr:sp macro="" textlink="">
      <xdr:nvSpPr>
        <xdr:cNvPr id="5113" name="Right Arrow 5112"/>
        <xdr:cNvSpPr/>
      </xdr:nvSpPr>
      <xdr:spPr>
        <a:xfrm>
          <a:off x="1905000" y="8026400"/>
          <a:ext cx="254000" cy="2032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31</xdr:row>
      <xdr:rowOff>25400</xdr:rowOff>
    </xdr:from>
    <xdr:to>
      <xdr:col>1</xdr:col>
      <xdr:colOff>398780</xdr:colOff>
      <xdr:row>31</xdr:row>
      <xdr:rowOff>228600</xdr:rowOff>
    </xdr:to>
    <xdr:sp macro="" textlink="">
      <xdr:nvSpPr>
        <xdr:cNvPr id="5114" name="Right Triangle 5113"/>
        <xdr:cNvSpPr/>
      </xdr:nvSpPr>
      <xdr:spPr>
        <a:xfrm>
          <a:off x="1905000" y="8293100"/>
          <a:ext cx="254000" cy="2032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32</xdr:row>
      <xdr:rowOff>25400</xdr:rowOff>
    </xdr:from>
    <xdr:to>
      <xdr:col>1</xdr:col>
      <xdr:colOff>398780</xdr:colOff>
      <xdr:row>32</xdr:row>
      <xdr:rowOff>228600</xdr:rowOff>
    </xdr:to>
    <xdr:sp macro="" textlink="">
      <xdr:nvSpPr>
        <xdr:cNvPr id="5115" name="Rounded Rectangle 5114"/>
        <xdr:cNvSpPr/>
      </xdr:nvSpPr>
      <xdr:spPr>
        <a:xfrm>
          <a:off x="1905000" y="8559800"/>
          <a:ext cx="254000" cy="2032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33</xdr:row>
      <xdr:rowOff>25400</xdr:rowOff>
    </xdr:from>
    <xdr:to>
      <xdr:col>1</xdr:col>
      <xdr:colOff>398780</xdr:colOff>
      <xdr:row>33</xdr:row>
      <xdr:rowOff>228600</xdr:rowOff>
    </xdr:to>
    <xdr:sp macro="" textlink="">
      <xdr:nvSpPr>
        <xdr:cNvPr id="5116" name="Sun 5115"/>
        <xdr:cNvSpPr/>
      </xdr:nvSpPr>
      <xdr:spPr>
        <a:xfrm>
          <a:off x="1905000" y="8826500"/>
          <a:ext cx="254000" cy="2032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34</xdr:row>
      <xdr:rowOff>25400</xdr:rowOff>
    </xdr:from>
    <xdr:to>
      <xdr:col>1</xdr:col>
      <xdr:colOff>398780</xdr:colOff>
      <xdr:row>34</xdr:row>
      <xdr:rowOff>228600</xdr:rowOff>
    </xdr:to>
    <xdr:sp macro="" textlink="">
      <xdr:nvSpPr>
        <xdr:cNvPr id="5117" name="Trapezoid 5116"/>
        <xdr:cNvSpPr/>
      </xdr:nvSpPr>
      <xdr:spPr>
        <a:xfrm>
          <a:off x="1905000" y="9093200"/>
          <a:ext cx="254000" cy="2032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35</xdr:row>
      <xdr:rowOff>25400</xdr:rowOff>
    </xdr:from>
    <xdr:to>
      <xdr:col>1</xdr:col>
      <xdr:colOff>398780</xdr:colOff>
      <xdr:row>35</xdr:row>
      <xdr:rowOff>228600</xdr:rowOff>
    </xdr:to>
    <xdr:sp macro="" textlink="">
      <xdr:nvSpPr>
        <xdr:cNvPr id="5118" name="Up Arrow 5117"/>
        <xdr:cNvSpPr/>
      </xdr:nvSpPr>
      <xdr:spPr>
        <a:xfrm>
          <a:off x="1905000" y="9359900"/>
          <a:ext cx="254000" cy="2032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36</xdr:row>
      <xdr:rowOff>25400</xdr:rowOff>
    </xdr:from>
    <xdr:to>
      <xdr:col>1</xdr:col>
      <xdr:colOff>398780</xdr:colOff>
      <xdr:row>36</xdr:row>
      <xdr:rowOff>228600</xdr:rowOff>
    </xdr:to>
    <xdr:sp macro="" textlink="">
      <xdr:nvSpPr>
        <xdr:cNvPr id="5119" name="Up-Down Arrow 5118"/>
        <xdr:cNvSpPr/>
      </xdr:nvSpPr>
      <xdr:spPr>
        <a:xfrm>
          <a:off x="1905000" y="9626600"/>
          <a:ext cx="254000" cy="2032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37</xdr:row>
      <xdr:rowOff>25400</xdr:rowOff>
    </xdr:from>
    <xdr:to>
      <xdr:col>1</xdr:col>
      <xdr:colOff>398780</xdr:colOff>
      <xdr:row>37</xdr:row>
      <xdr:rowOff>228600</xdr:rowOff>
    </xdr:to>
    <xdr:sp macro="" textlink="">
      <xdr:nvSpPr>
        <xdr:cNvPr id="5120" name="Wave 5119"/>
        <xdr:cNvSpPr/>
      </xdr:nvSpPr>
      <xdr:spPr>
        <a:xfrm>
          <a:off x="1905000" y="9893300"/>
          <a:ext cx="254000" cy="2032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38</xdr:row>
      <xdr:rowOff>25400</xdr:rowOff>
    </xdr:from>
    <xdr:to>
      <xdr:col>1</xdr:col>
      <xdr:colOff>398780</xdr:colOff>
      <xdr:row>38</xdr:row>
      <xdr:rowOff>228600</xdr:rowOff>
    </xdr:to>
    <xdr:sp macro="" textlink="">
      <xdr:nvSpPr>
        <xdr:cNvPr id="5121" name="Rectangle 5120"/>
        <xdr:cNvSpPr/>
      </xdr:nvSpPr>
      <xdr:spPr>
        <a:xfrm>
          <a:off x="1905000" y="101600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39</xdr:row>
      <xdr:rowOff>25400</xdr:rowOff>
    </xdr:from>
    <xdr:to>
      <xdr:col>1</xdr:col>
      <xdr:colOff>398780</xdr:colOff>
      <xdr:row>39</xdr:row>
      <xdr:rowOff>228600</xdr:rowOff>
    </xdr:to>
    <xdr:sp macro="" textlink="">
      <xdr:nvSpPr>
        <xdr:cNvPr id="5122" name="Parallelogram 5121"/>
        <xdr:cNvSpPr/>
      </xdr:nvSpPr>
      <xdr:spPr>
        <a:xfrm>
          <a:off x="1905000" y="10426700"/>
          <a:ext cx="254000" cy="2032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40</xdr:row>
      <xdr:rowOff>25400</xdr:rowOff>
    </xdr:from>
    <xdr:to>
      <xdr:col>1</xdr:col>
      <xdr:colOff>398780</xdr:colOff>
      <xdr:row>40</xdr:row>
      <xdr:rowOff>228600</xdr:rowOff>
    </xdr:to>
    <xdr:sp macro="" textlink="">
      <xdr:nvSpPr>
        <xdr:cNvPr id="5123" name="Trapezoid 5122"/>
        <xdr:cNvSpPr/>
      </xdr:nvSpPr>
      <xdr:spPr>
        <a:xfrm>
          <a:off x="1905000" y="10693400"/>
          <a:ext cx="254000" cy="2032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41</xdr:row>
      <xdr:rowOff>25400</xdr:rowOff>
    </xdr:from>
    <xdr:to>
      <xdr:col>1</xdr:col>
      <xdr:colOff>398780</xdr:colOff>
      <xdr:row>41</xdr:row>
      <xdr:rowOff>228600</xdr:rowOff>
    </xdr:to>
    <xdr:sp macro="" textlink="">
      <xdr:nvSpPr>
        <xdr:cNvPr id="5124" name="Diamond 5123"/>
        <xdr:cNvSpPr/>
      </xdr:nvSpPr>
      <xdr:spPr>
        <a:xfrm>
          <a:off x="1905000" y="10960100"/>
          <a:ext cx="254000" cy="2032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42</xdr:row>
      <xdr:rowOff>25400</xdr:rowOff>
    </xdr:from>
    <xdr:to>
      <xdr:col>1</xdr:col>
      <xdr:colOff>398780</xdr:colOff>
      <xdr:row>42</xdr:row>
      <xdr:rowOff>228600</xdr:rowOff>
    </xdr:to>
    <xdr:sp macro="" textlink="">
      <xdr:nvSpPr>
        <xdr:cNvPr id="5125" name="Rounded Rectangle 5124"/>
        <xdr:cNvSpPr/>
      </xdr:nvSpPr>
      <xdr:spPr>
        <a:xfrm>
          <a:off x="1905000" y="11226800"/>
          <a:ext cx="254000" cy="2032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43</xdr:row>
      <xdr:rowOff>25400</xdr:rowOff>
    </xdr:from>
    <xdr:to>
      <xdr:col>1</xdr:col>
      <xdr:colOff>398780</xdr:colOff>
      <xdr:row>43</xdr:row>
      <xdr:rowOff>228600</xdr:rowOff>
    </xdr:to>
    <xdr:sp macro="" textlink="">
      <xdr:nvSpPr>
        <xdr:cNvPr id="5126" name="Octagon 5125"/>
        <xdr:cNvSpPr/>
      </xdr:nvSpPr>
      <xdr:spPr>
        <a:xfrm>
          <a:off x="1905000" y="11493500"/>
          <a:ext cx="254000" cy="2032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44</xdr:row>
      <xdr:rowOff>25400</xdr:rowOff>
    </xdr:from>
    <xdr:to>
      <xdr:col>1</xdr:col>
      <xdr:colOff>398780</xdr:colOff>
      <xdr:row>44</xdr:row>
      <xdr:rowOff>228600</xdr:rowOff>
    </xdr:to>
    <xdr:sp macro="" textlink="">
      <xdr:nvSpPr>
        <xdr:cNvPr id="5127" name="Isosceles Triangle 5126"/>
        <xdr:cNvSpPr/>
      </xdr:nvSpPr>
      <xdr:spPr>
        <a:xfrm>
          <a:off x="1905000" y="117602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45</xdr:row>
      <xdr:rowOff>25400</xdr:rowOff>
    </xdr:from>
    <xdr:to>
      <xdr:col>1</xdr:col>
      <xdr:colOff>398780</xdr:colOff>
      <xdr:row>45</xdr:row>
      <xdr:rowOff>228600</xdr:rowOff>
    </xdr:to>
    <xdr:sp macro="" textlink="">
      <xdr:nvSpPr>
        <xdr:cNvPr id="5128" name="Right Triangle 5127"/>
        <xdr:cNvSpPr/>
      </xdr:nvSpPr>
      <xdr:spPr>
        <a:xfrm>
          <a:off x="1905000" y="12026900"/>
          <a:ext cx="254000" cy="2032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46</xdr:row>
      <xdr:rowOff>25400</xdr:rowOff>
    </xdr:from>
    <xdr:to>
      <xdr:col>1</xdr:col>
      <xdr:colOff>398780</xdr:colOff>
      <xdr:row>46</xdr:row>
      <xdr:rowOff>228600</xdr:rowOff>
    </xdr:to>
    <xdr:sp macro="" textlink="">
      <xdr:nvSpPr>
        <xdr:cNvPr id="5129" name="Oval 5128"/>
        <xdr:cNvSpPr/>
      </xdr:nvSpPr>
      <xdr:spPr>
        <a:xfrm>
          <a:off x="1905000" y="122936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47</xdr:row>
      <xdr:rowOff>25400</xdr:rowOff>
    </xdr:from>
    <xdr:to>
      <xdr:col>1</xdr:col>
      <xdr:colOff>398780</xdr:colOff>
      <xdr:row>47</xdr:row>
      <xdr:rowOff>228600</xdr:rowOff>
    </xdr:to>
    <xdr:sp macro="" textlink="">
      <xdr:nvSpPr>
        <xdr:cNvPr id="5130" name="Hexagon 5129"/>
        <xdr:cNvSpPr/>
      </xdr:nvSpPr>
      <xdr:spPr>
        <a:xfrm>
          <a:off x="1905000" y="12560300"/>
          <a:ext cx="254000" cy="2032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48</xdr:row>
      <xdr:rowOff>25400</xdr:rowOff>
    </xdr:from>
    <xdr:to>
      <xdr:col>1</xdr:col>
      <xdr:colOff>398780</xdr:colOff>
      <xdr:row>48</xdr:row>
      <xdr:rowOff>228600</xdr:rowOff>
    </xdr:to>
    <xdr:sp macro="" textlink="">
      <xdr:nvSpPr>
        <xdr:cNvPr id="5131" name="Cross 5130"/>
        <xdr:cNvSpPr/>
      </xdr:nvSpPr>
      <xdr:spPr>
        <a:xfrm>
          <a:off x="1905000" y="12827000"/>
          <a:ext cx="254000" cy="2032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49</xdr:row>
      <xdr:rowOff>25400</xdr:rowOff>
    </xdr:from>
    <xdr:to>
      <xdr:col>1</xdr:col>
      <xdr:colOff>398780</xdr:colOff>
      <xdr:row>49</xdr:row>
      <xdr:rowOff>228600</xdr:rowOff>
    </xdr:to>
    <xdr:sp macro="" textlink="">
      <xdr:nvSpPr>
        <xdr:cNvPr id="5132" name="Regular Pentagon 5131"/>
        <xdr:cNvSpPr/>
      </xdr:nvSpPr>
      <xdr:spPr>
        <a:xfrm>
          <a:off x="1905000" y="13093700"/>
          <a:ext cx="254000" cy="2032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50</xdr:row>
      <xdr:rowOff>25400</xdr:rowOff>
    </xdr:from>
    <xdr:to>
      <xdr:col>1</xdr:col>
      <xdr:colOff>398780</xdr:colOff>
      <xdr:row>50</xdr:row>
      <xdr:rowOff>228600</xdr:rowOff>
    </xdr:to>
    <xdr:sp macro="" textlink="">
      <xdr:nvSpPr>
        <xdr:cNvPr id="5133" name="Can 5132"/>
        <xdr:cNvSpPr/>
      </xdr:nvSpPr>
      <xdr:spPr>
        <a:xfrm>
          <a:off x="1905000" y="13360400"/>
          <a:ext cx="254000" cy="2032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51</xdr:row>
      <xdr:rowOff>25400</xdr:rowOff>
    </xdr:from>
    <xdr:to>
      <xdr:col>1</xdr:col>
      <xdr:colOff>398780</xdr:colOff>
      <xdr:row>51</xdr:row>
      <xdr:rowOff>228600</xdr:rowOff>
    </xdr:to>
    <xdr:sp macro="" textlink="">
      <xdr:nvSpPr>
        <xdr:cNvPr id="5134" name="Cube 5133"/>
        <xdr:cNvSpPr/>
      </xdr:nvSpPr>
      <xdr:spPr>
        <a:xfrm>
          <a:off x="1905000" y="13627100"/>
          <a:ext cx="254000" cy="2032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52</xdr:row>
      <xdr:rowOff>25400</xdr:rowOff>
    </xdr:from>
    <xdr:to>
      <xdr:col>1</xdr:col>
      <xdr:colOff>398780</xdr:colOff>
      <xdr:row>52</xdr:row>
      <xdr:rowOff>228600</xdr:rowOff>
    </xdr:to>
    <xdr:sp macro="" textlink="">
      <xdr:nvSpPr>
        <xdr:cNvPr id="5135" name="Bevel 5134"/>
        <xdr:cNvSpPr/>
      </xdr:nvSpPr>
      <xdr:spPr>
        <a:xfrm>
          <a:off x="1905000" y="13893800"/>
          <a:ext cx="254000" cy="203200"/>
        </a:xfrm>
        <a:prstGeom prst="bev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53</xdr:row>
      <xdr:rowOff>25400</xdr:rowOff>
    </xdr:from>
    <xdr:to>
      <xdr:col>1</xdr:col>
      <xdr:colOff>398780</xdr:colOff>
      <xdr:row>53</xdr:row>
      <xdr:rowOff>228600</xdr:rowOff>
    </xdr:to>
    <xdr:sp macro="" textlink="">
      <xdr:nvSpPr>
        <xdr:cNvPr id="5136" name="Folded Corner 5135"/>
        <xdr:cNvSpPr/>
      </xdr:nvSpPr>
      <xdr:spPr>
        <a:xfrm>
          <a:off x="1905000" y="14160500"/>
          <a:ext cx="254000" cy="203200"/>
        </a:xfrm>
        <a:prstGeom prst="folded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54</xdr:row>
      <xdr:rowOff>25400</xdr:rowOff>
    </xdr:from>
    <xdr:to>
      <xdr:col>1</xdr:col>
      <xdr:colOff>398780</xdr:colOff>
      <xdr:row>54</xdr:row>
      <xdr:rowOff>228600</xdr:rowOff>
    </xdr:to>
    <xdr:sp macro="" textlink="">
      <xdr:nvSpPr>
        <xdr:cNvPr id="5137" name="Smiley Face 5136"/>
        <xdr:cNvSpPr/>
      </xdr:nvSpPr>
      <xdr:spPr>
        <a:xfrm>
          <a:off x="1905000" y="14427200"/>
          <a:ext cx="254000" cy="203200"/>
        </a:xfrm>
        <a:prstGeom prst="smileyFac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55</xdr:row>
      <xdr:rowOff>25400</xdr:rowOff>
    </xdr:from>
    <xdr:to>
      <xdr:col>1</xdr:col>
      <xdr:colOff>398780</xdr:colOff>
      <xdr:row>55</xdr:row>
      <xdr:rowOff>228600</xdr:rowOff>
    </xdr:to>
    <xdr:sp macro="" textlink="">
      <xdr:nvSpPr>
        <xdr:cNvPr id="5138" name="Donut 5137"/>
        <xdr:cNvSpPr/>
      </xdr:nvSpPr>
      <xdr:spPr>
        <a:xfrm>
          <a:off x="1905000" y="14693900"/>
          <a:ext cx="254000" cy="203200"/>
        </a:xfrm>
        <a:prstGeom prst="don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56</xdr:row>
      <xdr:rowOff>25400</xdr:rowOff>
    </xdr:from>
    <xdr:to>
      <xdr:col>1</xdr:col>
      <xdr:colOff>398780</xdr:colOff>
      <xdr:row>56</xdr:row>
      <xdr:rowOff>228600</xdr:rowOff>
    </xdr:to>
    <xdr:sp macro="" textlink="">
      <xdr:nvSpPr>
        <xdr:cNvPr id="5139" name="&quot;No&quot; Symbol 5138"/>
        <xdr:cNvSpPr/>
      </xdr:nvSpPr>
      <xdr:spPr>
        <a:xfrm>
          <a:off x="1905000" y="14960600"/>
          <a:ext cx="254000" cy="203200"/>
        </a:xfrm>
        <a:prstGeom prst="noSmok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57</xdr:row>
      <xdr:rowOff>25400</xdr:rowOff>
    </xdr:from>
    <xdr:to>
      <xdr:col>1</xdr:col>
      <xdr:colOff>398780</xdr:colOff>
      <xdr:row>57</xdr:row>
      <xdr:rowOff>228600</xdr:rowOff>
    </xdr:to>
    <xdr:sp macro="" textlink="">
      <xdr:nvSpPr>
        <xdr:cNvPr id="5140" name="Block Arc 5139"/>
        <xdr:cNvSpPr/>
      </xdr:nvSpPr>
      <xdr:spPr>
        <a:xfrm>
          <a:off x="1905000" y="15227300"/>
          <a:ext cx="254000" cy="2032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58</xdr:row>
      <xdr:rowOff>25400</xdr:rowOff>
    </xdr:from>
    <xdr:to>
      <xdr:col>1</xdr:col>
      <xdr:colOff>398780</xdr:colOff>
      <xdr:row>58</xdr:row>
      <xdr:rowOff>228600</xdr:rowOff>
    </xdr:to>
    <xdr:sp macro="" textlink="">
      <xdr:nvSpPr>
        <xdr:cNvPr id="5141" name="Heart 5140"/>
        <xdr:cNvSpPr/>
      </xdr:nvSpPr>
      <xdr:spPr>
        <a:xfrm>
          <a:off x="1905000" y="15494000"/>
          <a:ext cx="254000" cy="203200"/>
        </a:xfrm>
        <a:prstGeom prst="hea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59</xdr:row>
      <xdr:rowOff>25400</xdr:rowOff>
    </xdr:from>
    <xdr:to>
      <xdr:col>1</xdr:col>
      <xdr:colOff>398780</xdr:colOff>
      <xdr:row>59</xdr:row>
      <xdr:rowOff>228600</xdr:rowOff>
    </xdr:to>
    <xdr:sp macro="" textlink="">
      <xdr:nvSpPr>
        <xdr:cNvPr id="5142" name="Lightning Bolt 5141"/>
        <xdr:cNvSpPr/>
      </xdr:nvSpPr>
      <xdr:spPr>
        <a:xfrm>
          <a:off x="1905000" y="15760700"/>
          <a:ext cx="254000" cy="203200"/>
        </a:xfrm>
        <a:prstGeom prst="lightningBol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60</xdr:row>
      <xdr:rowOff>25400</xdr:rowOff>
    </xdr:from>
    <xdr:to>
      <xdr:col>1</xdr:col>
      <xdr:colOff>398780</xdr:colOff>
      <xdr:row>60</xdr:row>
      <xdr:rowOff>228600</xdr:rowOff>
    </xdr:to>
    <xdr:sp macro="" textlink="">
      <xdr:nvSpPr>
        <xdr:cNvPr id="5143" name="Sun 5142"/>
        <xdr:cNvSpPr/>
      </xdr:nvSpPr>
      <xdr:spPr>
        <a:xfrm>
          <a:off x="1905000" y="16027400"/>
          <a:ext cx="254000" cy="2032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61</xdr:row>
      <xdr:rowOff>25400</xdr:rowOff>
    </xdr:from>
    <xdr:to>
      <xdr:col>1</xdr:col>
      <xdr:colOff>398780</xdr:colOff>
      <xdr:row>61</xdr:row>
      <xdr:rowOff>228600</xdr:rowOff>
    </xdr:to>
    <xdr:sp macro="" textlink="">
      <xdr:nvSpPr>
        <xdr:cNvPr id="5144" name="Moon 5143"/>
        <xdr:cNvSpPr/>
      </xdr:nvSpPr>
      <xdr:spPr>
        <a:xfrm>
          <a:off x="1905000" y="16294100"/>
          <a:ext cx="254000" cy="2032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1651000</xdr:colOff>
      <xdr:row>62</xdr:row>
      <xdr:rowOff>25400</xdr:rowOff>
    </xdr:from>
    <xdr:to>
      <xdr:col>1</xdr:col>
      <xdr:colOff>398780</xdr:colOff>
      <xdr:row>63</xdr:row>
      <xdr:rowOff>165100</xdr:rowOff>
    </xdr:to>
    <xdr:sp macro="" textlink="">
      <xdr:nvSpPr>
        <xdr:cNvPr id="5145" name="Arc 5144"/>
        <xdr:cNvSpPr/>
      </xdr:nvSpPr>
      <xdr:spPr>
        <a:xfrm>
          <a:off x="1651000" y="16560800"/>
          <a:ext cx="508000" cy="4064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63</xdr:row>
      <xdr:rowOff>25400</xdr:rowOff>
    </xdr:from>
    <xdr:to>
      <xdr:col>1</xdr:col>
      <xdr:colOff>398780</xdr:colOff>
      <xdr:row>63</xdr:row>
      <xdr:rowOff>228600</xdr:rowOff>
    </xdr:to>
    <xdr:sp macro="" textlink="">
      <xdr:nvSpPr>
        <xdr:cNvPr id="5146" name="Double Bracket 5145"/>
        <xdr:cNvSpPr/>
      </xdr:nvSpPr>
      <xdr:spPr>
        <a:xfrm>
          <a:off x="1905000" y="16827500"/>
          <a:ext cx="254000" cy="203200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64</xdr:row>
      <xdr:rowOff>25400</xdr:rowOff>
    </xdr:from>
    <xdr:to>
      <xdr:col>1</xdr:col>
      <xdr:colOff>398780</xdr:colOff>
      <xdr:row>64</xdr:row>
      <xdr:rowOff>228600</xdr:rowOff>
    </xdr:to>
    <xdr:sp macro="" textlink="">
      <xdr:nvSpPr>
        <xdr:cNvPr id="5147" name="Double Brace 5146"/>
        <xdr:cNvSpPr/>
      </xdr:nvSpPr>
      <xdr:spPr>
        <a:xfrm>
          <a:off x="1905000" y="17094200"/>
          <a:ext cx="254000" cy="203200"/>
        </a:xfrm>
        <a:prstGeom prst="brace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65</xdr:row>
      <xdr:rowOff>25400</xdr:rowOff>
    </xdr:from>
    <xdr:to>
      <xdr:col>1</xdr:col>
      <xdr:colOff>398780</xdr:colOff>
      <xdr:row>65</xdr:row>
      <xdr:rowOff>228600</xdr:rowOff>
    </xdr:to>
    <xdr:sp macro="" textlink="">
      <xdr:nvSpPr>
        <xdr:cNvPr id="5148" name="Plaque 5147"/>
        <xdr:cNvSpPr/>
      </xdr:nvSpPr>
      <xdr:spPr>
        <a:xfrm>
          <a:off x="1905000" y="17360900"/>
          <a:ext cx="254000" cy="203200"/>
        </a:xfrm>
        <a:prstGeom prst="plaqu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66</xdr:row>
      <xdr:rowOff>25400</xdr:rowOff>
    </xdr:from>
    <xdr:to>
      <xdr:col>1</xdr:col>
      <xdr:colOff>398780</xdr:colOff>
      <xdr:row>66</xdr:row>
      <xdr:rowOff>228600</xdr:rowOff>
    </xdr:to>
    <xdr:sp macro="" textlink="">
      <xdr:nvSpPr>
        <xdr:cNvPr id="5149" name="Left Bracket 5148"/>
        <xdr:cNvSpPr/>
      </xdr:nvSpPr>
      <xdr:spPr>
        <a:xfrm>
          <a:off x="1905000" y="17627600"/>
          <a:ext cx="254000" cy="2032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67</xdr:row>
      <xdr:rowOff>25400</xdr:rowOff>
    </xdr:from>
    <xdr:to>
      <xdr:col>1</xdr:col>
      <xdr:colOff>398780</xdr:colOff>
      <xdr:row>67</xdr:row>
      <xdr:rowOff>228600</xdr:rowOff>
    </xdr:to>
    <xdr:sp macro="" textlink="">
      <xdr:nvSpPr>
        <xdr:cNvPr id="5150" name="Right Bracket 5149"/>
        <xdr:cNvSpPr/>
      </xdr:nvSpPr>
      <xdr:spPr>
        <a:xfrm>
          <a:off x="1905000" y="17894300"/>
          <a:ext cx="254000" cy="2032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68</xdr:row>
      <xdr:rowOff>25400</xdr:rowOff>
    </xdr:from>
    <xdr:to>
      <xdr:col>1</xdr:col>
      <xdr:colOff>398780</xdr:colOff>
      <xdr:row>68</xdr:row>
      <xdr:rowOff>228600</xdr:rowOff>
    </xdr:to>
    <xdr:sp macro="" textlink="">
      <xdr:nvSpPr>
        <xdr:cNvPr id="5151" name="Left Brace 5150"/>
        <xdr:cNvSpPr/>
      </xdr:nvSpPr>
      <xdr:spPr>
        <a:xfrm>
          <a:off x="1905000" y="18161000"/>
          <a:ext cx="254000" cy="2032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69</xdr:row>
      <xdr:rowOff>25400</xdr:rowOff>
    </xdr:from>
    <xdr:to>
      <xdr:col>1</xdr:col>
      <xdr:colOff>398780</xdr:colOff>
      <xdr:row>69</xdr:row>
      <xdr:rowOff>228600</xdr:rowOff>
    </xdr:to>
    <xdr:sp macro="" textlink="">
      <xdr:nvSpPr>
        <xdr:cNvPr id="5152" name="Right Brace 5151"/>
        <xdr:cNvSpPr/>
      </xdr:nvSpPr>
      <xdr:spPr>
        <a:xfrm>
          <a:off x="1905000" y="18427700"/>
          <a:ext cx="254000" cy="2032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70</xdr:row>
      <xdr:rowOff>25400</xdr:rowOff>
    </xdr:from>
    <xdr:to>
      <xdr:col>1</xdr:col>
      <xdr:colOff>398780</xdr:colOff>
      <xdr:row>70</xdr:row>
      <xdr:rowOff>228600</xdr:rowOff>
    </xdr:to>
    <xdr:sp macro="" textlink="">
      <xdr:nvSpPr>
        <xdr:cNvPr id="5153" name="Right Arrow 5152"/>
        <xdr:cNvSpPr/>
      </xdr:nvSpPr>
      <xdr:spPr>
        <a:xfrm>
          <a:off x="1905000" y="18694400"/>
          <a:ext cx="254000" cy="2032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71</xdr:row>
      <xdr:rowOff>25400</xdr:rowOff>
    </xdr:from>
    <xdr:to>
      <xdr:col>1</xdr:col>
      <xdr:colOff>398780</xdr:colOff>
      <xdr:row>71</xdr:row>
      <xdr:rowOff>228600</xdr:rowOff>
    </xdr:to>
    <xdr:sp macro="" textlink="">
      <xdr:nvSpPr>
        <xdr:cNvPr id="5154" name="Left Arrow 5153"/>
        <xdr:cNvSpPr/>
      </xdr:nvSpPr>
      <xdr:spPr>
        <a:xfrm>
          <a:off x="1905000" y="18961100"/>
          <a:ext cx="254000" cy="2032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72</xdr:row>
      <xdr:rowOff>25400</xdr:rowOff>
    </xdr:from>
    <xdr:to>
      <xdr:col>1</xdr:col>
      <xdr:colOff>398780</xdr:colOff>
      <xdr:row>72</xdr:row>
      <xdr:rowOff>228600</xdr:rowOff>
    </xdr:to>
    <xdr:sp macro="" textlink="">
      <xdr:nvSpPr>
        <xdr:cNvPr id="5155" name="Up Arrow 5154"/>
        <xdr:cNvSpPr/>
      </xdr:nvSpPr>
      <xdr:spPr>
        <a:xfrm>
          <a:off x="1905000" y="19227800"/>
          <a:ext cx="254000" cy="2032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73</xdr:row>
      <xdr:rowOff>25400</xdr:rowOff>
    </xdr:from>
    <xdr:to>
      <xdr:col>1</xdr:col>
      <xdr:colOff>398780</xdr:colOff>
      <xdr:row>73</xdr:row>
      <xdr:rowOff>228600</xdr:rowOff>
    </xdr:to>
    <xdr:sp macro="" textlink="">
      <xdr:nvSpPr>
        <xdr:cNvPr id="5156" name="Down Arrow 5155"/>
        <xdr:cNvSpPr/>
      </xdr:nvSpPr>
      <xdr:spPr>
        <a:xfrm>
          <a:off x="1905000" y="19494500"/>
          <a:ext cx="254000" cy="2032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74</xdr:row>
      <xdr:rowOff>25400</xdr:rowOff>
    </xdr:from>
    <xdr:to>
      <xdr:col>1</xdr:col>
      <xdr:colOff>398780</xdr:colOff>
      <xdr:row>74</xdr:row>
      <xdr:rowOff>228600</xdr:rowOff>
    </xdr:to>
    <xdr:sp macro="" textlink="">
      <xdr:nvSpPr>
        <xdr:cNvPr id="5157" name="Left-Right Arrow 5156"/>
        <xdr:cNvSpPr/>
      </xdr:nvSpPr>
      <xdr:spPr>
        <a:xfrm>
          <a:off x="1905000" y="19761200"/>
          <a:ext cx="254000" cy="2032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75</xdr:row>
      <xdr:rowOff>25400</xdr:rowOff>
    </xdr:from>
    <xdr:to>
      <xdr:col>1</xdr:col>
      <xdr:colOff>398780</xdr:colOff>
      <xdr:row>75</xdr:row>
      <xdr:rowOff>228600</xdr:rowOff>
    </xdr:to>
    <xdr:sp macro="" textlink="">
      <xdr:nvSpPr>
        <xdr:cNvPr id="5158" name="Up-Down Arrow 5157"/>
        <xdr:cNvSpPr/>
      </xdr:nvSpPr>
      <xdr:spPr>
        <a:xfrm>
          <a:off x="1905000" y="20027900"/>
          <a:ext cx="254000" cy="2032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76</xdr:row>
      <xdr:rowOff>25400</xdr:rowOff>
    </xdr:from>
    <xdr:to>
      <xdr:col>1</xdr:col>
      <xdr:colOff>398780</xdr:colOff>
      <xdr:row>76</xdr:row>
      <xdr:rowOff>228600</xdr:rowOff>
    </xdr:to>
    <xdr:sp macro="" textlink="">
      <xdr:nvSpPr>
        <xdr:cNvPr id="5159" name="Quad Arrow 5158"/>
        <xdr:cNvSpPr/>
      </xdr:nvSpPr>
      <xdr:spPr>
        <a:xfrm>
          <a:off x="1905000" y="20294600"/>
          <a:ext cx="254000" cy="203200"/>
        </a:xfrm>
        <a:prstGeom prst="quad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77</xdr:row>
      <xdr:rowOff>25400</xdr:rowOff>
    </xdr:from>
    <xdr:to>
      <xdr:col>1</xdr:col>
      <xdr:colOff>398780</xdr:colOff>
      <xdr:row>77</xdr:row>
      <xdr:rowOff>228600</xdr:rowOff>
    </xdr:to>
    <xdr:sp macro="" textlink="">
      <xdr:nvSpPr>
        <xdr:cNvPr id="5160" name="Left-Right-Up Arrow 5159"/>
        <xdr:cNvSpPr/>
      </xdr:nvSpPr>
      <xdr:spPr>
        <a:xfrm>
          <a:off x="1905000" y="20561300"/>
          <a:ext cx="254000" cy="203200"/>
        </a:xfrm>
        <a:prstGeom prst="leftRigh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78</xdr:row>
      <xdr:rowOff>25400</xdr:rowOff>
    </xdr:from>
    <xdr:to>
      <xdr:col>1</xdr:col>
      <xdr:colOff>398780</xdr:colOff>
      <xdr:row>78</xdr:row>
      <xdr:rowOff>228600</xdr:rowOff>
    </xdr:to>
    <xdr:sp macro="" textlink="">
      <xdr:nvSpPr>
        <xdr:cNvPr id="5161" name="Bent Arrow 5160"/>
        <xdr:cNvSpPr/>
      </xdr:nvSpPr>
      <xdr:spPr>
        <a:xfrm>
          <a:off x="1905000" y="20828000"/>
          <a:ext cx="254000" cy="203200"/>
        </a:xfrm>
        <a:prstGeom prst="ben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79</xdr:row>
      <xdr:rowOff>25400</xdr:rowOff>
    </xdr:from>
    <xdr:to>
      <xdr:col>1</xdr:col>
      <xdr:colOff>398780</xdr:colOff>
      <xdr:row>79</xdr:row>
      <xdr:rowOff>228600</xdr:rowOff>
    </xdr:to>
    <xdr:sp macro="" textlink="">
      <xdr:nvSpPr>
        <xdr:cNvPr id="5162" name="U-Turn Arrow 5161"/>
        <xdr:cNvSpPr/>
      </xdr:nvSpPr>
      <xdr:spPr>
        <a:xfrm>
          <a:off x="1905000" y="21094700"/>
          <a:ext cx="254000" cy="203200"/>
        </a:xfrm>
        <a:prstGeom prst="utur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80</xdr:row>
      <xdr:rowOff>25400</xdr:rowOff>
    </xdr:from>
    <xdr:to>
      <xdr:col>1</xdr:col>
      <xdr:colOff>398780</xdr:colOff>
      <xdr:row>80</xdr:row>
      <xdr:rowOff>228600</xdr:rowOff>
    </xdr:to>
    <xdr:sp macro="" textlink="">
      <xdr:nvSpPr>
        <xdr:cNvPr id="5163" name="Left-Up Arrow 5162"/>
        <xdr:cNvSpPr/>
      </xdr:nvSpPr>
      <xdr:spPr>
        <a:xfrm>
          <a:off x="1905000" y="21361400"/>
          <a:ext cx="254000" cy="203200"/>
        </a:xfrm>
        <a:prstGeom prst="lef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81</xdr:row>
      <xdr:rowOff>25400</xdr:rowOff>
    </xdr:from>
    <xdr:to>
      <xdr:col>1</xdr:col>
      <xdr:colOff>398780</xdr:colOff>
      <xdr:row>81</xdr:row>
      <xdr:rowOff>228600</xdr:rowOff>
    </xdr:to>
    <xdr:sp macro="" textlink="">
      <xdr:nvSpPr>
        <xdr:cNvPr id="5164" name="Bent-Up Arrow 5163"/>
        <xdr:cNvSpPr/>
      </xdr:nvSpPr>
      <xdr:spPr>
        <a:xfrm>
          <a:off x="1905000" y="21628100"/>
          <a:ext cx="254000" cy="203200"/>
        </a:xfrm>
        <a:prstGeom prst="ben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82</xdr:row>
      <xdr:rowOff>25400</xdr:rowOff>
    </xdr:from>
    <xdr:to>
      <xdr:col>1</xdr:col>
      <xdr:colOff>398780</xdr:colOff>
      <xdr:row>82</xdr:row>
      <xdr:rowOff>228600</xdr:rowOff>
    </xdr:to>
    <xdr:sp macro="" textlink="">
      <xdr:nvSpPr>
        <xdr:cNvPr id="5165" name="Curved Right Arrow 5164"/>
        <xdr:cNvSpPr/>
      </xdr:nvSpPr>
      <xdr:spPr>
        <a:xfrm>
          <a:off x="1905000" y="21894800"/>
          <a:ext cx="254000" cy="203200"/>
        </a:xfrm>
        <a:prstGeom prst="curv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83</xdr:row>
      <xdr:rowOff>25400</xdr:rowOff>
    </xdr:from>
    <xdr:to>
      <xdr:col>1</xdr:col>
      <xdr:colOff>398780</xdr:colOff>
      <xdr:row>83</xdr:row>
      <xdr:rowOff>228600</xdr:rowOff>
    </xdr:to>
    <xdr:sp macro="" textlink="">
      <xdr:nvSpPr>
        <xdr:cNvPr id="5166" name="Curved Left Arrow 5165"/>
        <xdr:cNvSpPr/>
      </xdr:nvSpPr>
      <xdr:spPr>
        <a:xfrm>
          <a:off x="1905000" y="22161500"/>
          <a:ext cx="254000" cy="203200"/>
        </a:xfrm>
        <a:prstGeom prst="curved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84</xdr:row>
      <xdr:rowOff>25400</xdr:rowOff>
    </xdr:from>
    <xdr:to>
      <xdr:col>1</xdr:col>
      <xdr:colOff>398780</xdr:colOff>
      <xdr:row>84</xdr:row>
      <xdr:rowOff>228600</xdr:rowOff>
    </xdr:to>
    <xdr:sp macro="" textlink="">
      <xdr:nvSpPr>
        <xdr:cNvPr id="5167" name="Curved Up Arrow 5166"/>
        <xdr:cNvSpPr/>
      </xdr:nvSpPr>
      <xdr:spPr>
        <a:xfrm>
          <a:off x="1905000" y="22428200"/>
          <a:ext cx="254000" cy="203200"/>
        </a:xfrm>
        <a:prstGeom prst="curved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85</xdr:row>
      <xdr:rowOff>25400</xdr:rowOff>
    </xdr:from>
    <xdr:to>
      <xdr:col>1</xdr:col>
      <xdr:colOff>398780</xdr:colOff>
      <xdr:row>85</xdr:row>
      <xdr:rowOff>228600</xdr:rowOff>
    </xdr:to>
    <xdr:sp macro="" textlink="">
      <xdr:nvSpPr>
        <xdr:cNvPr id="5168" name="Curved Down Arrow 5167"/>
        <xdr:cNvSpPr/>
      </xdr:nvSpPr>
      <xdr:spPr>
        <a:xfrm>
          <a:off x="1905000" y="22694900"/>
          <a:ext cx="254000" cy="203200"/>
        </a:xfrm>
        <a:prstGeom prst="curved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86</xdr:row>
      <xdr:rowOff>25400</xdr:rowOff>
    </xdr:from>
    <xdr:to>
      <xdr:col>1</xdr:col>
      <xdr:colOff>398780</xdr:colOff>
      <xdr:row>86</xdr:row>
      <xdr:rowOff>228600</xdr:rowOff>
    </xdr:to>
    <xdr:sp macro="" textlink="">
      <xdr:nvSpPr>
        <xdr:cNvPr id="5169" name="Striped Right Arrow 5168"/>
        <xdr:cNvSpPr/>
      </xdr:nvSpPr>
      <xdr:spPr>
        <a:xfrm>
          <a:off x="1905000" y="22961600"/>
          <a:ext cx="254000" cy="203200"/>
        </a:xfrm>
        <a:prstGeom prst="strip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87</xdr:row>
      <xdr:rowOff>25400</xdr:rowOff>
    </xdr:from>
    <xdr:to>
      <xdr:col>1</xdr:col>
      <xdr:colOff>398780</xdr:colOff>
      <xdr:row>87</xdr:row>
      <xdr:rowOff>228600</xdr:rowOff>
    </xdr:to>
    <xdr:sp macro="" textlink="">
      <xdr:nvSpPr>
        <xdr:cNvPr id="5170" name="Notched Right Arrow 5169"/>
        <xdr:cNvSpPr/>
      </xdr:nvSpPr>
      <xdr:spPr>
        <a:xfrm>
          <a:off x="1905000" y="23228300"/>
          <a:ext cx="254000" cy="203200"/>
        </a:xfrm>
        <a:prstGeom prst="notch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88</xdr:row>
      <xdr:rowOff>25400</xdr:rowOff>
    </xdr:from>
    <xdr:to>
      <xdr:col>1</xdr:col>
      <xdr:colOff>398780</xdr:colOff>
      <xdr:row>88</xdr:row>
      <xdr:rowOff>228600</xdr:rowOff>
    </xdr:to>
    <xdr:sp macro="" textlink="">
      <xdr:nvSpPr>
        <xdr:cNvPr id="5171" name="Pentagon 5170"/>
        <xdr:cNvSpPr/>
      </xdr:nvSpPr>
      <xdr:spPr>
        <a:xfrm>
          <a:off x="1905000" y="23495000"/>
          <a:ext cx="254000" cy="2032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89</xdr:row>
      <xdr:rowOff>25400</xdr:rowOff>
    </xdr:from>
    <xdr:to>
      <xdr:col>1</xdr:col>
      <xdr:colOff>398780</xdr:colOff>
      <xdr:row>89</xdr:row>
      <xdr:rowOff>228600</xdr:rowOff>
    </xdr:to>
    <xdr:sp macro="" textlink="">
      <xdr:nvSpPr>
        <xdr:cNvPr id="5172" name="Chevron 5171"/>
        <xdr:cNvSpPr/>
      </xdr:nvSpPr>
      <xdr:spPr>
        <a:xfrm>
          <a:off x="1905000" y="23761700"/>
          <a:ext cx="254000" cy="2032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90</xdr:row>
      <xdr:rowOff>25400</xdr:rowOff>
    </xdr:from>
    <xdr:to>
      <xdr:col>1</xdr:col>
      <xdr:colOff>398780</xdr:colOff>
      <xdr:row>90</xdr:row>
      <xdr:rowOff>228600</xdr:rowOff>
    </xdr:to>
    <xdr:sp macro="" textlink="">
      <xdr:nvSpPr>
        <xdr:cNvPr id="5173" name="Right Arrow Callout 5172"/>
        <xdr:cNvSpPr/>
      </xdr:nvSpPr>
      <xdr:spPr>
        <a:xfrm>
          <a:off x="1905000" y="24028400"/>
          <a:ext cx="254000" cy="203200"/>
        </a:xfrm>
        <a:prstGeom prst="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91</xdr:row>
      <xdr:rowOff>25400</xdr:rowOff>
    </xdr:from>
    <xdr:to>
      <xdr:col>1</xdr:col>
      <xdr:colOff>398780</xdr:colOff>
      <xdr:row>91</xdr:row>
      <xdr:rowOff>228600</xdr:rowOff>
    </xdr:to>
    <xdr:sp macro="" textlink="">
      <xdr:nvSpPr>
        <xdr:cNvPr id="5174" name="Left Arrow Callout 5173"/>
        <xdr:cNvSpPr/>
      </xdr:nvSpPr>
      <xdr:spPr>
        <a:xfrm>
          <a:off x="1905000" y="24295100"/>
          <a:ext cx="254000" cy="203200"/>
        </a:xfrm>
        <a:prstGeom prst="lef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92</xdr:row>
      <xdr:rowOff>25400</xdr:rowOff>
    </xdr:from>
    <xdr:to>
      <xdr:col>1</xdr:col>
      <xdr:colOff>398780</xdr:colOff>
      <xdr:row>92</xdr:row>
      <xdr:rowOff>228600</xdr:rowOff>
    </xdr:to>
    <xdr:sp macro="" textlink="">
      <xdr:nvSpPr>
        <xdr:cNvPr id="5175" name="Up Arrow Callout 5174"/>
        <xdr:cNvSpPr/>
      </xdr:nvSpPr>
      <xdr:spPr>
        <a:xfrm>
          <a:off x="1905000" y="24561800"/>
          <a:ext cx="254000" cy="203200"/>
        </a:xfrm>
        <a:prstGeom prst="up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93</xdr:row>
      <xdr:rowOff>25400</xdr:rowOff>
    </xdr:from>
    <xdr:to>
      <xdr:col>1</xdr:col>
      <xdr:colOff>398780</xdr:colOff>
      <xdr:row>93</xdr:row>
      <xdr:rowOff>228600</xdr:rowOff>
    </xdr:to>
    <xdr:sp macro="" textlink="">
      <xdr:nvSpPr>
        <xdr:cNvPr id="5176" name="Down Arrow Callout 5175"/>
        <xdr:cNvSpPr/>
      </xdr:nvSpPr>
      <xdr:spPr>
        <a:xfrm>
          <a:off x="1905000" y="24828500"/>
          <a:ext cx="254000" cy="203200"/>
        </a:xfrm>
        <a:prstGeom prst="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94</xdr:row>
      <xdr:rowOff>25400</xdr:rowOff>
    </xdr:from>
    <xdr:to>
      <xdr:col>1</xdr:col>
      <xdr:colOff>398780</xdr:colOff>
      <xdr:row>94</xdr:row>
      <xdr:rowOff>228600</xdr:rowOff>
    </xdr:to>
    <xdr:sp macro="" textlink="">
      <xdr:nvSpPr>
        <xdr:cNvPr id="5177" name="Left-Right Arrow Callout 5176"/>
        <xdr:cNvSpPr/>
      </xdr:nvSpPr>
      <xdr:spPr>
        <a:xfrm>
          <a:off x="1905000" y="25095200"/>
          <a:ext cx="254000" cy="203200"/>
        </a:xfrm>
        <a:prstGeom prst="left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95</xdr:row>
      <xdr:rowOff>25400</xdr:rowOff>
    </xdr:from>
    <xdr:to>
      <xdr:col>1</xdr:col>
      <xdr:colOff>398780</xdr:colOff>
      <xdr:row>95</xdr:row>
      <xdr:rowOff>228600</xdr:rowOff>
    </xdr:to>
    <xdr:sp macro="" textlink="">
      <xdr:nvSpPr>
        <xdr:cNvPr id="5178" name="Up-Down Arrow Callout 5177"/>
        <xdr:cNvSpPr/>
      </xdr:nvSpPr>
      <xdr:spPr>
        <a:xfrm>
          <a:off x="1905000" y="25361900"/>
          <a:ext cx="254000" cy="203200"/>
        </a:xfrm>
        <a:prstGeom prst="up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96</xdr:row>
      <xdr:rowOff>25400</xdr:rowOff>
    </xdr:from>
    <xdr:to>
      <xdr:col>1</xdr:col>
      <xdr:colOff>398780</xdr:colOff>
      <xdr:row>96</xdr:row>
      <xdr:rowOff>228600</xdr:rowOff>
    </xdr:to>
    <xdr:sp macro="" textlink="">
      <xdr:nvSpPr>
        <xdr:cNvPr id="5179" name="Quad Arrow Callout 5178"/>
        <xdr:cNvSpPr/>
      </xdr:nvSpPr>
      <xdr:spPr>
        <a:xfrm>
          <a:off x="1905000" y="25628600"/>
          <a:ext cx="254000" cy="203200"/>
        </a:xfrm>
        <a:prstGeom prst="quad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97</xdr:row>
      <xdr:rowOff>25400</xdr:rowOff>
    </xdr:from>
    <xdr:to>
      <xdr:col>1</xdr:col>
      <xdr:colOff>398780</xdr:colOff>
      <xdr:row>97</xdr:row>
      <xdr:rowOff>228600</xdr:rowOff>
    </xdr:to>
    <xdr:sp macro="" textlink="">
      <xdr:nvSpPr>
        <xdr:cNvPr id="5180" name="Circular Arrow 5179"/>
        <xdr:cNvSpPr/>
      </xdr:nvSpPr>
      <xdr:spPr>
        <a:xfrm>
          <a:off x="1905000" y="25895300"/>
          <a:ext cx="254000" cy="203200"/>
        </a:xfrm>
        <a:prstGeom prst="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98</xdr:row>
      <xdr:rowOff>25400</xdr:rowOff>
    </xdr:from>
    <xdr:to>
      <xdr:col>1</xdr:col>
      <xdr:colOff>398780</xdr:colOff>
      <xdr:row>98</xdr:row>
      <xdr:rowOff>228600</xdr:rowOff>
    </xdr:to>
    <xdr:sp macro="" textlink="">
      <xdr:nvSpPr>
        <xdr:cNvPr id="5181" name="Flowchart: Process 5180"/>
        <xdr:cNvSpPr/>
      </xdr:nvSpPr>
      <xdr:spPr>
        <a:xfrm>
          <a:off x="1905000" y="26162000"/>
          <a:ext cx="254000" cy="203200"/>
        </a:xfrm>
        <a:prstGeom prst="flowChart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99</xdr:row>
      <xdr:rowOff>25400</xdr:rowOff>
    </xdr:from>
    <xdr:to>
      <xdr:col>1</xdr:col>
      <xdr:colOff>398780</xdr:colOff>
      <xdr:row>99</xdr:row>
      <xdr:rowOff>228600</xdr:rowOff>
    </xdr:to>
    <xdr:sp macro="" textlink="">
      <xdr:nvSpPr>
        <xdr:cNvPr id="5182" name="Flowchart: Alternate Process 5181"/>
        <xdr:cNvSpPr/>
      </xdr:nvSpPr>
      <xdr:spPr>
        <a:xfrm>
          <a:off x="1905000" y="26428700"/>
          <a:ext cx="254000" cy="203200"/>
        </a:xfrm>
        <a:prstGeom prst="flowChartAlternate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100</xdr:row>
      <xdr:rowOff>25400</xdr:rowOff>
    </xdr:from>
    <xdr:to>
      <xdr:col>1</xdr:col>
      <xdr:colOff>398780</xdr:colOff>
      <xdr:row>100</xdr:row>
      <xdr:rowOff>228600</xdr:rowOff>
    </xdr:to>
    <xdr:sp macro="" textlink="">
      <xdr:nvSpPr>
        <xdr:cNvPr id="5183" name="Flowchart: Decision 5182"/>
        <xdr:cNvSpPr/>
      </xdr:nvSpPr>
      <xdr:spPr>
        <a:xfrm>
          <a:off x="1905000" y="26695400"/>
          <a:ext cx="254000" cy="203200"/>
        </a:xfrm>
        <a:prstGeom prst="flowChartDecis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101</xdr:row>
      <xdr:rowOff>25400</xdr:rowOff>
    </xdr:from>
    <xdr:to>
      <xdr:col>1</xdr:col>
      <xdr:colOff>398780</xdr:colOff>
      <xdr:row>101</xdr:row>
      <xdr:rowOff>228600</xdr:rowOff>
    </xdr:to>
    <xdr:sp macro="" textlink="">
      <xdr:nvSpPr>
        <xdr:cNvPr id="5184" name="Flowchart: Data 5183"/>
        <xdr:cNvSpPr/>
      </xdr:nvSpPr>
      <xdr:spPr>
        <a:xfrm>
          <a:off x="1905000" y="26962100"/>
          <a:ext cx="254000" cy="203200"/>
        </a:xfrm>
        <a:prstGeom prst="flowChartInputOut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102</xdr:row>
      <xdr:rowOff>25400</xdr:rowOff>
    </xdr:from>
    <xdr:to>
      <xdr:col>1</xdr:col>
      <xdr:colOff>398780</xdr:colOff>
      <xdr:row>102</xdr:row>
      <xdr:rowOff>228600</xdr:rowOff>
    </xdr:to>
    <xdr:sp macro="" textlink="">
      <xdr:nvSpPr>
        <xdr:cNvPr id="5185" name="Flowchart: Predefined Process 5184"/>
        <xdr:cNvSpPr/>
      </xdr:nvSpPr>
      <xdr:spPr>
        <a:xfrm>
          <a:off x="1905000" y="27228800"/>
          <a:ext cx="254000" cy="203200"/>
        </a:xfrm>
        <a:prstGeom prst="flowChartPredefined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103</xdr:row>
      <xdr:rowOff>25400</xdr:rowOff>
    </xdr:from>
    <xdr:to>
      <xdr:col>1</xdr:col>
      <xdr:colOff>398780</xdr:colOff>
      <xdr:row>103</xdr:row>
      <xdr:rowOff>228600</xdr:rowOff>
    </xdr:to>
    <xdr:sp macro="" textlink="">
      <xdr:nvSpPr>
        <xdr:cNvPr id="5186" name="Flowchart: Internal Storage 5185"/>
        <xdr:cNvSpPr/>
      </xdr:nvSpPr>
      <xdr:spPr>
        <a:xfrm>
          <a:off x="1905000" y="27495500"/>
          <a:ext cx="254000" cy="203200"/>
        </a:xfrm>
        <a:prstGeom prst="flowChartInternal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104</xdr:row>
      <xdr:rowOff>25400</xdr:rowOff>
    </xdr:from>
    <xdr:to>
      <xdr:col>1</xdr:col>
      <xdr:colOff>398780</xdr:colOff>
      <xdr:row>104</xdr:row>
      <xdr:rowOff>228600</xdr:rowOff>
    </xdr:to>
    <xdr:sp macro="" textlink="">
      <xdr:nvSpPr>
        <xdr:cNvPr id="5187" name="Flowchart: Document 5186"/>
        <xdr:cNvSpPr/>
      </xdr:nvSpPr>
      <xdr:spPr>
        <a:xfrm>
          <a:off x="1905000" y="27762200"/>
          <a:ext cx="254000" cy="203200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105</xdr:row>
      <xdr:rowOff>25400</xdr:rowOff>
    </xdr:from>
    <xdr:to>
      <xdr:col>1</xdr:col>
      <xdr:colOff>398780</xdr:colOff>
      <xdr:row>105</xdr:row>
      <xdr:rowOff>228600</xdr:rowOff>
    </xdr:to>
    <xdr:sp macro="" textlink="">
      <xdr:nvSpPr>
        <xdr:cNvPr id="5188" name="Flowchart: Multidocument 5187"/>
        <xdr:cNvSpPr/>
      </xdr:nvSpPr>
      <xdr:spPr>
        <a:xfrm>
          <a:off x="1905000" y="28028900"/>
          <a:ext cx="254000" cy="203200"/>
        </a:xfrm>
        <a:prstGeom prst="flowChartMulti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106</xdr:row>
      <xdr:rowOff>25400</xdr:rowOff>
    </xdr:from>
    <xdr:to>
      <xdr:col>1</xdr:col>
      <xdr:colOff>398780</xdr:colOff>
      <xdr:row>106</xdr:row>
      <xdr:rowOff>228600</xdr:rowOff>
    </xdr:to>
    <xdr:sp macro="" textlink="">
      <xdr:nvSpPr>
        <xdr:cNvPr id="5189" name="Flowchart: Terminator 5188"/>
        <xdr:cNvSpPr/>
      </xdr:nvSpPr>
      <xdr:spPr>
        <a:xfrm>
          <a:off x="1905000" y="28295600"/>
          <a:ext cx="254000" cy="203200"/>
        </a:xfrm>
        <a:prstGeom prst="flowChartTermina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107</xdr:row>
      <xdr:rowOff>25400</xdr:rowOff>
    </xdr:from>
    <xdr:to>
      <xdr:col>1</xdr:col>
      <xdr:colOff>398780</xdr:colOff>
      <xdr:row>107</xdr:row>
      <xdr:rowOff>228600</xdr:rowOff>
    </xdr:to>
    <xdr:sp macro="" textlink="">
      <xdr:nvSpPr>
        <xdr:cNvPr id="5190" name="Flowchart: Preparation 5189"/>
        <xdr:cNvSpPr/>
      </xdr:nvSpPr>
      <xdr:spPr>
        <a:xfrm>
          <a:off x="1905000" y="28562300"/>
          <a:ext cx="254000" cy="203200"/>
        </a:xfrm>
        <a:prstGeom prst="flowChartPrepa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108</xdr:row>
      <xdr:rowOff>25400</xdr:rowOff>
    </xdr:from>
    <xdr:to>
      <xdr:col>1</xdr:col>
      <xdr:colOff>398780</xdr:colOff>
      <xdr:row>108</xdr:row>
      <xdr:rowOff>228600</xdr:rowOff>
    </xdr:to>
    <xdr:sp macro="" textlink="">
      <xdr:nvSpPr>
        <xdr:cNvPr id="5191" name="Flowchart: Manual Input 5190"/>
        <xdr:cNvSpPr/>
      </xdr:nvSpPr>
      <xdr:spPr>
        <a:xfrm>
          <a:off x="1905000" y="28829000"/>
          <a:ext cx="254000" cy="203200"/>
        </a:xfrm>
        <a:prstGeom prst="flowChartManualIn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109</xdr:row>
      <xdr:rowOff>25400</xdr:rowOff>
    </xdr:from>
    <xdr:to>
      <xdr:col>1</xdr:col>
      <xdr:colOff>398780</xdr:colOff>
      <xdr:row>109</xdr:row>
      <xdr:rowOff>228600</xdr:rowOff>
    </xdr:to>
    <xdr:sp macro="" textlink="">
      <xdr:nvSpPr>
        <xdr:cNvPr id="5192" name="Flowchart: Manual Operation 5191"/>
        <xdr:cNvSpPr/>
      </xdr:nvSpPr>
      <xdr:spPr>
        <a:xfrm>
          <a:off x="1905000" y="29095700"/>
          <a:ext cx="254000" cy="203200"/>
        </a:xfrm>
        <a:prstGeom prst="flowChartManualOpe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110</xdr:row>
      <xdr:rowOff>25400</xdr:rowOff>
    </xdr:from>
    <xdr:to>
      <xdr:col>1</xdr:col>
      <xdr:colOff>398780</xdr:colOff>
      <xdr:row>110</xdr:row>
      <xdr:rowOff>228600</xdr:rowOff>
    </xdr:to>
    <xdr:sp macro="" textlink="">
      <xdr:nvSpPr>
        <xdr:cNvPr id="5193" name="Flowchart: Connector 5192"/>
        <xdr:cNvSpPr/>
      </xdr:nvSpPr>
      <xdr:spPr>
        <a:xfrm>
          <a:off x="1905000" y="29362400"/>
          <a:ext cx="254000" cy="203200"/>
        </a:xfrm>
        <a:prstGeom prst="flowChart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111</xdr:row>
      <xdr:rowOff>25400</xdr:rowOff>
    </xdr:from>
    <xdr:to>
      <xdr:col>1</xdr:col>
      <xdr:colOff>398780</xdr:colOff>
      <xdr:row>111</xdr:row>
      <xdr:rowOff>228600</xdr:rowOff>
    </xdr:to>
    <xdr:sp macro="" textlink="">
      <xdr:nvSpPr>
        <xdr:cNvPr id="5194" name="Flowchart: Off-page Connector 5193"/>
        <xdr:cNvSpPr/>
      </xdr:nvSpPr>
      <xdr:spPr>
        <a:xfrm>
          <a:off x="1905000" y="29629100"/>
          <a:ext cx="254000" cy="203200"/>
        </a:xfrm>
        <a:prstGeom prst="flowChartOffpage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112</xdr:row>
      <xdr:rowOff>25400</xdr:rowOff>
    </xdr:from>
    <xdr:to>
      <xdr:col>1</xdr:col>
      <xdr:colOff>398780</xdr:colOff>
      <xdr:row>112</xdr:row>
      <xdr:rowOff>228600</xdr:rowOff>
    </xdr:to>
    <xdr:sp macro="" textlink="">
      <xdr:nvSpPr>
        <xdr:cNvPr id="5195" name="Flowchart: Card 5194"/>
        <xdr:cNvSpPr/>
      </xdr:nvSpPr>
      <xdr:spPr>
        <a:xfrm>
          <a:off x="1905000" y="29895800"/>
          <a:ext cx="254000" cy="203200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113</xdr:row>
      <xdr:rowOff>25400</xdr:rowOff>
    </xdr:from>
    <xdr:to>
      <xdr:col>1</xdr:col>
      <xdr:colOff>398780</xdr:colOff>
      <xdr:row>113</xdr:row>
      <xdr:rowOff>228600</xdr:rowOff>
    </xdr:to>
    <xdr:sp macro="" textlink="">
      <xdr:nvSpPr>
        <xdr:cNvPr id="5196" name="Flowchart: Punched Tape 5195"/>
        <xdr:cNvSpPr/>
      </xdr:nvSpPr>
      <xdr:spPr>
        <a:xfrm>
          <a:off x="1905000" y="30162500"/>
          <a:ext cx="254000" cy="203200"/>
        </a:xfrm>
        <a:prstGeom prst="flowChartPunched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114</xdr:row>
      <xdr:rowOff>25400</xdr:rowOff>
    </xdr:from>
    <xdr:to>
      <xdr:col>1</xdr:col>
      <xdr:colOff>398780</xdr:colOff>
      <xdr:row>114</xdr:row>
      <xdr:rowOff>228600</xdr:rowOff>
    </xdr:to>
    <xdr:sp macro="" textlink="">
      <xdr:nvSpPr>
        <xdr:cNvPr id="5197" name="Flowchart: Summing Junction 5196"/>
        <xdr:cNvSpPr/>
      </xdr:nvSpPr>
      <xdr:spPr>
        <a:xfrm>
          <a:off x="1905000" y="30429200"/>
          <a:ext cx="254000" cy="203200"/>
        </a:xfrm>
        <a:prstGeom prst="flowChartSummingJunc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115</xdr:row>
      <xdr:rowOff>25400</xdr:rowOff>
    </xdr:from>
    <xdr:to>
      <xdr:col>1</xdr:col>
      <xdr:colOff>398780</xdr:colOff>
      <xdr:row>115</xdr:row>
      <xdr:rowOff>228600</xdr:rowOff>
    </xdr:to>
    <xdr:sp macro="" textlink="">
      <xdr:nvSpPr>
        <xdr:cNvPr id="5198" name="Flowchart: Or 5197"/>
        <xdr:cNvSpPr/>
      </xdr:nvSpPr>
      <xdr:spPr>
        <a:xfrm>
          <a:off x="1905000" y="30695900"/>
          <a:ext cx="254000" cy="203200"/>
        </a:xfrm>
        <a:prstGeom prst="flowChar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116</xdr:row>
      <xdr:rowOff>25400</xdr:rowOff>
    </xdr:from>
    <xdr:to>
      <xdr:col>1</xdr:col>
      <xdr:colOff>398780</xdr:colOff>
      <xdr:row>116</xdr:row>
      <xdr:rowOff>228600</xdr:rowOff>
    </xdr:to>
    <xdr:sp macro="" textlink="">
      <xdr:nvSpPr>
        <xdr:cNvPr id="5199" name="Flowchart: Collate 5198"/>
        <xdr:cNvSpPr/>
      </xdr:nvSpPr>
      <xdr:spPr>
        <a:xfrm>
          <a:off x="1905000" y="30962600"/>
          <a:ext cx="254000" cy="203200"/>
        </a:xfrm>
        <a:prstGeom prst="flowChartCol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117</xdr:row>
      <xdr:rowOff>25400</xdr:rowOff>
    </xdr:from>
    <xdr:to>
      <xdr:col>1</xdr:col>
      <xdr:colOff>398780</xdr:colOff>
      <xdr:row>117</xdr:row>
      <xdr:rowOff>228600</xdr:rowOff>
    </xdr:to>
    <xdr:sp macro="" textlink="">
      <xdr:nvSpPr>
        <xdr:cNvPr id="5200" name="Flowchart: Sort 5199"/>
        <xdr:cNvSpPr/>
      </xdr:nvSpPr>
      <xdr:spPr>
        <a:xfrm>
          <a:off x="1905000" y="31229300"/>
          <a:ext cx="254000" cy="203200"/>
        </a:xfrm>
        <a:prstGeom prst="flowChartSo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118</xdr:row>
      <xdr:rowOff>25400</xdr:rowOff>
    </xdr:from>
    <xdr:to>
      <xdr:col>1</xdr:col>
      <xdr:colOff>398780</xdr:colOff>
      <xdr:row>118</xdr:row>
      <xdr:rowOff>228600</xdr:rowOff>
    </xdr:to>
    <xdr:sp macro="" textlink="">
      <xdr:nvSpPr>
        <xdr:cNvPr id="5201" name="Flowchart: Extract 5200"/>
        <xdr:cNvSpPr/>
      </xdr:nvSpPr>
      <xdr:spPr>
        <a:xfrm>
          <a:off x="1905000" y="31496000"/>
          <a:ext cx="254000" cy="203200"/>
        </a:xfrm>
        <a:prstGeom prst="flowChartExtra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119</xdr:row>
      <xdr:rowOff>25400</xdr:rowOff>
    </xdr:from>
    <xdr:to>
      <xdr:col>1</xdr:col>
      <xdr:colOff>398780</xdr:colOff>
      <xdr:row>119</xdr:row>
      <xdr:rowOff>228600</xdr:rowOff>
    </xdr:to>
    <xdr:sp macro="" textlink="">
      <xdr:nvSpPr>
        <xdr:cNvPr id="5202" name="Flowchart: Merge 5201"/>
        <xdr:cNvSpPr/>
      </xdr:nvSpPr>
      <xdr:spPr>
        <a:xfrm>
          <a:off x="1905000" y="31762700"/>
          <a:ext cx="254000" cy="203200"/>
        </a:xfrm>
        <a:prstGeom prst="flowChartMer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120</xdr:row>
      <xdr:rowOff>25400</xdr:rowOff>
    </xdr:from>
    <xdr:to>
      <xdr:col>1</xdr:col>
      <xdr:colOff>398780</xdr:colOff>
      <xdr:row>120</xdr:row>
      <xdr:rowOff>228600</xdr:rowOff>
    </xdr:to>
    <xdr:sp macro="" textlink="">
      <xdr:nvSpPr>
        <xdr:cNvPr id="5203" name="Flowchart: Stored Data 5202"/>
        <xdr:cNvSpPr/>
      </xdr:nvSpPr>
      <xdr:spPr>
        <a:xfrm>
          <a:off x="1905000" y="32029400"/>
          <a:ext cx="254000" cy="203200"/>
        </a:xfrm>
        <a:prstGeom prst="flowChartOn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121</xdr:row>
      <xdr:rowOff>25400</xdr:rowOff>
    </xdr:from>
    <xdr:to>
      <xdr:col>1</xdr:col>
      <xdr:colOff>398780</xdr:colOff>
      <xdr:row>121</xdr:row>
      <xdr:rowOff>228600</xdr:rowOff>
    </xdr:to>
    <xdr:sp macro="" textlink="">
      <xdr:nvSpPr>
        <xdr:cNvPr id="5204" name="Flowchart: Delay 5203"/>
        <xdr:cNvSpPr/>
      </xdr:nvSpPr>
      <xdr:spPr>
        <a:xfrm>
          <a:off x="1905000" y="32296100"/>
          <a:ext cx="254000" cy="203200"/>
        </a:xfrm>
        <a:prstGeom prst="flowChartDe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122</xdr:row>
      <xdr:rowOff>25400</xdr:rowOff>
    </xdr:from>
    <xdr:to>
      <xdr:col>1</xdr:col>
      <xdr:colOff>398780</xdr:colOff>
      <xdr:row>122</xdr:row>
      <xdr:rowOff>228600</xdr:rowOff>
    </xdr:to>
    <xdr:sp macro="" textlink="">
      <xdr:nvSpPr>
        <xdr:cNvPr id="5205" name="Flowchart: Sequential Access Storage 5204"/>
        <xdr:cNvSpPr/>
      </xdr:nvSpPr>
      <xdr:spPr>
        <a:xfrm>
          <a:off x="1905000" y="32562800"/>
          <a:ext cx="254000" cy="203200"/>
        </a:xfrm>
        <a:prstGeom prst="flowChartMagnetic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123</xdr:row>
      <xdr:rowOff>25400</xdr:rowOff>
    </xdr:from>
    <xdr:to>
      <xdr:col>1</xdr:col>
      <xdr:colOff>398780</xdr:colOff>
      <xdr:row>123</xdr:row>
      <xdr:rowOff>228600</xdr:rowOff>
    </xdr:to>
    <xdr:sp macro="" textlink="">
      <xdr:nvSpPr>
        <xdr:cNvPr id="5206" name="Flowchart: Magnetic Disk 5205"/>
        <xdr:cNvSpPr/>
      </xdr:nvSpPr>
      <xdr:spPr>
        <a:xfrm>
          <a:off x="1905000" y="32829500"/>
          <a:ext cx="254000" cy="203200"/>
        </a:xfrm>
        <a:prstGeom prst="flowChartMagneticDis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124</xdr:row>
      <xdr:rowOff>25400</xdr:rowOff>
    </xdr:from>
    <xdr:to>
      <xdr:col>1</xdr:col>
      <xdr:colOff>398780</xdr:colOff>
      <xdr:row>124</xdr:row>
      <xdr:rowOff>228600</xdr:rowOff>
    </xdr:to>
    <xdr:sp macro="" textlink="">
      <xdr:nvSpPr>
        <xdr:cNvPr id="5207" name="Flowchart: Direct Access Storage 5206"/>
        <xdr:cNvSpPr/>
      </xdr:nvSpPr>
      <xdr:spPr>
        <a:xfrm>
          <a:off x="1905000" y="33096200"/>
          <a:ext cx="254000" cy="203200"/>
        </a:xfrm>
        <a:prstGeom prst="flowChartMagneticDru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125</xdr:row>
      <xdr:rowOff>25400</xdr:rowOff>
    </xdr:from>
    <xdr:to>
      <xdr:col>1</xdr:col>
      <xdr:colOff>398780</xdr:colOff>
      <xdr:row>125</xdr:row>
      <xdr:rowOff>228600</xdr:rowOff>
    </xdr:to>
    <xdr:sp macro="" textlink="">
      <xdr:nvSpPr>
        <xdr:cNvPr id="5208" name="Flowchart: Display 5207"/>
        <xdr:cNvSpPr/>
      </xdr:nvSpPr>
      <xdr:spPr>
        <a:xfrm>
          <a:off x="1905000" y="33362900"/>
          <a:ext cx="254000" cy="203200"/>
        </a:xfrm>
        <a:prstGeom prst="flowChartDisp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126</xdr:row>
      <xdr:rowOff>25400</xdr:rowOff>
    </xdr:from>
    <xdr:to>
      <xdr:col>1</xdr:col>
      <xdr:colOff>398780</xdr:colOff>
      <xdr:row>126</xdr:row>
      <xdr:rowOff>228600</xdr:rowOff>
    </xdr:to>
    <xdr:sp macro="" textlink="">
      <xdr:nvSpPr>
        <xdr:cNvPr id="5209" name="Explosion 1 5208"/>
        <xdr:cNvSpPr/>
      </xdr:nvSpPr>
      <xdr:spPr>
        <a:xfrm>
          <a:off x="1905000" y="33629600"/>
          <a:ext cx="254000" cy="2032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127</xdr:row>
      <xdr:rowOff>25400</xdr:rowOff>
    </xdr:from>
    <xdr:to>
      <xdr:col>1</xdr:col>
      <xdr:colOff>398780</xdr:colOff>
      <xdr:row>127</xdr:row>
      <xdr:rowOff>228600</xdr:rowOff>
    </xdr:to>
    <xdr:sp macro="" textlink="">
      <xdr:nvSpPr>
        <xdr:cNvPr id="5210" name="Explosion 2 5209"/>
        <xdr:cNvSpPr/>
      </xdr:nvSpPr>
      <xdr:spPr>
        <a:xfrm>
          <a:off x="1905000" y="33896300"/>
          <a:ext cx="254000" cy="2032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128</xdr:row>
      <xdr:rowOff>25400</xdr:rowOff>
    </xdr:from>
    <xdr:to>
      <xdr:col>1</xdr:col>
      <xdr:colOff>398780</xdr:colOff>
      <xdr:row>128</xdr:row>
      <xdr:rowOff>228600</xdr:rowOff>
    </xdr:to>
    <xdr:sp macro="" textlink="">
      <xdr:nvSpPr>
        <xdr:cNvPr id="5211" name="4-Point Star 5210"/>
        <xdr:cNvSpPr/>
      </xdr:nvSpPr>
      <xdr:spPr>
        <a:xfrm>
          <a:off x="1905000" y="34163000"/>
          <a:ext cx="254000" cy="2032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129</xdr:row>
      <xdr:rowOff>25400</xdr:rowOff>
    </xdr:from>
    <xdr:to>
      <xdr:col>1</xdr:col>
      <xdr:colOff>398780</xdr:colOff>
      <xdr:row>129</xdr:row>
      <xdr:rowOff>228600</xdr:rowOff>
    </xdr:to>
    <xdr:sp macro="" textlink="">
      <xdr:nvSpPr>
        <xdr:cNvPr id="5212" name="5-Point Star 5211"/>
        <xdr:cNvSpPr/>
      </xdr:nvSpPr>
      <xdr:spPr>
        <a:xfrm>
          <a:off x="1905000" y="34429700"/>
          <a:ext cx="254000" cy="2032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130</xdr:row>
      <xdr:rowOff>25400</xdr:rowOff>
    </xdr:from>
    <xdr:to>
      <xdr:col>1</xdr:col>
      <xdr:colOff>398780</xdr:colOff>
      <xdr:row>130</xdr:row>
      <xdr:rowOff>228600</xdr:rowOff>
    </xdr:to>
    <xdr:sp macro="" textlink="">
      <xdr:nvSpPr>
        <xdr:cNvPr id="5213" name="8-Point Star 5212"/>
        <xdr:cNvSpPr/>
      </xdr:nvSpPr>
      <xdr:spPr>
        <a:xfrm>
          <a:off x="1905000" y="34696400"/>
          <a:ext cx="254000" cy="2032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131</xdr:row>
      <xdr:rowOff>25400</xdr:rowOff>
    </xdr:from>
    <xdr:to>
      <xdr:col>1</xdr:col>
      <xdr:colOff>398780</xdr:colOff>
      <xdr:row>131</xdr:row>
      <xdr:rowOff>228600</xdr:rowOff>
    </xdr:to>
    <xdr:sp macro="" textlink="">
      <xdr:nvSpPr>
        <xdr:cNvPr id="5214" name="16-Point Star 5213"/>
        <xdr:cNvSpPr/>
      </xdr:nvSpPr>
      <xdr:spPr>
        <a:xfrm>
          <a:off x="1905000" y="34963100"/>
          <a:ext cx="254000" cy="2032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132</xdr:row>
      <xdr:rowOff>25400</xdr:rowOff>
    </xdr:from>
    <xdr:to>
      <xdr:col>1</xdr:col>
      <xdr:colOff>398780</xdr:colOff>
      <xdr:row>132</xdr:row>
      <xdr:rowOff>228600</xdr:rowOff>
    </xdr:to>
    <xdr:sp macro="" textlink="">
      <xdr:nvSpPr>
        <xdr:cNvPr id="5215" name="24-Point Star 5214"/>
        <xdr:cNvSpPr/>
      </xdr:nvSpPr>
      <xdr:spPr>
        <a:xfrm>
          <a:off x="1905000" y="35229800"/>
          <a:ext cx="254000" cy="203200"/>
        </a:xfrm>
        <a:prstGeom prst="star2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133</xdr:row>
      <xdr:rowOff>25400</xdr:rowOff>
    </xdr:from>
    <xdr:to>
      <xdr:col>1</xdr:col>
      <xdr:colOff>398780</xdr:colOff>
      <xdr:row>133</xdr:row>
      <xdr:rowOff>228600</xdr:rowOff>
    </xdr:to>
    <xdr:sp macro="" textlink="">
      <xdr:nvSpPr>
        <xdr:cNvPr id="5216" name="32-Point Star 5215"/>
        <xdr:cNvSpPr/>
      </xdr:nvSpPr>
      <xdr:spPr>
        <a:xfrm>
          <a:off x="1905000" y="35496500"/>
          <a:ext cx="254000" cy="203200"/>
        </a:xfrm>
        <a:prstGeom prst="star3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134</xdr:row>
      <xdr:rowOff>25400</xdr:rowOff>
    </xdr:from>
    <xdr:to>
      <xdr:col>1</xdr:col>
      <xdr:colOff>398780</xdr:colOff>
      <xdr:row>134</xdr:row>
      <xdr:rowOff>228600</xdr:rowOff>
    </xdr:to>
    <xdr:sp macro="" textlink="">
      <xdr:nvSpPr>
        <xdr:cNvPr id="5217" name="Up Ribbon 5216"/>
        <xdr:cNvSpPr/>
      </xdr:nvSpPr>
      <xdr:spPr>
        <a:xfrm>
          <a:off x="1905000" y="35763200"/>
          <a:ext cx="254000" cy="203200"/>
        </a:xfrm>
        <a:prstGeom prst="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135</xdr:row>
      <xdr:rowOff>25400</xdr:rowOff>
    </xdr:from>
    <xdr:to>
      <xdr:col>1</xdr:col>
      <xdr:colOff>398780</xdr:colOff>
      <xdr:row>135</xdr:row>
      <xdr:rowOff>228600</xdr:rowOff>
    </xdr:to>
    <xdr:sp macro="" textlink="">
      <xdr:nvSpPr>
        <xdr:cNvPr id="5218" name="Down Ribbon 5217"/>
        <xdr:cNvSpPr/>
      </xdr:nvSpPr>
      <xdr:spPr>
        <a:xfrm>
          <a:off x="1905000" y="36029900"/>
          <a:ext cx="254000" cy="203200"/>
        </a:xfrm>
        <a:prstGeom prst="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136</xdr:row>
      <xdr:rowOff>25400</xdr:rowOff>
    </xdr:from>
    <xdr:to>
      <xdr:col>1</xdr:col>
      <xdr:colOff>398780</xdr:colOff>
      <xdr:row>136</xdr:row>
      <xdr:rowOff>228600</xdr:rowOff>
    </xdr:to>
    <xdr:sp macro="" textlink="">
      <xdr:nvSpPr>
        <xdr:cNvPr id="5219" name="Curved Up Ribbon 5218"/>
        <xdr:cNvSpPr/>
      </xdr:nvSpPr>
      <xdr:spPr>
        <a:xfrm>
          <a:off x="1905000" y="36296600"/>
          <a:ext cx="254000" cy="203200"/>
        </a:xfrm>
        <a:prstGeom prst="ellipse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137</xdr:row>
      <xdr:rowOff>25400</xdr:rowOff>
    </xdr:from>
    <xdr:to>
      <xdr:col>1</xdr:col>
      <xdr:colOff>398780</xdr:colOff>
      <xdr:row>137</xdr:row>
      <xdr:rowOff>228600</xdr:rowOff>
    </xdr:to>
    <xdr:sp macro="" textlink="">
      <xdr:nvSpPr>
        <xdr:cNvPr id="5220" name="Curved Down Ribbon 5219"/>
        <xdr:cNvSpPr/>
      </xdr:nvSpPr>
      <xdr:spPr>
        <a:xfrm>
          <a:off x="1905000" y="36563300"/>
          <a:ext cx="254000" cy="203200"/>
        </a:xfrm>
        <a:prstGeom prst="ellipse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138</xdr:row>
      <xdr:rowOff>25400</xdr:rowOff>
    </xdr:from>
    <xdr:to>
      <xdr:col>1</xdr:col>
      <xdr:colOff>398780</xdr:colOff>
      <xdr:row>138</xdr:row>
      <xdr:rowOff>228600</xdr:rowOff>
    </xdr:to>
    <xdr:sp macro="" textlink="">
      <xdr:nvSpPr>
        <xdr:cNvPr id="5221" name="Vertical Scroll 5220"/>
        <xdr:cNvSpPr/>
      </xdr:nvSpPr>
      <xdr:spPr>
        <a:xfrm>
          <a:off x="1905000" y="36830000"/>
          <a:ext cx="254000" cy="203200"/>
        </a:xfrm>
        <a:prstGeom prst="vertic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139</xdr:row>
      <xdr:rowOff>25400</xdr:rowOff>
    </xdr:from>
    <xdr:to>
      <xdr:col>1</xdr:col>
      <xdr:colOff>398780</xdr:colOff>
      <xdr:row>139</xdr:row>
      <xdr:rowOff>228600</xdr:rowOff>
    </xdr:to>
    <xdr:sp macro="" textlink="">
      <xdr:nvSpPr>
        <xdr:cNvPr id="5222" name="Horizontal Scroll 5221"/>
        <xdr:cNvSpPr/>
      </xdr:nvSpPr>
      <xdr:spPr>
        <a:xfrm>
          <a:off x="1905000" y="37096700"/>
          <a:ext cx="254000" cy="203200"/>
        </a:xfrm>
        <a:prstGeom prst="horizont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140</xdr:row>
      <xdr:rowOff>25400</xdr:rowOff>
    </xdr:from>
    <xdr:to>
      <xdr:col>1</xdr:col>
      <xdr:colOff>398780</xdr:colOff>
      <xdr:row>140</xdr:row>
      <xdr:rowOff>228600</xdr:rowOff>
    </xdr:to>
    <xdr:sp macro="" textlink="">
      <xdr:nvSpPr>
        <xdr:cNvPr id="5223" name="Wave 5222"/>
        <xdr:cNvSpPr/>
      </xdr:nvSpPr>
      <xdr:spPr>
        <a:xfrm>
          <a:off x="1905000" y="37363400"/>
          <a:ext cx="254000" cy="2032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141</xdr:row>
      <xdr:rowOff>25400</xdr:rowOff>
    </xdr:from>
    <xdr:to>
      <xdr:col>1</xdr:col>
      <xdr:colOff>398780</xdr:colOff>
      <xdr:row>141</xdr:row>
      <xdr:rowOff>228600</xdr:rowOff>
    </xdr:to>
    <xdr:sp macro="" textlink="">
      <xdr:nvSpPr>
        <xdr:cNvPr id="5224" name="Double Wave 5223"/>
        <xdr:cNvSpPr/>
      </xdr:nvSpPr>
      <xdr:spPr>
        <a:xfrm>
          <a:off x="1905000" y="37630100"/>
          <a:ext cx="254000" cy="2032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142</xdr:row>
      <xdr:rowOff>25400</xdr:rowOff>
    </xdr:from>
    <xdr:to>
      <xdr:col>1</xdr:col>
      <xdr:colOff>398780</xdr:colOff>
      <xdr:row>142</xdr:row>
      <xdr:rowOff>228600</xdr:rowOff>
    </xdr:to>
    <xdr:sp macro="" textlink="">
      <xdr:nvSpPr>
        <xdr:cNvPr id="5225" name="Rectangular Callout 5224"/>
        <xdr:cNvSpPr/>
      </xdr:nvSpPr>
      <xdr:spPr>
        <a:xfrm>
          <a:off x="1905000" y="37896800"/>
          <a:ext cx="254000" cy="203200"/>
        </a:xfrm>
        <a:prstGeom prst="wedge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143</xdr:row>
      <xdr:rowOff>25400</xdr:rowOff>
    </xdr:from>
    <xdr:to>
      <xdr:col>1</xdr:col>
      <xdr:colOff>398780</xdr:colOff>
      <xdr:row>143</xdr:row>
      <xdr:rowOff>228600</xdr:rowOff>
    </xdr:to>
    <xdr:sp macro="" textlink="">
      <xdr:nvSpPr>
        <xdr:cNvPr id="5226" name="Rounded Rectangular Callout 5225"/>
        <xdr:cNvSpPr/>
      </xdr:nvSpPr>
      <xdr:spPr>
        <a:xfrm>
          <a:off x="1905000" y="38163500"/>
          <a:ext cx="254000" cy="2032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144</xdr:row>
      <xdr:rowOff>25400</xdr:rowOff>
    </xdr:from>
    <xdr:to>
      <xdr:col>1</xdr:col>
      <xdr:colOff>398780</xdr:colOff>
      <xdr:row>144</xdr:row>
      <xdr:rowOff>228600</xdr:rowOff>
    </xdr:to>
    <xdr:sp macro="" textlink="">
      <xdr:nvSpPr>
        <xdr:cNvPr id="5227" name="Oval Callout 5226"/>
        <xdr:cNvSpPr/>
      </xdr:nvSpPr>
      <xdr:spPr>
        <a:xfrm>
          <a:off x="1905000" y="38430200"/>
          <a:ext cx="254000" cy="203200"/>
        </a:xfrm>
        <a:prstGeom prst="wedgeEllipse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145</xdr:row>
      <xdr:rowOff>25400</xdr:rowOff>
    </xdr:from>
    <xdr:to>
      <xdr:col>1</xdr:col>
      <xdr:colOff>398780</xdr:colOff>
      <xdr:row>145</xdr:row>
      <xdr:rowOff>228600</xdr:rowOff>
    </xdr:to>
    <xdr:sp macro="" textlink="">
      <xdr:nvSpPr>
        <xdr:cNvPr id="5228" name="Cloud Callout 5227"/>
        <xdr:cNvSpPr/>
      </xdr:nvSpPr>
      <xdr:spPr>
        <a:xfrm>
          <a:off x="1905000" y="38696900"/>
          <a:ext cx="254000" cy="203200"/>
        </a:xfrm>
        <a:prstGeom prst="cloud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146</xdr:row>
      <xdr:rowOff>25400</xdr:rowOff>
    </xdr:from>
    <xdr:to>
      <xdr:col>1</xdr:col>
      <xdr:colOff>398780</xdr:colOff>
      <xdr:row>146</xdr:row>
      <xdr:rowOff>228600</xdr:rowOff>
    </xdr:to>
    <xdr:sp macro="" textlink="">
      <xdr:nvSpPr>
        <xdr:cNvPr id="5229" name="Line Callout 1 5228"/>
        <xdr:cNvSpPr/>
      </xdr:nvSpPr>
      <xdr:spPr>
        <a:xfrm>
          <a:off x="1905000" y="389636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147</xdr:row>
      <xdr:rowOff>25400</xdr:rowOff>
    </xdr:from>
    <xdr:to>
      <xdr:col>1</xdr:col>
      <xdr:colOff>398780</xdr:colOff>
      <xdr:row>147</xdr:row>
      <xdr:rowOff>228600</xdr:rowOff>
    </xdr:to>
    <xdr:sp macro="" textlink="">
      <xdr:nvSpPr>
        <xdr:cNvPr id="5230" name="Line Callout 1 5229"/>
        <xdr:cNvSpPr/>
      </xdr:nvSpPr>
      <xdr:spPr>
        <a:xfrm>
          <a:off x="1905000" y="392303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148</xdr:row>
      <xdr:rowOff>25400</xdr:rowOff>
    </xdr:from>
    <xdr:to>
      <xdr:col>1</xdr:col>
      <xdr:colOff>398780</xdr:colOff>
      <xdr:row>148</xdr:row>
      <xdr:rowOff>228600</xdr:rowOff>
    </xdr:to>
    <xdr:sp macro="" textlink="">
      <xdr:nvSpPr>
        <xdr:cNvPr id="5231" name="Line Callout 2 5230"/>
        <xdr:cNvSpPr/>
      </xdr:nvSpPr>
      <xdr:spPr>
        <a:xfrm>
          <a:off x="1905000" y="39497000"/>
          <a:ext cx="254000" cy="203200"/>
        </a:xfrm>
        <a:prstGeom prst="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149</xdr:row>
      <xdr:rowOff>25400</xdr:rowOff>
    </xdr:from>
    <xdr:to>
      <xdr:col>1</xdr:col>
      <xdr:colOff>398780</xdr:colOff>
      <xdr:row>149</xdr:row>
      <xdr:rowOff>228600</xdr:rowOff>
    </xdr:to>
    <xdr:sp macro="" textlink="">
      <xdr:nvSpPr>
        <xdr:cNvPr id="5232" name="Line Callout 3 5231"/>
        <xdr:cNvSpPr/>
      </xdr:nvSpPr>
      <xdr:spPr>
        <a:xfrm>
          <a:off x="1905000" y="39763700"/>
          <a:ext cx="254000" cy="203200"/>
        </a:xfrm>
        <a:prstGeom prst="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150</xdr:row>
      <xdr:rowOff>25400</xdr:rowOff>
    </xdr:from>
    <xdr:to>
      <xdr:col>1</xdr:col>
      <xdr:colOff>398780</xdr:colOff>
      <xdr:row>150</xdr:row>
      <xdr:rowOff>228600</xdr:rowOff>
    </xdr:to>
    <xdr:sp macro="" textlink="">
      <xdr:nvSpPr>
        <xdr:cNvPr id="5233" name="Line Callout 1 (No Border) 5232"/>
        <xdr:cNvSpPr/>
      </xdr:nvSpPr>
      <xdr:spPr>
        <a:xfrm>
          <a:off x="1905000" y="400304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151</xdr:row>
      <xdr:rowOff>25400</xdr:rowOff>
    </xdr:from>
    <xdr:to>
      <xdr:col>1</xdr:col>
      <xdr:colOff>398780</xdr:colOff>
      <xdr:row>151</xdr:row>
      <xdr:rowOff>228600</xdr:rowOff>
    </xdr:to>
    <xdr:sp macro="" textlink="">
      <xdr:nvSpPr>
        <xdr:cNvPr id="5234" name="Line Callout 1 (Accent Bar) 5233"/>
        <xdr:cNvSpPr/>
      </xdr:nvSpPr>
      <xdr:spPr>
        <a:xfrm>
          <a:off x="1905000" y="40297100"/>
          <a:ext cx="254000" cy="203200"/>
        </a:xfrm>
        <a:prstGeom prst="accent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152</xdr:row>
      <xdr:rowOff>25400</xdr:rowOff>
    </xdr:from>
    <xdr:to>
      <xdr:col>1</xdr:col>
      <xdr:colOff>398780</xdr:colOff>
      <xdr:row>152</xdr:row>
      <xdr:rowOff>228600</xdr:rowOff>
    </xdr:to>
    <xdr:sp macro="" textlink="">
      <xdr:nvSpPr>
        <xdr:cNvPr id="5235" name="Line Callout 2 (Accent Bar) 5234"/>
        <xdr:cNvSpPr/>
      </xdr:nvSpPr>
      <xdr:spPr>
        <a:xfrm>
          <a:off x="1905000" y="40563800"/>
          <a:ext cx="254000" cy="203200"/>
        </a:xfrm>
        <a:prstGeom prst="accent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153</xdr:row>
      <xdr:rowOff>25400</xdr:rowOff>
    </xdr:from>
    <xdr:to>
      <xdr:col>1</xdr:col>
      <xdr:colOff>398780</xdr:colOff>
      <xdr:row>153</xdr:row>
      <xdr:rowOff>228600</xdr:rowOff>
    </xdr:to>
    <xdr:sp macro="" textlink="">
      <xdr:nvSpPr>
        <xdr:cNvPr id="5236" name="Line Callout 3 (Accent Bar) 5235"/>
        <xdr:cNvSpPr/>
      </xdr:nvSpPr>
      <xdr:spPr>
        <a:xfrm>
          <a:off x="1905000" y="40830500"/>
          <a:ext cx="254000" cy="203200"/>
        </a:xfrm>
        <a:prstGeom prst="accent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154</xdr:row>
      <xdr:rowOff>25400</xdr:rowOff>
    </xdr:from>
    <xdr:to>
      <xdr:col>1</xdr:col>
      <xdr:colOff>398780</xdr:colOff>
      <xdr:row>154</xdr:row>
      <xdr:rowOff>228600</xdr:rowOff>
    </xdr:to>
    <xdr:sp macro="" textlink="">
      <xdr:nvSpPr>
        <xdr:cNvPr id="5237" name="Line Callout 1 (No Border) 5236"/>
        <xdr:cNvSpPr/>
      </xdr:nvSpPr>
      <xdr:spPr>
        <a:xfrm>
          <a:off x="1905000" y="410972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155</xdr:row>
      <xdr:rowOff>25400</xdr:rowOff>
    </xdr:from>
    <xdr:to>
      <xdr:col>1</xdr:col>
      <xdr:colOff>398780</xdr:colOff>
      <xdr:row>155</xdr:row>
      <xdr:rowOff>228600</xdr:rowOff>
    </xdr:to>
    <xdr:sp macro="" textlink="">
      <xdr:nvSpPr>
        <xdr:cNvPr id="5238" name="Line Callout 1 (No Border) 5237"/>
        <xdr:cNvSpPr/>
      </xdr:nvSpPr>
      <xdr:spPr>
        <a:xfrm>
          <a:off x="1905000" y="413639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156</xdr:row>
      <xdr:rowOff>25400</xdr:rowOff>
    </xdr:from>
    <xdr:to>
      <xdr:col>1</xdr:col>
      <xdr:colOff>398780</xdr:colOff>
      <xdr:row>156</xdr:row>
      <xdr:rowOff>228600</xdr:rowOff>
    </xdr:to>
    <xdr:sp macro="" textlink="">
      <xdr:nvSpPr>
        <xdr:cNvPr id="5239" name="Line Callout 2 (No Border) 5238"/>
        <xdr:cNvSpPr/>
      </xdr:nvSpPr>
      <xdr:spPr>
        <a:xfrm>
          <a:off x="1905000" y="41630600"/>
          <a:ext cx="254000" cy="203200"/>
        </a:xfrm>
        <a:prstGeom prst="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157</xdr:row>
      <xdr:rowOff>25400</xdr:rowOff>
    </xdr:from>
    <xdr:to>
      <xdr:col>1</xdr:col>
      <xdr:colOff>398780</xdr:colOff>
      <xdr:row>157</xdr:row>
      <xdr:rowOff>228600</xdr:rowOff>
    </xdr:to>
    <xdr:sp macro="" textlink="">
      <xdr:nvSpPr>
        <xdr:cNvPr id="5240" name="Line Callout 3 (No Border) 5239"/>
        <xdr:cNvSpPr/>
      </xdr:nvSpPr>
      <xdr:spPr>
        <a:xfrm>
          <a:off x="1905000" y="41897300"/>
          <a:ext cx="254000" cy="203200"/>
        </a:xfrm>
        <a:prstGeom prst="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158</xdr:row>
      <xdr:rowOff>25400</xdr:rowOff>
    </xdr:from>
    <xdr:to>
      <xdr:col>1</xdr:col>
      <xdr:colOff>398780</xdr:colOff>
      <xdr:row>158</xdr:row>
      <xdr:rowOff>228600</xdr:rowOff>
    </xdr:to>
    <xdr:sp macro="" textlink="">
      <xdr:nvSpPr>
        <xdr:cNvPr id="5241" name="Line Callout 1 5240"/>
        <xdr:cNvSpPr/>
      </xdr:nvSpPr>
      <xdr:spPr>
        <a:xfrm>
          <a:off x="1905000" y="421640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159</xdr:row>
      <xdr:rowOff>25400</xdr:rowOff>
    </xdr:from>
    <xdr:to>
      <xdr:col>1</xdr:col>
      <xdr:colOff>398780</xdr:colOff>
      <xdr:row>159</xdr:row>
      <xdr:rowOff>228600</xdr:rowOff>
    </xdr:to>
    <xdr:sp macro="" textlink="">
      <xdr:nvSpPr>
        <xdr:cNvPr id="5242" name="Line Callout 1 (Border and Accent Bar) 5241"/>
        <xdr:cNvSpPr/>
      </xdr:nvSpPr>
      <xdr:spPr>
        <a:xfrm>
          <a:off x="1905000" y="42430700"/>
          <a:ext cx="254000" cy="203200"/>
        </a:xfrm>
        <a:prstGeom prst="accent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160</xdr:row>
      <xdr:rowOff>25400</xdr:rowOff>
    </xdr:from>
    <xdr:to>
      <xdr:col>1</xdr:col>
      <xdr:colOff>398780</xdr:colOff>
      <xdr:row>160</xdr:row>
      <xdr:rowOff>228600</xdr:rowOff>
    </xdr:to>
    <xdr:sp macro="" textlink="">
      <xdr:nvSpPr>
        <xdr:cNvPr id="5243" name="Line Callout 2 (Border and Accent Bar) 5242"/>
        <xdr:cNvSpPr/>
      </xdr:nvSpPr>
      <xdr:spPr>
        <a:xfrm>
          <a:off x="1905000" y="42697400"/>
          <a:ext cx="254000" cy="203200"/>
        </a:xfrm>
        <a:prstGeom prst="accent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161</xdr:row>
      <xdr:rowOff>25400</xdr:rowOff>
    </xdr:from>
    <xdr:to>
      <xdr:col>1</xdr:col>
      <xdr:colOff>398780</xdr:colOff>
      <xdr:row>161</xdr:row>
      <xdr:rowOff>228600</xdr:rowOff>
    </xdr:to>
    <xdr:sp macro="" textlink="">
      <xdr:nvSpPr>
        <xdr:cNvPr id="5244" name="Line Callout 3 (Border and Accent Bar) 5243"/>
        <xdr:cNvSpPr/>
      </xdr:nvSpPr>
      <xdr:spPr>
        <a:xfrm>
          <a:off x="1905000" y="42964100"/>
          <a:ext cx="254000" cy="203200"/>
        </a:xfrm>
        <a:prstGeom prst="accent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162</xdr:row>
      <xdr:rowOff>25400</xdr:rowOff>
    </xdr:from>
    <xdr:to>
      <xdr:col>1</xdr:col>
      <xdr:colOff>398780</xdr:colOff>
      <xdr:row>162</xdr:row>
      <xdr:rowOff>228600</xdr:rowOff>
    </xdr:to>
    <xdr:sp macro="" textlink="">
      <xdr:nvSpPr>
        <xdr:cNvPr id="5245" name="Action Button: Custom 5244"/>
        <xdr:cNvSpPr/>
      </xdr:nvSpPr>
      <xdr:spPr>
        <a:xfrm>
          <a:off x="1905000" y="43230800"/>
          <a:ext cx="254000" cy="203200"/>
        </a:xfrm>
        <a:prstGeom prst="actionButtonBlan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163</xdr:row>
      <xdr:rowOff>25400</xdr:rowOff>
    </xdr:from>
    <xdr:to>
      <xdr:col>1</xdr:col>
      <xdr:colOff>398780</xdr:colOff>
      <xdr:row>163</xdr:row>
      <xdr:rowOff>228600</xdr:rowOff>
    </xdr:to>
    <xdr:sp macro="" textlink="">
      <xdr:nvSpPr>
        <xdr:cNvPr id="5246" name="Action Button: Home 5245"/>
        <xdr:cNvSpPr/>
      </xdr:nvSpPr>
      <xdr:spPr>
        <a:xfrm>
          <a:off x="1905000" y="43497500"/>
          <a:ext cx="254000" cy="203200"/>
        </a:xfrm>
        <a:prstGeom prst="actionButtonHo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164</xdr:row>
      <xdr:rowOff>25400</xdr:rowOff>
    </xdr:from>
    <xdr:to>
      <xdr:col>1</xdr:col>
      <xdr:colOff>398780</xdr:colOff>
      <xdr:row>164</xdr:row>
      <xdr:rowOff>228600</xdr:rowOff>
    </xdr:to>
    <xdr:sp macro="" textlink="">
      <xdr:nvSpPr>
        <xdr:cNvPr id="5247" name="Action Button: Help 5246"/>
        <xdr:cNvSpPr/>
      </xdr:nvSpPr>
      <xdr:spPr>
        <a:xfrm>
          <a:off x="1905000" y="43764200"/>
          <a:ext cx="254000" cy="203200"/>
        </a:xfrm>
        <a:prstGeom prst="actionButtonHel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165</xdr:row>
      <xdr:rowOff>25400</xdr:rowOff>
    </xdr:from>
    <xdr:to>
      <xdr:col>1</xdr:col>
      <xdr:colOff>398780</xdr:colOff>
      <xdr:row>165</xdr:row>
      <xdr:rowOff>228600</xdr:rowOff>
    </xdr:to>
    <xdr:sp macro="" textlink="">
      <xdr:nvSpPr>
        <xdr:cNvPr id="5248" name="Action Button: Information 5247"/>
        <xdr:cNvSpPr/>
      </xdr:nvSpPr>
      <xdr:spPr>
        <a:xfrm>
          <a:off x="1905000" y="44030900"/>
          <a:ext cx="254000" cy="203200"/>
        </a:xfrm>
        <a:prstGeom prst="actionButtonInform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166</xdr:row>
      <xdr:rowOff>25400</xdr:rowOff>
    </xdr:from>
    <xdr:to>
      <xdr:col>1</xdr:col>
      <xdr:colOff>398780</xdr:colOff>
      <xdr:row>166</xdr:row>
      <xdr:rowOff>228600</xdr:rowOff>
    </xdr:to>
    <xdr:sp macro="" textlink="">
      <xdr:nvSpPr>
        <xdr:cNvPr id="5249" name="Action Button: Back or Previous 5248"/>
        <xdr:cNvSpPr/>
      </xdr:nvSpPr>
      <xdr:spPr>
        <a:xfrm>
          <a:off x="1905000" y="44297600"/>
          <a:ext cx="254000" cy="203200"/>
        </a:xfrm>
        <a:prstGeom prst="actionButtonBackPrevio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167</xdr:row>
      <xdr:rowOff>25400</xdr:rowOff>
    </xdr:from>
    <xdr:to>
      <xdr:col>1</xdr:col>
      <xdr:colOff>398780</xdr:colOff>
      <xdr:row>167</xdr:row>
      <xdr:rowOff>228600</xdr:rowOff>
    </xdr:to>
    <xdr:sp macro="" textlink="">
      <xdr:nvSpPr>
        <xdr:cNvPr id="5250" name="Action Button: Forward or Next 5249"/>
        <xdr:cNvSpPr/>
      </xdr:nvSpPr>
      <xdr:spPr>
        <a:xfrm>
          <a:off x="1905000" y="44564300"/>
          <a:ext cx="254000" cy="203200"/>
        </a:xfrm>
        <a:prstGeom prst="actionButtonForwardNex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168</xdr:row>
      <xdr:rowOff>25400</xdr:rowOff>
    </xdr:from>
    <xdr:to>
      <xdr:col>1</xdr:col>
      <xdr:colOff>398780</xdr:colOff>
      <xdr:row>168</xdr:row>
      <xdr:rowOff>228600</xdr:rowOff>
    </xdr:to>
    <xdr:sp macro="" textlink="">
      <xdr:nvSpPr>
        <xdr:cNvPr id="5251" name="Action Button: Beginning 5250"/>
        <xdr:cNvSpPr/>
      </xdr:nvSpPr>
      <xdr:spPr>
        <a:xfrm>
          <a:off x="1905000" y="44831000"/>
          <a:ext cx="254000" cy="203200"/>
        </a:xfrm>
        <a:prstGeom prst="actionButtonBeginn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169</xdr:row>
      <xdr:rowOff>25400</xdr:rowOff>
    </xdr:from>
    <xdr:to>
      <xdr:col>1</xdr:col>
      <xdr:colOff>398780</xdr:colOff>
      <xdr:row>169</xdr:row>
      <xdr:rowOff>228600</xdr:rowOff>
    </xdr:to>
    <xdr:sp macro="" textlink="">
      <xdr:nvSpPr>
        <xdr:cNvPr id="5252" name="Action Button: End 5251"/>
        <xdr:cNvSpPr/>
      </xdr:nvSpPr>
      <xdr:spPr>
        <a:xfrm>
          <a:off x="1905000" y="45097700"/>
          <a:ext cx="254000" cy="203200"/>
        </a:xfrm>
        <a:prstGeom prst="actionButtonE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170</xdr:row>
      <xdr:rowOff>25400</xdr:rowOff>
    </xdr:from>
    <xdr:to>
      <xdr:col>1</xdr:col>
      <xdr:colOff>398780</xdr:colOff>
      <xdr:row>170</xdr:row>
      <xdr:rowOff>228600</xdr:rowOff>
    </xdr:to>
    <xdr:sp macro="" textlink="">
      <xdr:nvSpPr>
        <xdr:cNvPr id="5253" name="Action Button: Return 5252"/>
        <xdr:cNvSpPr/>
      </xdr:nvSpPr>
      <xdr:spPr>
        <a:xfrm>
          <a:off x="1905000" y="45364400"/>
          <a:ext cx="254000" cy="203200"/>
        </a:xfrm>
        <a:prstGeom prst="actionButtonRetur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171</xdr:row>
      <xdr:rowOff>25400</xdr:rowOff>
    </xdr:from>
    <xdr:to>
      <xdr:col>1</xdr:col>
      <xdr:colOff>398780</xdr:colOff>
      <xdr:row>171</xdr:row>
      <xdr:rowOff>228600</xdr:rowOff>
    </xdr:to>
    <xdr:sp macro="" textlink="">
      <xdr:nvSpPr>
        <xdr:cNvPr id="5254" name="Action Button: Document 5253"/>
        <xdr:cNvSpPr/>
      </xdr:nvSpPr>
      <xdr:spPr>
        <a:xfrm>
          <a:off x="1905000" y="45631100"/>
          <a:ext cx="254000" cy="203200"/>
        </a:xfrm>
        <a:prstGeom prst="actionButton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172</xdr:row>
      <xdr:rowOff>25400</xdr:rowOff>
    </xdr:from>
    <xdr:to>
      <xdr:col>1</xdr:col>
      <xdr:colOff>398780</xdr:colOff>
      <xdr:row>172</xdr:row>
      <xdr:rowOff>228600</xdr:rowOff>
    </xdr:to>
    <xdr:sp macro="" textlink="">
      <xdr:nvSpPr>
        <xdr:cNvPr id="5255" name="Action Button: Sound 5254"/>
        <xdr:cNvSpPr/>
      </xdr:nvSpPr>
      <xdr:spPr>
        <a:xfrm>
          <a:off x="1905000" y="45897800"/>
          <a:ext cx="254000" cy="203200"/>
        </a:xfrm>
        <a:prstGeom prst="actionButtonSou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173</xdr:row>
      <xdr:rowOff>25400</xdr:rowOff>
    </xdr:from>
    <xdr:to>
      <xdr:col>1</xdr:col>
      <xdr:colOff>398780</xdr:colOff>
      <xdr:row>173</xdr:row>
      <xdr:rowOff>228600</xdr:rowOff>
    </xdr:to>
    <xdr:sp macro="" textlink="">
      <xdr:nvSpPr>
        <xdr:cNvPr id="5256" name="Action Button: Movie 5255"/>
        <xdr:cNvSpPr/>
      </xdr:nvSpPr>
      <xdr:spPr>
        <a:xfrm>
          <a:off x="1905000" y="46164500"/>
          <a:ext cx="254000" cy="203200"/>
        </a:xfrm>
        <a:prstGeom prst="actionButtonMov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174</xdr:row>
      <xdr:rowOff>25400</xdr:rowOff>
    </xdr:from>
    <xdr:to>
      <xdr:col>1</xdr:col>
      <xdr:colOff>398780</xdr:colOff>
      <xdr:row>174</xdr:row>
      <xdr:rowOff>228600</xdr:rowOff>
    </xdr:to>
    <xdr:sp macro="" textlink="">
      <xdr:nvSpPr>
        <xdr:cNvPr id="5257" name="Rounded Rectangular Callout 5256"/>
        <xdr:cNvSpPr/>
      </xdr:nvSpPr>
      <xdr:spPr>
        <a:xfrm>
          <a:off x="1905000" y="46431200"/>
          <a:ext cx="254000" cy="2032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176</xdr:row>
      <xdr:rowOff>25400</xdr:rowOff>
    </xdr:from>
    <xdr:to>
      <xdr:col>1</xdr:col>
      <xdr:colOff>398780</xdr:colOff>
      <xdr:row>176</xdr:row>
      <xdr:rowOff>228600</xdr:rowOff>
    </xdr:to>
    <xdr:sp macro="" textlink="">
      <xdr:nvSpPr>
        <xdr:cNvPr id="5258" name=" 5257"/>
        <xdr:cNvSpPr/>
      </xdr:nvSpPr>
      <xdr:spPr>
        <a:xfrm>
          <a:off x="1905000" y="46964600"/>
          <a:ext cx="254000" cy="203200"/>
        </a:xfrm>
        <a:prstGeom prst="flowChartOff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177</xdr:row>
      <xdr:rowOff>25400</xdr:rowOff>
    </xdr:from>
    <xdr:to>
      <xdr:col>1</xdr:col>
      <xdr:colOff>398780</xdr:colOff>
      <xdr:row>177</xdr:row>
      <xdr:rowOff>228600</xdr:rowOff>
    </xdr:to>
    <xdr:sp macro="" textlink="">
      <xdr:nvSpPr>
        <xdr:cNvPr id="5259" name="Shape 5258"/>
        <xdr:cNvSpPr/>
      </xdr:nvSpPr>
      <xdr:spPr>
        <a:xfrm>
          <a:off x="1905000" y="47231300"/>
          <a:ext cx="254000" cy="203200"/>
        </a:xfrm>
        <a:prstGeom prst="leftRight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178</xdr:row>
      <xdr:rowOff>25400</xdr:rowOff>
    </xdr:from>
    <xdr:to>
      <xdr:col>1</xdr:col>
      <xdr:colOff>398780</xdr:colOff>
      <xdr:row>178</xdr:row>
      <xdr:rowOff>228600</xdr:rowOff>
    </xdr:to>
    <xdr:sp macro="" textlink="">
      <xdr:nvSpPr>
        <xdr:cNvPr id="5260" name="Diagonal Stripe 5259"/>
        <xdr:cNvSpPr/>
      </xdr:nvSpPr>
      <xdr:spPr>
        <a:xfrm>
          <a:off x="1905000" y="47498000"/>
          <a:ext cx="254000" cy="203200"/>
        </a:xfrm>
        <a:prstGeom prst="diagStri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179</xdr:row>
      <xdr:rowOff>25400</xdr:rowOff>
    </xdr:from>
    <xdr:to>
      <xdr:col>1</xdr:col>
      <xdr:colOff>398780</xdr:colOff>
      <xdr:row>179</xdr:row>
      <xdr:rowOff>228600</xdr:rowOff>
    </xdr:to>
    <xdr:sp macro="" textlink="">
      <xdr:nvSpPr>
        <xdr:cNvPr id="5261" name="Pie 5260"/>
        <xdr:cNvSpPr/>
      </xdr:nvSpPr>
      <xdr:spPr>
        <a:xfrm>
          <a:off x="1905000" y="47764700"/>
          <a:ext cx="254000" cy="203200"/>
        </a:xfrm>
        <a:prstGeom prst="p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180</xdr:row>
      <xdr:rowOff>25400</xdr:rowOff>
    </xdr:from>
    <xdr:to>
      <xdr:col>1</xdr:col>
      <xdr:colOff>398780</xdr:colOff>
      <xdr:row>180</xdr:row>
      <xdr:rowOff>228600</xdr:rowOff>
    </xdr:to>
    <xdr:sp macro="" textlink="">
      <xdr:nvSpPr>
        <xdr:cNvPr id="5262" name="Shape 5261"/>
        <xdr:cNvSpPr/>
      </xdr:nvSpPr>
      <xdr:spPr>
        <a:xfrm>
          <a:off x="1905000" y="48031400"/>
          <a:ext cx="254000" cy="203200"/>
        </a:xfrm>
        <a:prstGeom prst="nonIsosceles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181</xdr:row>
      <xdr:rowOff>25400</xdr:rowOff>
    </xdr:from>
    <xdr:to>
      <xdr:col>1</xdr:col>
      <xdr:colOff>398780</xdr:colOff>
      <xdr:row>181</xdr:row>
      <xdr:rowOff>228600</xdr:rowOff>
    </xdr:to>
    <xdr:sp macro="" textlink="">
      <xdr:nvSpPr>
        <xdr:cNvPr id="5263" name="Decagon 5262"/>
        <xdr:cNvSpPr/>
      </xdr:nvSpPr>
      <xdr:spPr>
        <a:xfrm>
          <a:off x="1905000" y="48298100"/>
          <a:ext cx="254000" cy="203200"/>
        </a:xfrm>
        <a:prstGeom prst="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182</xdr:row>
      <xdr:rowOff>25400</xdr:rowOff>
    </xdr:from>
    <xdr:to>
      <xdr:col>1</xdr:col>
      <xdr:colOff>398780</xdr:colOff>
      <xdr:row>182</xdr:row>
      <xdr:rowOff>228600</xdr:rowOff>
    </xdr:to>
    <xdr:sp macro="" textlink="">
      <xdr:nvSpPr>
        <xdr:cNvPr id="5264" name="Heptagon 5263"/>
        <xdr:cNvSpPr/>
      </xdr:nvSpPr>
      <xdr:spPr>
        <a:xfrm>
          <a:off x="1905000" y="48564800"/>
          <a:ext cx="254000" cy="203200"/>
        </a:xfrm>
        <a:prstGeom prst="hep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183</xdr:row>
      <xdr:rowOff>25400</xdr:rowOff>
    </xdr:from>
    <xdr:to>
      <xdr:col>1</xdr:col>
      <xdr:colOff>398780</xdr:colOff>
      <xdr:row>183</xdr:row>
      <xdr:rowOff>228600</xdr:rowOff>
    </xdr:to>
    <xdr:sp macro="" textlink="">
      <xdr:nvSpPr>
        <xdr:cNvPr id="5265" name="Dodecagon 5264"/>
        <xdr:cNvSpPr/>
      </xdr:nvSpPr>
      <xdr:spPr>
        <a:xfrm>
          <a:off x="1905000" y="48831500"/>
          <a:ext cx="254000" cy="203200"/>
        </a:xfrm>
        <a:prstGeom prst="do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184</xdr:row>
      <xdr:rowOff>25400</xdr:rowOff>
    </xdr:from>
    <xdr:to>
      <xdr:col>1</xdr:col>
      <xdr:colOff>398780</xdr:colOff>
      <xdr:row>184</xdr:row>
      <xdr:rowOff>228600</xdr:rowOff>
    </xdr:to>
    <xdr:sp macro="" textlink="">
      <xdr:nvSpPr>
        <xdr:cNvPr id="5266" name="6-Point Star 5265"/>
        <xdr:cNvSpPr/>
      </xdr:nvSpPr>
      <xdr:spPr>
        <a:xfrm>
          <a:off x="1905000" y="49098200"/>
          <a:ext cx="254000" cy="203200"/>
        </a:xfrm>
        <a:prstGeom prst="st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185</xdr:row>
      <xdr:rowOff>25400</xdr:rowOff>
    </xdr:from>
    <xdr:to>
      <xdr:col>1</xdr:col>
      <xdr:colOff>398780</xdr:colOff>
      <xdr:row>185</xdr:row>
      <xdr:rowOff>228600</xdr:rowOff>
    </xdr:to>
    <xdr:sp macro="" textlink="">
      <xdr:nvSpPr>
        <xdr:cNvPr id="5267" name="7-Point Star 5266"/>
        <xdr:cNvSpPr/>
      </xdr:nvSpPr>
      <xdr:spPr>
        <a:xfrm>
          <a:off x="1905000" y="49364900"/>
          <a:ext cx="254000" cy="203200"/>
        </a:xfrm>
        <a:prstGeom prst="star7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186</xdr:row>
      <xdr:rowOff>25400</xdr:rowOff>
    </xdr:from>
    <xdr:to>
      <xdr:col>1</xdr:col>
      <xdr:colOff>398780</xdr:colOff>
      <xdr:row>186</xdr:row>
      <xdr:rowOff>228600</xdr:rowOff>
    </xdr:to>
    <xdr:sp macro="" textlink="">
      <xdr:nvSpPr>
        <xdr:cNvPr id="5268" name="10-Point Star 5267"/>
        <xdr:cNvSpPr/>
      </xdr:nvSpPr>
      <xdr:spPr>
        <a:xfrm>
          <a:off x="1905000" y="49631600"/>
          <a:ext cx="254000" cy="203200"/>
        </a:xfrm>
        <a:prstGeom prst="star10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187</xdr:row>
      <xdr:rowOff>25400</xdr:rowOff>
    </xdr:from>
    <xdr:to>
      <xdr:col>1</xdr:col>
      <xdr:colOff>398780</xdr:colOff>
      <xdr:row>187</xdr:row>
      <xdr:rowOff>228600</xdr:rowOff>
    </xdr:to>
    <xdr:sp macro="" textlink="">
      <xdr:nvSpPr>
        <xdr:cNvPr id="5269" name="12-Point Star 5268"/>
        <xdr:cNvSpPr/>
      </xdr:nvSpPr>
      <xdr:spPr>
        <a:xfrm>
          <a:off x="1905000" y="49898300"/>
          <a:ext cx="254000" cy="203200"/>
        </a:xfrm>
        <a:prstGeom prst="star1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188</xdr:row>
      <xdr:rowOff>25400</xdr:rowOff>
    </xdr:from>
    <xdr:to>
      <xdr:col>1</xdr:col>
      <xdr:colOff>398780</xdr:colOff>
      <xdr:row>188</xdr:row>
      <xdr:rowOff>228600</xdr:rowOff>
    </xdr:to>
    <xdr:sp macro="" textlink="">
      <xdr:nvSpPr>
        <xdr:cNvPr id="5270" name="Round Single Corner Rectangle 5269"/>
        <xdr:cNvSpPr/>
      </xdr:nvSpPr>
      <xdr:spPr>
        <a:xfrm>
          <a:off x="1905000" y="50165000"/>
          <a:ext cx="254000" cy="203200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189</xdr:row>
      <xdr:rowOff>25400</xdr:rowOff>
    </xdr:from>
    <xdr:to>
      <xdr:col>1</xdr:col>
      <xdr:colOff>398780</xdr:colOff>
      <xdr:row>189</xdr:row>
      <xdr:rowOff>228600</xdr:rowOff>
    </xdr:to>
    <xdr:sp macro="" textlink="">
      <xdr:nvSpPr>
        <xdr:cNvPr id="5271" name="Round Same Side Corner Rectangle 5270"/>
        <xdr:cNvSpPr/>
      </xdr:nvSpPr>
      <xdr:spPr>
        <a:xfrm>
          <a:off x="1905000" y="50431700"/>
          <a:ext cx="254000" cy="2032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190</xdr:row>
      <xdr:rowOff>25400</xdr:rowOff>
    </xdr:from>
    <xdr:to>
      <xdr:col>1</xdr:col>
      <xdr:colOff>398780</xdr:colOff>
      <xdr:row>190</xdr:row>
      <xdr:rowOff>228600</xdr:rowOff>
    </xdr:to>
    <xdr:sp macro="" textlink="">
      <xdr:nvSpPr>
        <xdr:cNvPr id="5272" name="Round Diagonal Corner Rectangle 5271"/>
        <xdr:cNvSpPr/>
      </xdr:nvSpPr>
      <xdr:spPr>
        <a:xfrm>
          <a:off x="1905000" y="50698400"/>
          <a:ext cx="254000" cy="203200"/>
        </a:xfrm>
        <a:prstGeom prst="round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191</xdr:row>
      <xdr:rowOff>25400</xdr:rowOff>
    </xdr:from>
    <xdr:to>
      <xdr:col>1</xdr:col>
      <xdr:colOff>398780</xdr:colOff>
      <xdr:row>191</xdr:row>
      <xdr:rowOff>228600</xdr:rowOff>
    </xdr:to>
    <xdr:sp macro="" textlink="">
      <xdr:nvSpPr>
        <xdr:cNvPr id="5273" name="Snip and Round Single Corner Rectangle 5272"/>
        <xdr:cNvSpPr/>
      </xdr:nvSpPr>
      <xdr:spPr>
        <a:xfrm>
          <a:off x="1905000" y="50965100"/>
          <a:ext cx="254000" cy="203200"/>
        </a:xfrm>
        <a:prstGeom prst="snip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192</xdr:row>
      <xdr:rowOff>25400</xdr:rowOff>
    </xdr:from>
    <xdr:to>
      <xdr:col>1</xdr:col>
      <xdr:colOff>398780</xdr:colOff>
      <xdr:row>192</xdr:row>
      <xdr:rowOff>228600</xdr:rowOff>
    </xdr:to>
    <xdr:sp macro="" textlink="">
      <xdr:nvSpPr>
        <xdr:cNvPr id="5274" name="Snip Single Corner Rectangle 5273"/>
        <xdr:cNvSpPr/>
      </xdr:nvSpPr>
      <xdr:spPr>
        <a:xfrm>
          <a:off x="1905000" y="51231800"/>
          <a:ext cx="254000" cy="203200"/>
        </a:xfrm>
        <a:prstGeom prst="snip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193</xdr:row>
      <xdr:rowOff>25400</xdr:rowOff>
    </xdr:from>
    <xdr:to>
      <xdr:col>1</xdr:col>
      <xdr:colOff>398780</xdr:colOff>
      <xdr:row>193</xdr:row>
      <xdr:rowOff>228600</xdr:rowOff>
    </xdr:to>
    <xdr:sp macro="" textlink="">
      <xdr:nvSpPr>
        <xdr:cNvPr id="5275" name="Snip Same Side Corner Rectangle 5274"/>
        <xdr:cNvSpPr/>
      </xdr:nvSpPr>
      <xdr:spPr>
        <a:xfrm>
          <a:off x="1905000" y="51498500"/>
          <a:ext cx="254000" cy="203200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194</xdr:row>
      <xdr:rowOff>25400</xdr:rowOff>
    </xdr:from>
    <xdr:to>
      <xdr:col>1</xdr:col>
      <xdr:colOff>398780</xdr:colOff>
      <xdr:row>194</xdr:row>
      <xdr:rowOff>228600</xdr:rowOff>
    </xdr:to>
    <xdr:sp macro="" textlink="">
      <xdr:nvSpPr>
        <xdr:cNvPr id="5276" name="Snip Diagonal Corner Rectangle 5275"/>
        <xdr:cNvSpPr/>
      </xdr:nvSpPr>
      <xdr:spPr>
        <a:xfrm>
          <a:off x="1905000" y="51765200"/>
          <a:ext cx="254000" cy="20320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195</xdr:row>
      <xdr:rowOff>25400</xdr:rowOff>
    </xdr:from>
    <xdr:to>
      <xdr:col>1</xdr:col>
      <xdr:colOff>398780</xdr:colOff>
      <xdr:row>195</xdr:row>
      <xdr:rowOff>228600</xdr:rowOff>
    </xdr:to>
    <xdr:sp macro="" textlink="">
      <xdr:nvSpPr>
        <xdr:cNvPr id="5277" name="Frame 5276"/>
        <xdr:cNvSpPr/>
      </xdr:nvSpPr>
      <xdr:spPr>
        <a:xfrm>
          <a:off x="1905000" y="52031900"/>
          <a:ext cx="254000" cy="203200"/>
        </a:xfrm>
        <a:prstGeom prst="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196</xdr:row>
      <xdr:rowOff>25400</xdr:rowOff>
    </xdr:from>
    <xdr:to>
      <xdr:col>1</xdr:col>
      <xdr:colOff>398780</xdr:colOff>
      <xdr:row>196</xdr:row>
      <xdr:rowOff>228600</xdr:rowOff>
    </xdr:to>
    <xdr:sp macro="" textlink="">
      <xdr:nvSpPr>
        <xdr:cNvPr id="5278" name="Half Frame 5277"/>
        <xdr:cNvSpPr/>
      </xdr:nvSpPr>
      <xdr:spPr>
        <a:xfrm>
          <a:off x="1905000" y="52298600"/>
          <a:ext cx="254000" cy="203200"/>
        </a:xfrm>
        <a:prstGeom prst="half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197</xdr:row>
      <xdr:rowOff>25400</xdr:rowOff>
    </xdr:from>
    <xdr:to>
      <xdr:col>1</xdr:col>
      <xdr:colOff>398780</xdr:colOff>
      <xdr:row>197</xdr:row>
      <xdr:rowOff>228600</xdr:rowOff>
    </xdr:to>
    <xdr:sp macro="" textlink="">
      <xdr:nvSpPr>
        <xdr:cNvPr id="5279" name="Teardrop 5278"/>
        <xdr:cNvSpPr/>
      </xdr:nvSpPr>
      <xdr:spPr>
        <a:xfrm>
          <a:off x="1905000" y="52565300"/>
          <a:ext cx="254000" cy="203200"/>
        </a:xfrm>
        <a:prstGeom prst="teardro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198</xdr:row>
      <xdr:rowOff>25400</xdr:rowOff>
    </xdr:from>
    <xdr:to>
      <xdr:col>1</xdr:col>
      <xdr:colOff>398780</xdr:colOff>
      <xdr:row>198</xdr:row>
      <xdr:rowOff>228600</xdr:rowOff>
    </xdr:to>
    <xdr:sp macro="" textlink="">
      <xdr:nvSpPr>
        <xdr:cNvPr id="5280" name="Chord 5279"/>
        <xdr:cNvSpPr/>
      </xdr:nvSpPr>
      <xdr:spPr>
        <a:xfrm>
          <a:off x="1905000" y="52832000"/>
          <a:ext cx="254000" cy="203200"/>
        </a:xfrm>
        <a:prstGeom prst="cho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199</xdr:row>
      <xdr:rowOff>25400</xdr:rowOff>
    </xdr:from>
    <xdr:to>
      <xdr:col>1</xdr:col>
      <xdr:colOff>398780</xdr:colOff>
      <xdr:row>199</xdr:row>
      <xdr:rowOff>228600</xdr:rowOff>
    </xdr:to>
    <xdr:sp macro="" textlink="">
      <xdr:nvSpPr>
        <xdr:cNvPr id="5281" name="L-Shape 5280"/>
        <xdr:cNvSpPr/>
      </xdr:nvSpPr>
      <xdr:spPr>
        <a:xfrm>
          <a:off x="1905000" y="53098700"/>
          <a:ext cx="254000" cy="203200"/>
        </a:xfrm>
        <a:prstGeom prst="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200</xdr:row>
      <xdr:rowOff>25400</xdr:rowOff>
    </xdr:from>
    <xdr:to>
      <xdr:col>1</xdr:col>
      <xdr:colOff>398780</xdr:colOff>
      <xdr:row>200</xdr:row>
      <xdr:rowOff>228600</xdr:rowOff>
    </xdr:to>
    <xdr:sp macro="" textlink="">
      <xdr:nvSpPr>
        <xdr:cNvPr id="5282" name="Plus 5281"/>
        <xdr:cNvSpPr/>
      </xdr:nvSpPr>
      <xdr:spPr>
        <a:xfrm>
          <a:off x="1905000" y="53365400"/>
          <a:ext cx="254000" cy="203200"/>
        </a:xfrm>
        <a:prstGeom prst="math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201</xdr:row>
      <xdr:rowOff>25400</xdr:rowOff>
    </xdr:from>
    <xdr:to>
      <xdr:col>1</xdr:col>
      <xdr:colOff>398780</xdr:colOff>
      <xdr:row>201</xdr:row>
      <xdr:rowOff>228600</xdr:rowOff>
    </xdr:to>
    <xdr:sp macro="" textlink="">
      <xdr:nvSpPr>
        <xdr:cNvPr id="5283" name="Minus 5282"/>
        <xdr:cNvSpPr/>
      </xdr:nvSpPr>
      <xdr:spPr>
        <a:xfrm>
          <a:off x="1905000" y="53632100"/>
          <a:ext cx="254000" cy="203200"/>
        </a:xfrm>
        <a:prstGeom prst="mathMin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202</xdr:row>
      <xdr:rowOff>25400</xdr:rowOff>
    </xdr:from>
    <xdr:to>
      <xdr:col>1</xdr:col>
      <xdr:colOff>398780</xdr:colOff>
      <xdr:row>202</xdr:row>
      <xdr:rowOff>228600</xdr:rowOff>
    </xdr:to>
    <xdr:sp macro="" textlink="">
      <xdr:nvSpPr>
        <xdr:cNvPr id="5284" name="Multiply 5283"/>
        <xdr:cNvSpPr/>
      </xdr:nvSpPr>
      <xdr:spPr>
        <a:xfrm>
          <a:off x="1905000" y="53898800"/>
          <a:ext cx="254000" cy="203200"/>
        </a:xfrm>
        <a:prstGeom prst="mathMultipl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203</xdr:row>
      <xdr:rowOff>25400</xdr:rowOff>
    </xdr:from>
    <xdr:to>
      <xdr:col>1</xdr:col>
      <xdr:colOff>398780</xdr:colOff>
      <xdr:row>203</xdr:row>
      <xdr:rowOff>228600</xdr:rowOff>
    </xdr:to>
    <xdr:sp macro="" textlink="">
      <xdr:nvSpPr>
        <xdr:cNvPr id="5285" name="Division 5284"/>
        <xdr:cNvSpPr/>
      </xdr:nvSpPr>
      <xdr:spPr>
        <a:xfrm>
          <a:off x="1905000" y="54165500"/>
          <a:ext cx="254000" cy="203200"/>
        </a:xfrm>
        <a:prstGeom prst="mathDivid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204</xdr:row>
      <xdr:rowOff>25400</xdr:rowOff>
    </xdr:from>
    <xdr:to>
      <xdr:col>1</xdr:col>
      <xdr:colOff>398780</xdr:colOff>
      <xdr:row>204</xdr:row>
      <xdr:rowOff>228600</xdr:rowOff>
    </xdr:to>
    <xdr:sp macro="" textlink="">
      <xdr:nvSpPr>
        <xdr:cNvPr id="5286" name="Equal 5285"/>
        <xdr:cNvSpPr/>
      </xdr:nvSpPr>
      <xdr:spPr>
        <a:xfrm>
          <a:off x="1905000" y="54432200"/>
          <a:ext cx="254000" cy="203200"/>
        </a:xfrm>
        <a:prstGeom prst="math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205</xdr:row>
      <xdr:rowOff>25400</xdr:rowOff>
    </xdr:from>
    <xdr:to>
      <xdr:col>1</xdr:col>
      <xdr:colOff>398780</xdr:colOff>
      <xdr:row>205</xdr:row>
      <xdr:rowOff>228600</xdr:rowOff>
    </xdr:to>
    <xdr:sp macro="" textlink="">
      <xdr:nvSpPr>
        <xdr:cNvPr id="5287" name="Not Equal 5286"/>
        <xdr:cNvSpPr/>
      </xdr:nvSpPr>
      <xdr:spPr>
        <a:xfrm>
          <a:off x="1905000" y="54698900"/>
          <a:ext cx="254000" cy="203200"/>
        </a:xfrm>
        <a:prstGeom prst="mathNot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206</xdr:row>
      <xdr:rowOff>25400</xdr:rowOff>
    </xdr:from>
    <xdr:to>
      <xdr:col>1</xdr:col>
      <xdr:colOff>398780</xdr:colOff>
      <xdr:row>206</xdr:row>
      <xdr:rowOff>228600</xdr:rowOff>
    </xdr:to>
    <xdr:sp macro="" textlink="">
      <xdr:nvSpPr>
        <xdr:cNvPr id="5288" name=" 5287"/>
        <xdr:cNvSpPr/>
      </xdr:nvSpPr>
      <xdr:spPr>
        <a:xfrm>
          <a:off x="1905000" y="54965600"/>
          <a:ext cx="254000" cy="203200"/>
        </a:xfrm>
        <a:prstGeom prst="corner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207</xdr:row>
      <xdr:rowOff>25400</xdr:rowOff>
    </xdr:from>
    <xdr:to>
      <xdr:col>1</xdr:col>
      <xdr:colOff>398780</xdr:colOff>
      <xdr:row>207</xdr:row>
      <xdr:rowOff>228600</xdr:rowOff>
    </xdr:to>
    <xdr:sp macro="" textlink="">
      <xdr:nvSpPr>
        <xdr:cNvPr id="5289" name=" 5288"/>
        <xdr:cNvSpPr/>
      </xdr:nvSpPr>
      <xdr:spPr>
        <a:xfrm>
          <a:off x="1905000" y="55232300"/>
          <a:ext cx="254000" cy="203200"/>
        </a:xfrm>
        <a:prstGeom prst="squar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208</xdr:row>
      <xdr:rowOff>25400</xdr:rowOff>
    </xdr:from>
    <xdr:to>
      <xdr:col>1</xdr:col>
      <xdr:colOff>398780</xdr:colOff>
      <xdr:row>208</xdr:row>
      <xdr:rowOff>228600</xdr:rowOff>
    </xdr:to>
    <xdr:sp macro="" textlink="">
      <xdr:nvSpPr>
        <xdr:cNvPr id="5290" name=" 5289"/>
        <xdr:cNvSpPr/>
      </xdr:nvSpPr>
      <xdr:spPr>
        <a:xfrm>
          <a:off x="1905000" y="55499000"/>
          <a:ext cx="254000" cy="203200"/>
        </a:xfrm>
        <a:prstGeom prst="plaqu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209</xdr:row>
      <xdr:rowOff>25400</xdr:rowOff>
    </xdr:from>
    <xdr:to>
      <xdr:col>1</xdr:col>
      <xdr:colOff>398780</xdr:colOff>
      <xdr:row>209</xdr:row>
      <xdr:rowOff>228600</xdr:rowOff>
    </xdr:to>
    <xdr:sp macro="" textlink="">
      <xdr:nvSpPr>
        <xdr:cNvPr id="5291" name="Shape 5290"/>
        <xdr:cNvSpPr/>
      </xdr:nvSpPr>
      <xdr:spPr>
        <a:xfrm>
          <a:off x="1905000" y="55765700"/>
          <a:ext cx="254000" cy="203200"/>
        </a:xfrm>
        <a:prstGeom prst="ge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210</xdr:row>
      <xdr:rowOff>25400</xdr:rowOff>
    </xdr:from>
    <xdr:to>
      <xdr:col>1</xdr:col>
      <xdr:colOff>398780</xdr:colOff>
      <xdr:row>210</xdr:row>
      <xdr:rowOff>228600</xdr:rowOff>
    </xdr:to>
    <xdr:sp macro="" textlink="">
      <xdr:nvSpPr>
        <xdr:cNvPr id="5292" name="Shape 5291"/>
        <xdr:cNvSpPr/>
      </xdr:nvSpPr>
      <xdr:spPr>
        <a:xfrm>
          <a:off x="1905000" y="56032400"/>
          <a:ext cx="254000" cy="203200"/>
        </a:xfrm>
        <a:prstGeom prst="gear9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211</xdr:row>
      <xdr:rowOff>25400</xdr:rowOff>
    </xdr:from>
    <xdr:to>
      <xdr:col>1</xdr:col>
      <xdr:colOff>398780</xdr:colOff>
      <xdr:row>211</xdr:row>
      <xdr:rowOff>228600</xdr:rowOff>
    </xdr:to>
    <xdr:sp macro="" textlink="">
      <xdr:nvSpPr>
        <xdr:cNvPr id="5293" name="Shape 5292"/>
        <xdr:cNvSpPr/>
      </xdr:nvSpPr>
      <xdr:spPr>
        <a:xfrm>
          <a:off x="1905000" y="56299100"/>
          <a:ext cx="254000" cy="203200"/>
        </a:xfrm>
        <a:prstGeom prst="funn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212</xdr:row>
      <xdr:rowOff>25400</xdr:rowOff>
    </xdr:from>
    <xdr:to>
      <xdr:col>1</xdr:col>
      <xdr:colOff>398780</xdr:colOff>
      <xdr:row>212</xdr:row>
      <xdr:rowOff>228600</xdr:rowOff>
    </xdr:to>
    <xdr:sp macro="" textlink="">
      <xdr:nvSpPr>
        <xdr:cNvPr id="5294" name="Pie 5293"/>
        <xdr:cNvSpPr/>
      </xdr:nvSpPr>
      <xdr:spPr>
        <a:xfrm>
          <a:off x="1905000" y="56565800"/>
          <a:ext cx="254000" cy="203200"/>
        </a:xfrm>
        <a:prstGeom prst="pieWed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213</xdr:row>
      <xdr:rowOff>25400</xdr:rowOff>
    </xdr:from>
    <xdr:to>
      <xdr:col>1</xdr:col>
      <xdr:colOff>398780</xdr:colOff>
      <xdr:row>213</xdr:row>
      <xdr:rowOff>228600</xdr:rowOff>
    </xdr:to>
    <xdr:sp macro="" textlink="">
      <xdr:nvSpPr>
        <xdr:cNvPr id="5295" name="Shape 5294"/>
        <xdr:cNvSpPr/>
      </xdr:nvSpPr>
      <xdr:spPr>
        <a:xfrm>
          <a:off x="1905000" y="56832500"/>
          <a:ext cx="254000" cy="203200"/>
        </a:xfrm>
        <a:prstGeom prst="lef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214</xdr:row>
      <xdr:rowOff>25400</xdr:rowOff>
    </xdr:from>
    <xdr:to>
      <xdr:col>1</xdr:col>
      <xdr:colOff>398780</xdr:colOff>
      <xdr:row>214</xdr:row>
      <xdr:rowOff>228600</xdr:rowOff>
    </xdr:to>
    <xdr:sp macro="" textlink="">
      <xdr:nvSpPr>
        <xdr:cNvPr id="5296" name="Shape 5295"/>
        <xdr:cNvSpPr/>
      </xdr:nvSpPr>
      <xdr:spPr>
        <a:xfrm>
          <a:off x="1905000" y="57099200"/>
          <a:ext cx="254000" cy="203200"/>
        </a:xfrm>
        <a:prstGeom prst="leftRigh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215</xdr:row>
      <xdr:rowOff>25400</xdr:rowOff>
    </xdr:from>
    <xdr:to>
      <xdr:col>1</xdr:col>
      <xdr:colOff>398780</xdr:colOff>
      <xdr:row>215</xdr:row>
      <xdr:rowOff>228600</xdr:rowOff>
    </xdr:to>
    <xdr:sp macro="" textlink="">
      <xdr:nvSpPr>
        <xdr:cNvPr id="5297" name="Shape 5296"/>
        <xdr:cNvSpPr/>
      </xdr:nvSpPr>
      <xdr:spPr>
        <a:xfrm>
          <a:off x="1905000" y="57365900"/>
          <a:ext cx="254000" cy="203200"/>
        </a:xfrm>
        <a:prstGeom prst="swoosh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216</xdr:row>
      <xdr:rowOff>25400</xdr:rowOff>
    </xdr:from>
    <xdr:to>
      <xdr:col>1</xdr:col>
      <xdr:colOff>398780</xdr:colOff>
      <xdr:row>216</xdr:row>
      <xdr:rowOff>228600</xdr:rowOff>
    </xdr:to>
    <xdr:sp macro="" textlink="">
      <xdr:nvSpPr>
        <xdr:cNvPr id="5298" name="Cloud 5297"/>
        <xdr:cNvSpPr/>
      </xdr:nvSpPr>
      <xdr:spPr>
        <a:xfrm>
          <a:off x="1905000" y="57632600"/>
          <a:ext cx="254000" cy="203200"/>
        </a:xfrm>
        <a:prstGeom prst="clou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217</xdr:row>
      <xdr:rowOff>25400</xdr:rowOff>
    </xdr:from>
    <xdr:to>
      <xdr:col>1</xdr:col>
      <xdr:colOff>398780</xdr:colOff>
      <xdr:row>217</xdr:row>
      <xdr:rowOff>228600</xdr:rowOff>
    </xdr:to>
    <xdr:sp macro="" textlink="">
      <xdr:nvSpPr>
        <xdr:cNvPr id="5299" name=" 5298"/>
        <xdr:cNvSpPr/>
      </xdr:nvSpPr>
      <xdr:spPr>
        <a:xfrm>
          <a:off x="1905000" y="57899300"/>
          <a:ext cx="254000" cy="203200"/>
        </a:xfrm>
        <a:prstGeom prst="chartX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218</xdr:row>
      <xdr:rowOff>25400</xdr:rowOff>
    </xdr:from>
    <xdr:to>
      <xdr:col>1</xdr:col>
      <xdr:colOff>398780</xdr:colOff>
      <xdr:row>218</xdr:row>
      <xdr:rowOff>228600</xdr:rowOff>
    </xdr:to>
    <xdr:sp macro="" textlink="">
      <xdr:nvSpPr>
        <xdr:cNvPr id="5300" name=" 5299"/>
        <xdr:cNvSpPr/>
      </xdr:nvSpPr>
      <xdr:spPr>
        <a:xfrm>
          <a:off x="1905000" y="58166000"/>
          <a:ext cx="254000" cy="203200"/>
        </a:xfrm>
        <a:prstGeom prst="chartSta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219</xdr:row>
      <xdr:rowOff>25400</xdr:rowOff>
    </xdr:from>
    <xdr:to>
      <xdr:col>1</xdr:col>
      <xdr:colOff>398780</xdr:colOff>
      <xdr:row>219</xdr:row>
      <xdr:rowOff>228600</xdr:rowOff>
    </xdr:to>
    <xdr:sp macro="" textlink="">
      <xdr:nvSpPr>
        <xdr:cNvPr id="5301" name=" 5300"/>
        <xdr:cNvSpPr/>
      </xdr:nvSpPr>
      <xdr:spPr>
        <a:xfrm>
          <a:off x="1905000" y="58432700"/>
          <a:ext cx="254000" cy="203200"/>
        </a:xfrm>
        <a:prstGeom prst="chart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220</xdr:row>
      <xdr:rowOff>25400</xdr:rowOff>
    </xdr:from>
    <xdr:to>
      <xdr:col>1</xdr:col>
      <xdr:colOff>398780</xdr:colOff>
      <xdr:row>220</xdr:row>
      <xdr:rowOff>228600</xdr:rowOff>
    </xdr:to>
    <xdr:sp macro="" textlink="">
      <xdr:nvSpPr>
        <xdr:cNvPr id="5302" name="Straight Connector 5301"/>
        <xdr:cNvSpPr/>
      </xdr:nvSpPr>
      <xdr:spPr>
        <a:xfrm>
          <a:off x="1905000" y="58699400"/>
          <a:ext cx="254000" cy="203200"/>
        </a:xfrm>
        <a:prstGeom prst="lineInv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5.jdg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UserColours"/>
      <sheetName val="full"/>
    </sheetNames>
    <sheetDataSet>
      <sheetData sheetId="0">
        <row r="2">
          <cell r="B2">
            <v>15</v>
          </cell>
        </row>
        <row r="3">
          <cell r="B3">
            <v>10</v>
          </cell>
        </row>
        <row r="4">
          <cell r="B4" t="str">
            <v>jdgc</v>
          </cell>
        </row>
        <row r="5">
          <cell r="B5" t="str">
            <v>common</v>
          </cell>
        </row>
        <row r="6">
          <cell r="B6" t="str">
            <v>grey50</v>
          </cell>
        </row>
        <row r="7">
          <cell r="B7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>
            <a:lumMod val="40000"/>
            <a:lumOff val="60000"/>
          </a:schemeClr>
        </a:solidFill>
        <a:ln w="12700"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radients"/>
  <dimension ref="B5:C16"/>
  <sheetViews>
    <sheetView workbookViewId="0"/>
  </sheetViews>
  <sheetFormatPr defaultColWidth="9.109375" defaultRowHeight="13.2" x14ac:dyDescent="0.25"/>
  <sheetData>
    <row r="5" spans="2:3" x14ac:dyDescent="0.25">
      <c r="B5" s="3" t="s">
        <v>9</v>
      </c>
    </row>
    <row r="6" spans="2:3" x14ac:dyDescent="0.25">
      <c r="B6" t="s">
        <v>6</v>
      </c>
      <c r="C6" t="s">
        <v>10</v>
      </c>
    </row>
    <row r="7" spans="2:3" x14ac:dyDescent="0.25">
      <c r="B7" t="s">
        <v>0</v>
      </c>
      <c r="C7" t="s">
        <v>11</v>
      </c>
    </row>
    <row r="8" spans="2:3" x14ac:dyDescent="0.25">
      <c r="B8" t="s">
        <v>12</v>
      </c>
      <c r="C8" t="s">
        <v>13</v>
      </c>
    </row>
    <row r="9" spans="2:3" x14ac:dyDescent="0.25">
      <c r="B9" t="s">
        <v>7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8</v>
      </c>
      <c r="C11" t="s">
        <v>17</v>
      </c>
    </row>
    <row r="13" spans="2:3" x14ac:dyDescent="0.25">
      <c r="B13" s="3" t="s">
        <v>18</v>
      </c>
    </row>
    <row r="14" spans="2:3" x14ac:dyDescent="0.25">
      <c r="B14" t="s">
        <v>19</v>
      </c>
    </row>
    <row r="16" spans="2:3" x14ac:dyDescent="0.25">
      <c r="B16" t="s">
        <v>20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M9" sqref="M9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hapes">
    <pageSetUpPr fitToPage="1"/>
  </sheetPr>
  <dimension ref="A1:H221"/>
  <sheetViews>
    <sheetView tabSelected="1" topLeftCell="A25" zoomScaleNormal="100" workbookViewId="0">
      <selection activeCell="A30" sqref="A30"/>
    </sheetView>
  </sheetViews>
  <sheetFormatPr defaultColWidth="11.44140625" defaultRowHeight="21" customHeight="1" x14ac:dyDescent="0.25"/>
  <cols>
    <col min="1" max="1" width="25.6640625" style="7" bestFit="1" customWidth="1"/>
    <col min="2" max="2" width="11.44140625" style="6"/>
    <col min="3" max="3" width="2.44140625" style="6" customWidth="1"/>
    <col min="4" max="5" width="11.44140625" style="8"/>
    <col min="6" max="256" width="11.44140625" style="6"/>
    <col min="257" max="257" width="25.6640625" style="6" bestFit="1" customWidth="1"/>
    <col min="258" max="258" width="11.44140625" style="6"/>
    <col min="259" max="259" width="2.44140625" style="6" customWidth="1"/>
    <col min="260" max="512" width="11.44140625" style="6"/>
    <col min="513" max="513" width="25.6640625" style="6" bestFit="1" customWidth="1"/>
    <col min="514" max="514" width="11.44140625" style="6"/>
    <col min="515" max="515" width="2.44140625" style="6" customWidth="1"/>
    <col min="516" max="768" width="11.44140625" style="6"/>
    <col min="769" max="769" width="25.6640625" style="6" bestFit="1" customWidth="1"/>
    <col min="770" max="770" width="11.44140625" style="6"/>
    <col min="771" max="771" width="2.44140625" style="6" customWidth="1"/>
    <col min="772" max="1024" width="11.44140625" style="6"/>
    <col min="1025" max="1025" width="25.6640625" style="6" bestFit="1" customWidth="1"/>
    <col min="1026" max="1026" width="11.44140625" style="6"/>
    <col min="1027" max="1027" width="2.44140625" style="6" customWidth="1"/>
    <col min="1028" max="1280" width="11.44140625" style="6"/>
    <col min="1281" max="1281" width="25.6640625" style="6" bestFit="1" customWidth="1"/>
    <col min="1282" max="1282" width="11.44140625" style="6"/>
    <col min="1283" max="1283" width="2.44140625" style="6" customWidth="1"/>
    <col min="1284" max="1536" width="11.44140625" style="6"/>
    <col min="1537" max="1537" width="25.6640625" style="6" bestFit="1" customWidth="1"/>
    <col min="1538" max="1538" width="11.44140625" style="6"/>
    <col min="1539" max="1539" width="2.44140625" style="6" customWidth="1"/>
    <col min="1540" max="1792" width="11.44140625" style="6"/>
    <col min="1793" max="1793" width="25.6640625" style="6" bestFit="1" customWidth="1"/>
    <col min="1794" max="1794" width="11.44140625" style="6"/>
    <col min="1795" max="1795" width="2.44140625" style="6" customWidth="1"/>
    <col min="1796" max="2048" width="11.44140625" style="6"/>
    <col min="2049" max="2049" width="25.6640625" style="6" bestFit="1" customWidth="1"/>
    <col min="2050" max="2050" width="11.44140625" style="6"/>
    <col min="2051" max="2051" width="2.44140625" style="6" customWidth="1"/>
    <col min="2052" max="2304" width="11.44140625" style="6"/>
    <col min="2305" max="2305" width="25.6640625" style="6" bestFit="1" customWidth="1"/>
    <col min="2306" max="2306" width="11.44140625" style="6"/>
    <col min="2307" max="2307" width="2.44140625" style="6" customWidth="1"/>
    <col min="2308" max="2560" width="11.44140625" style="6"/>
    <col min="2561" max="2561" width="25.6640625" style="6" bestFit="1" customWidth="1"/>
    <col min="2562" max="2562" width="11.44140625" style="6"/>
    <col min="2563" max="2563" width="2.44140625" style="6" customWidth="1"/>
    <col min="2564" max="2816" width="11.44140625" style="6"/>
    <col min="2817" max="2817" width="25.6640625" style="6" bestFit="1" customWidth="1"/>
    <col min="2818" max="2818" width="11.44140625" style="6"/>
    <col min="2819" max="2819" width="2.44140625" style="6" customWidth="1"/>
    <col min="2820" max="3072" width="11.44140625" style="6"/>
    <col min="3073" max="3073" width="25.6640625" style="6" bestFit="1" customWidth="1"/>
    <col min="3074" max="3074" width="11.44140625" style="6"/>
    <col min="3075" max="3075" width="2.44140625" style="6" customWidth="1"/>
    <col min="3076" max="3328" width="11.44140625" style="6"/>
    <col min="3329" max="3329" width="25.6640625" style="6" bestFit="1" customWidth="1"/>
    <col min="3330" max="3330" width="11.44140625" style="6"/>
    <col min="3331" max="3331" width="2.44140625" style="6" customWidth="1"/>
    <col min="3332" max="3584" width="11.44140625" style="6"/>
    <col min="3585" max="3585" width="25.6640625" style="6" bestFit="1" customWidth="1"/>
    <col min="3586" max="3586" width="11.44140625" style="6"/>
    <col min="3587" max="3587" width="2.44140625" style="6" customWidth="1"/>
    <col min="3588" max="3840" width="11.44140625" style="6"/>
    <col min="3841" max="3841" width="25.6640625" style="6" bestFit="1" customWidth="1"/>
    <col min="3842" max="3842" width="11.44140625" style="6"/>
    <col min="3843" max="3843" width="2.44140625" style="6" customWidth="1"/>
    <col min="3844" max="4096" width="11.44140625" style="6"/>
    <col min="4097" max="4097" width="25.6640625" style="6" bestFit="1" customWidth="1"/>
    <col min="4098" max="4098" width="11.44140625" style="6"/>
    <col min="4099" max="4099" width="2.44140625" style="6" customWidth="1"/>
    <col min="4100" max="4352" width="11.44140625" style="6"/>
    <col min="4353" max="4353" width="25.6640625" style="6" bestFit="1" customWidth="1"/>
    <col min="4354" max="4354" width="11.44140625" style="6"/>
    <col min="4355" max="4355" width="2.44140625" style="6" customWidth="1"/>
    <col min="4356" max="4608" width="11.44140625" style="6"/>
    <col min="4609" max="4609" width="25.6640625" style="6" bestFit="1" customWidth="1"/>
    <col min="4610" max="4610" width="11.44140625" style="6"/>
    <col min="4611" max="4611" width="2.44140625" style="6" customWidth="1"/>
    <col min="4612" max="4864" width="11.44140625" style="6"/>
    <col min="4865" max="4865" width="25.6640625" style="6" bestFit="1" customWidth="1"/>
    <col min="4866" max="4866" width="11.44140625" style="6"/>
    <col min="4867" max="4867" width="2.44140625" style="6" customWidth="1"/>
    <col min="4868" max="5120" width="11.44140625" style="6"/>
    <col min="5121" max="5121" width="25.6640625" style="6" bestFit="1" customWidth="1"/>
    <col min="5122" max="5122" width="11.44140625" style="6"/>
    <col min="5123" max="5123" width="2.44140625" style="6" customWidth="1"/>
    <col min="5124" max="5376" width="11.44140625" style="6"/>
    <col min="5377" max="5377" width="25.6640625" style="6" bestFit="1" customWidth="1"/>
    <col min="5378" max="5378" width="11.44140625" style="6"/>
    <col min="5379" max="5379" width="2.44140625" style="6" customWidth="1"/>
    <col min="5380" max="5632" width="11.44140625" style="6"/>
    <col min="5633" max="5633" width="25.6640625" style="6" bestFit="1" customWidth="1"/>
    <col min="5634" max="5634" width="11.44140625" style="6"/>
    <col min="5635" max="5635" width="2.44140625" style="6" customWidth="1"/>
    <col min="5636" max="5888" width="11.44140625" style="6"/>
    <col min="5889" max="5889" width="25.6640625" style="6" bestFit="1" customWidth="1"/>
    <col min="5890" max="5890" width="11.44140625" style="6"/>
    <col min="5891" max="5891" width="2.44140625" style="6" customWidth="1"/>
    <col min="5892" max="6144" width="11.44140625" style="6"/>
    <col min="6145" max="6145" width="25.6640625" style="6" bestFit="1" customWidth="1"/>
    <col min="6146" max="6146" width="11.44140625" style="6"/>
    <col min="6147" max="6147" width="2.44140625" style="6" customWidth="1"/>
    <col min="6148" max="6400" width="11.44140625" style="6"/>
    <col min="6401" max="6401" width="25.6640625" style="6" bestFit="1" customWidth="1"/>
    <col min="6402" max="6402" width="11.44140625" style="6"/>
    <col min="6403" max="6403" width="2.44140625" style="6" customWidth="1"/>
    <col min="6404" max="6656" width="11.44140625" style="6"/>
    <col min="6657" max="6657" width="25.6640625" style="6" bestFit="1" customWidth="1"/>
    <col min="6658" max="6658" width="11.44140625" style="6"/>
    <col min="6659" max="6659" width="2.44140625" style="6" customWidth="1"/>
    <col min="6660" max="6912" width="11.44140625" style="6"/>
    <col min="6913" max="6913" width="25.6640625" style="6" bestFit="1" customWidth="1"/>
    <col min="6914" max="6914" width="11.44140625" style="6"/>
    <col min="6915" max="6915" width="2.44140625" style="6" customWidth="1"/>
    <col min="6916" max="7168" width="11.44140625" style="6"/>
    <col min="7169" max="7169" width="25.6640625" style="6" bestFit="1" customWidth="1"/>
    <col min="7170" max="7170" width="11.44140625" style="6"/>
    <col min="7171" max="7171" width="2.44140625" style="6" customWidth="1"/>
    <col min="7172" max="7424" width="11.44140625" style="6"/>
    <col min="7425" max="7425" width="25.6640625" style="6" bestFit="1" customWidth="1"/>
    <col min="7426" max="7426" width="11.44140625" style="6"/>
    <col min="7427" max="7427" width="2.44140625" style="6" customWidth="1"/>
    <col min="7428" max="7680" width="11.44140625" style="6"/>
    <col min="7681" max="7681" width="25.6640625" style="6" bestFit="1" customWidth="1"/>
    <col min="7682" max="7682" width="11.44140625" style="6"/>
    <col min="7683" max="7683" width="2.44140625" style="6" customWidth="1"/>
    <col min="7684" max="7936" width="11.44140625" style="6"/>
    <col min="7937" max="7937" width="25.6640625" style="6" bestFit="1" customWidth="1"/>
    <col min="7938" max="7938" width="11.44140625" style="6"/>
    <col min="7939" max="7939" width="2.44140625" style="6" customWidth="1"/>
    <col min="7940" max="8192" width="11.44140625" style="6"/>
    <col min="8193" max="8193" width="25.6640625" style="6" bestFit="1" customWidth="1"/>
    <col min="8194" max="8194" width="11.44140625" style="6"/>
    <col min="8195" max="8195" width="2.44140625" style="6" customWidth="1"/>
    <col min="8196" max="8448" width="11.44140625" style="6"/>
    <col min="8449" max="8449" width="25.6640625" style="6" bestFit="1" customWidth="1"/>
    <col min="8450" max="8450" width="11.44140625" style="6"/>
    <col min="8451" max="8451" width="2.44140625" style="6" customWidth="1"/>
    <col min="8452" max="8704" width="11.44140625" style="6"/>
    <col min="8705" max="8705" width="25.6640625" style="6" bestFit="1" customWidth="1"/>
    <col min="8706" max="8706" width="11.44140625" style="6"/>
    <col min="8707" max="8707" width="2.44140625" style="6" customWidth="1"/>
    <col min="8708" max="8960" width="11.44140625" style="6"/>
    <col min="8961" max="8961" width="25.6640625" style="6" bestFit="1" customWidth="1"/>
    <col min="8962" max="8962" width="11.44140625" style="6"/>
    <col min="8963" max="8963" width="2.44140625" style="6" customWidth="1"/>
    <col min="8964" max="9216" width="11.44140625" style="6"/>
    <col min="9217" max="9217" width="25.6640625" style="6" bestFit="1" customWidth="1"/>
    <col min="9218" max="9218" width="11.44140625" style="6"/>
    <col min="9219" max="9219" width="2.44140625" style="6" customWidth="1"/>
    <col min="9220" max="9472" width="11.44140625" style="6"/>
    <col min="9473" max="9473" width="25.6640625" style="6" bestFit="1" customWidth="1"/>
    <col min="9474" max="9474" width="11.44140625" style="6"/>
    <col min="9475" max="9475" width="2.44140625" style="6" customWidth="1"/>
    <col min="9476" max="9728" width="11.44140625" style="6"/>
    <col min="9729" max="9729" width="25.6640625" style="6" bestFit="1" customWidth="1"/>
    <col min="9730" max="9730" width="11.44140625" style="6"/>
    <col min="9731" max="9731" width="2.44140625" style="6" customWidth="1"/>
    <col min="9732" max="9984" width="11.44140625" style="6"/>
    <col min="9985" max="9985" width="25.6640625" style="6" bestFit="1" customWidth="1"/>
    <col min="9986" max="9986" width="11.44140625" style="6"/>
    <col min="9987" max="9987" width="2.44140625" style="6" customWidth="1"/>
    <col min="9988" max="10240" width="11.44140625" style="6"/>
    <col min="10241" max="10241" width="25.6640625" style="6" bestFit="1" customWidth="1"/>
    <col min="10242" max="10242" width="11.44140625" style="6"/>
    <col min="10243" max="10243" width="2.44140625" style="6" customWidth="1"/>
    <col min="10244" max="10496" width="11.44140625" style="6"/>
    <col min="10497" max="10497" width="25.6640625" style="6" bestFit="1" customWidth="1"/>
    <col min="10498" max="10498" width="11.44140625" style="6"/>
    <col min="10499" max="10499" width="2.44140625" style="6" customWidth="1"/>
    <col min="10500" max="10752" width="11.44140625" style="6"/>
    <col min="10753" max="10753" width="25.6640625" style="6" bestFit="1" customWidth="1"/>
    <col min="10754" max="10754" width="11.44140625" style="6"/>
    <col min="10755" max="10755" width="2.44140625" style="6" customWidth="1"/>
    <col min="10756" max="11008" width="11.44140625" style="6"/>
    <col min="11009" max="11009" width="25.6640625" style="6" bestFit="1" customWidth="1"/>
    <col min="11010" max="11010" width="11.44140625" style="6"/>
    <col min="11011" max="11011" width="2.44140625" style="6" customWidth="1"/>
    <col min="11012" max="11264" width="11.44140625" style="6"/>
    <col min="11265" max="11265" width="25.6640625" style="6" bestFit="1" customWidth="1"/>
    <col min="11266" max="11266" width="11.44140625" style="6"/>
    <col min="11267" max="11267" width="2.44140625" style="6" customWidth="1"/>
    <col min="11268" max="11520" width="11.44140625" style="6"/>
    <col min="11521" max="11521" width="25.6640625" style="6" bestFit="1" customWidth="1"/>
    <col min="11522" max="11522" width="11.44140625" style="6"/>
    <col min="11523" max="11523" width="2.44140625" style="6" customWidth="1"/>
    <col min="11524" max="11776" width="11.44140625" style="6"/>
    <col min="11777" max="11777" width="25.6640625" style="6" bestFit="1" customWidth="1"/>
    <col min="11778" max="11778" width="11.44140625" style="6"/>
    <col min="11779" max="11779" width="2.44140625" style="6" customWidth="1"/>
    <col min="11780" max="12032" width="11.44140625" style="6"/>
    <col min="12033" max="12033" width="25.6640625" style="6" bestFit="1" customWidth="1"/>
    <col min="12034" max="12034" width="11.44140625" style="6"/>
    <col min="12035" max="12035" width="2.44140625" style="6" customWidth="1"/>
    <col min="12036" max="12288" width="11.44140625" style="6"/>
    <col min="12289" max="12289" width="25.6640625" style="6" bestFit="1" customWidth="1"/>
    <col min="12290" max="12290" width="11.44140625" style="6"/>
    <col min="12291" max="12291" width="2.44140625" style="6" customWidth="1"/>
    <col min="12292" max="12544" width="11.44140625" style="6"/>
    <col min="12545" max="12545" width="25.6640625" style="6" bestFit="1" customWidth="1"/>
    <col min="12546" max="12546" width="11.44140625" style="6"/>
    <col min="12547" max="12547" width="2.44140625" style="6" customWidth="1"/>
    <col min="12548" max="12800" width="11.44140625" style="6"/>
    <col min="12801" max="12801" width="25.6640625" style="6" bestFit="1" customWidth="1"/>
    <col min="12802" max="12802" width="11.44140625" style="6"/>
    <col min="12803" max="12803" width="2.44140625" style="6" customWidth="1"/>
    <col min="12804" max="13056" width="11.44140625" style="6"/>
    <col min="13057" max="13057" width="25.6640625" style="6" bestFit="1" customWidth="1"/>
    <col min="13058" max="13058" width="11.44140625" style="6"/>
    <col min="13059" max="13059" width="2.44140625" style="6" customWidth="1"/>
    <col min="13060" max="13312" width="11.44140625" style="6"/>
    <col min="13313" max="13313" width="25.6640625" style="6" bestFit="1" customWidth="1"/>
    <col min="13314" max="13314" width="11.44140625" style="6"/>
    <col min="13315" max="13315" width="2.44140625" style="6" customWidth="1"/>
    <col min="13316" max="13568" width="11.44140625" style="6"/>
    <col min="13569" max="13569" width="25.6640625" style="6" bestFit="1" customWidth="1"/>
    <col min="13570" max="13570" width="11.44140625" style="6"/>
    <col min="13571" max="13571" width="2.44140625" style="6" customWidth="1"/>
    <col min="13572" max="13824" width="11.44140625" style="6"/>
    <col min="13825" max="13825" width="25.6640625" style="6" bestFit="1" customWidth="1"/>
    <col min="13826" max="13826" width="11.44140625" style="6"/>
    <col min="13827" max="13827" width="2.44140625" style="6" customWidth="1"/>
    <col min="13828" max="14080" width="11.44140625" style="6"/>
    <col min="14081" max="14081" width="25.6640625" style="6" bestFit="1" customWidth="1"/>
    <col min="14082" max="14082" width="11.44140625" style="6"/>
    <col min="14083" max="14083" width="2.44140625" style="6" customWidth="1"/>
    <col min="14084" max="14336" width="11.44140625" style="6"/>
    <col min="14337" max="14337" width="25.6640625" style="6" bestFit="1" customWidth="1"/>
    <col min="14338" max="14338" width="11.44140625" style="6"/>
    <col min="14339" max="14339" width="2.44140625" style="6" customWidth="1"/>
    <col min="14340" max="14592" width="11.44140625" style="6"/>
    <col min="14593" max="14593" width="25.6640625" style="6" bestFit="1" customWidth="1"/>
    <col min="14594" max="14594" width="11.44140625" style="6"/>
    <col min="14595" max="14595" width="2.44140625" style="6" customWidth="1"/>
    <col min="14596" max="14848" width="11.44140625" style="6"/>
    <col min="14849" max="14849" width="25.6640625" style="6" bestFit="1" customWidth="1"/>
    <col min="14850" max="14850" width="11.44140625" style="6"/>
    <col min="14851" max="14851" width="2.44140625" style="6" customWidth="1"/>
    <col min="14852" max="15104" width="11.44140625" style="6"/>
    <col min="15105" max="15105" width="25.6640625" style="6" bestFit="1" customWidth="1"/>
    <col min="15106" max="15106" width="11.44140625" style="6"/>
    <col min="15107" max="15107" width="2.44140625" style="6" customWidth="1"/>
    <col min="15108" max="15360" width="11.44140625" style="6"/>
    <col min="15361" max="15361" width="25.6640625" style="6" bestFit="1" customWidth="1"/>
    <col min="15362" max="15362" width="11.44140625" style="6"/>
    <col min="15363" max="15363" width="2.44140625" style="6" customWidth="1"/>
    <col min="15364" max="15616" width="11.44140625" style="6"/>
    <col min="15617" max="15617" width="25.6640625" style="6" bestFit="1" customWidth="1"/>
    <col min="15618" max="15618" width="11.44140625" style="6"/>
    <col min="15619" max="15619" width="2.44140625" style="6" customWidth="1"/>
    <col min="15620" max="15872" width="11.44140625" style="6"/>
    <col min="15873" max="15873" width="25.6640625" style="6" bestFit="1" customWidth="1"/>
    <col min="15874" max="15874" width="11.44140625" style="6"/>
    <col min="15875" max="15875" width="2.44140625" style="6" customWidth="1"/>
    <col min="15876" max="16128" width="11.44140625" style="6"/>
    <col min="16129" max="16129" width="25.6640625" style="6" bestFit="1" customWidth="1"/>
    <col min="16130" max="16130" width="11.44140625" style="6"/>
    <col min="16131" max="16131" width="2.44140625" style="6" customWidth="1"/>
    <col min="16132" max="16384" width="11.44140625" style="6"/>
  </cols>
  <sheetData>
    <row r="1" spans="1:8" ht="21" customHeight="1" x14ac:dyDescent="0.25">
      <c r="A1" s="1" t="s">
        <v>233</v>
      </c>
      <c r="B1" s="1" t="s">
        <v>234</v>
      </c>
      <c r="C1" s="1"/>
      <c r="D1" s="2" t="s">
        <v>235</v>
      </c>
      <c r="E1" s="2" t="s">
        <v>236</v>
      </c>
      <c r="F1" s="6" t="s">
        <v>21</v>
      </c>
      <c r="G1" s="6" t="s">
        <v>22</v>
      </c>
      <c r="H1" s="6" t="s">
        <v>23</v>
      </c>
    </row>
    <row r="2" spans="1:8" ht="21" customHeight="1" x14ac:dyDescent="0.25">
      <c r="A2" s="7" t="s">
        <v>1481</v>
      </c>
      <c r="B2" s="6">
        <v>94</v>
      </c>
      <c r="D2" s="8" t="s">
        <v>237</v>
      </c>
      <c r="F2" s="6">
        <v>0.25</v>
      </c>
    </row>
    <row r="3" spans="1:8" ht="21" customHeight="1" x14ac:dyDescent="0.25">
      <c r="A3" s="7" t="s">
        <v>238</v>
      </c>
      <c r="B3" s="6">
        <v>91</v>
      </c>
      <c r="D3" s="8" t="s">
        <v>237</v>
      </c>
      <c r="F3" s="6">
        <v>0.5</v>
      </c>
    </row>
    <row r="4" spans="1:8" ht="21" customHeight="1" x14ac:dyDescent="0.25">
      <c r="A4" s="7" t="s">
        <v>239</v>
      </c>
      <c r="B4" s="6">
        <v>92</v>
      </c>
      <c r="D4" s="8" t="s">
        <v>237</v>
      </c>
      <c r="F4" s="6">
        <v>0.5</v>
      </c>
    </row>
    <row r="5" spans="1:8" ht="21" customHeight="1" x14ac:dyDescent="0.25">
      <c r="A5" s="7" t="s">
        <v>240</v>
      </c>
      <c r="B5" s="6">
        <v>93</v>
      </c>
      <c r="D5" s="8" t="s">
        <v>237</v>
      </c>
    </row>
    <row r="6" spans="1:8" ht="21" customHeight="1" x14ac:dyDescent="0.25">
      <c r="A6" s="7" t="s">
        <v>241</v>
      </c>
      <c r="B6" s="6">
        <v>25</v>
      </c>
      <c r="D6" s="8" t="s">
        <v>242</v>
      </c>
      <c r="E6" s="8" t="s">
        <v>242</v>
      </c>
      <c r="F6" s="6">
        <v>-90</v>
      </c>
      <c r="G6" s="6">
        <v>90</v>
      </c>
    </row>
    <row r="7" spans="1:8" ht="21" customHeight="1" x14ac:dyDescent="0.25">
      <c r="A7" s="7" t="s">
        <v>243</v>
      </c>
      <c r="B7" s="6">
        <v>20</v>
      </c>
      <c r="D7" s="8" t="s">
        <v>242</v>
      </c>
      <c r="E7" s="8" t="s">
        <v>237</v>
      </c>
      <c r="F7" s="6">
        <v>90</v>
      </c>
      <c r="G7" s="6">
        <v>0</v>
      </c>
      <c r="H7" s="6">
        <v>45</v>
      </c>
    </row>
    <row r="8" spans="1:8" ht="21" customHeight="1" x14ac:dyDescent="0.25">
      <c r="A8" s="7" t="s">
        <v>244</v>
      </c>
      <c r="B8" s="6">
        <v>13</v>
      </c>
      <c r="D8" s="8" t="s">
        <v>237</v>
      </c>
    </row>
    <row r="9" spans="1:8" ht="21" customHeight="1" x14ac:dyDescent="0.25">
      <c r="A9" s="7" t="s">
        <v>245</v>
      </c>
      <c r="B9" s="6">
        <v>52</v>
      </c>
      <c r="D9" s="8" t="s">
        <v>246</v>
      </c>
    </row>
    <row r="10" spans="1:8" ht="21" customHeight="1" x14ac:dyDescent="0.25">
      <c r="A10" s="7" t="s">
        <v>247</v>
      </c>
      <c r="B10" s="6">
        <v>11</v>
      </c>
      <c r="D10" s="8" t="s">
        <v>237</v>
      </c>
      <c r="F10" s="6">
        <v>1</v>
      </c>
    </row>
    <row r="11" spans="1:8" ht="21" customHeight="1" x14ac:dyDescent="0.25">
      <c r="A11" s="7" t="s">
        <v>248</v>
      </c>
      <c r="B11" s="6">
        <v>14</v>
      </c>
      <c r="D11" s="8" t="s">
        <v>246</v>
      </c>
    </row>
    <row r="12" spans="1:8" ht="21" customHeight="1" x14ac:dyDescent="0.25">
      <c r="A12" s="7" t="s">
        <v>249</v>
      </c>
      <c r="B12" s="6">
        <v>4</v>
      </c>
    </row>
    <row r="13" spans="1:8" ht="21" customHeight="1" x14ac:dyDescent="0.25">
      <c r="A13" s="7" t="s">
        <v>250</v>
      </c>
      <c r="B13" s="6">
        <v>104</v>
      </c>
      <c r="D13" s="8" t="s">
        <v>251</v>
      </c>
      <c r="E13" s="8" t="s">
        <v>252</v>
      </c>
      <c r="F13" s="6">
        <v>0.2</v>
      </c>
      <c r="G13" s="6">
        <v>0.3</v>
      </c>
    </row>
    <row r="14" spans="1:8" ht="21" customHeight="1" x14ac:dyDescent="0.25">
      <c r="A14" s="7" t="s">
        <v>253</v>
      </c>
      <c r="B14" s="6">
        <v>36</v>
      </c>
      <c r="D14" s="8" t="s">
        <v>246</v>
      </c>
      <c r="E14" s="8" t="s">
        <v>237</v>
      </c>
      <c r="F14" s="6">
        <v>0.5</v>
      </c>
      <c r="G14" s="6">
        <v>0.3</v>
      </c>
      <c r="H14" s="6">
        <v>45</v>
      </c>
    </row>
    <row r="15" spans="1:8" ht="21" customHeight="1" x14ac:dyDescent="0.25">
      <c r="A15" s="7" t="s">
        <v>254</v>
      </c>
      <c r="B15" s="6">
        <v>89</v>
      </c>
    </row>
    <row r="16" spans="1:8" ht="21" customHeight="1" x14ac:dyDescent="0.25">
      <c r="A16" s="7" t="s">
        <v>255</v>
      </c>
      <c r="B16" s="6">
        <v>90</v>
      </c>
    </row>
    <row r="17" spans="1:8" ht="21" customHeight="1" x14ac:dyDescent="0.25">
      <c r="A17" s="7" t="s">
        <v>256</v>
      </c>
      <c r="B17" s="6">
        <v>10</v>
      </c>
      <c r="D17" s="8" t="s">
        <v>237</v>
      </c>
      <c r="F17" s="6">
        <v>0.25</v>
      </c>
      <c r="H17" s="6">
        <v>30</v>
      </c>
    </row>
    <row r="18" spans="1:8" ht="21" customHeight="1" x14ac:dyDescent="0.25">
      <c r="A18" s="7" t="s">
        <v>257</v>
      </c>
      <c r="B18" s="6">
        <v>7</v>
      </c>
      <c r="D18" s="8" t="s">
        <v>246</v>
      </c>
    </row>
    <row r="19" spans="1:8" ht="21" customHeight="1" x14ac:dyDescent="0.25">
      <c r="A19" s="7" t="s">
        <v>1489</v>
      </c>
      <c r="B19" s="6">
        <v>7</v>
      </c>
      <c r="D19" s="8" t="s">
        <v>246</v>
      </c>
    </row>
    <row r="20" spans="1:8" ht="21" customHeight="1" x14ac:dyDescent="0.25">
      <c r="A20" s="7" t="s">
        <v>258</v>
      </c>
      <c r="B20" s="6">
        <v>34</v>
      </c>
      <c r="D20" s="8" t="s">
        <v>246</v>
      </c>
      <c r="E20" s="8" t="s">
        <v>237</v>
      </c>
    </row>
    <row r="21" spans="1:8" ht="21" customHeight="1" x14ac:dyDescent="0.25">
      <c r="A21" s="7" t="s">
        <v>259</v>
      </c>
      <c r="B21" s="6">
        <v>37</v>
      </c>
      <c r="D21" s="8" t="s">
        <v>237</v>
      </c>
      <c r="E21" s="8" t="s">
        <v>237</v>
      </c>
      <c r="F21" s="6">
        <v>0.1</v>
      </c>
      <c r="G21" s="6">
        <v>0.2</v>
      </c>
    </row>
    <row r="22" spans="1:8" ht="21" customHeight="1" x14ac:dyDescent="0.25">
      <c r="A22" s="7" t="s">
        <v>260</v>
      </c>
      <c r="B22" s="6">
        <v>24</v>
      </c>
      <c r="D22" s="8" t="s">
        <v>261</v>
      </c>
    </row>
    <row r="23" spans="1:8" ht="21" customHeight="1" x14ac:dyDescent="0.25">
      <c r="A23" s="7" t="s">
        <v>262</v>
      </c>
      <c r="B23" s="6">
        <v>6</v>
      </c>
      <c r="D23" s="8" t="s">
        <v>237</v>
      </c>
    </row>
    <row r="24" spans="1:8" ht="21" customHeight="1" x14ac:dyDescent="0.25">
      <c r="A24" s="7" t="s">
        <v>1490</v>
      </c>
      <c r="B24" s="6">
        <v>9</v>
      </c>
    </row>
    <row r="25" spans="1:8" ht="21" customHeight="1" x14ac:dyDescent="0.25">
      <c r="A25" s="7" t="s">
        <v>263</v>
      </c>
      <c r="B25" s="6">
        <v>9</v>
      </c>
    </row>
    <row r="26" spans="1:8" ht="21" customHeight="1" x14ac:dyDescent="0.25">
      <c r="A26" s="7" t="s">
        <v>264</v>
      </c>
      <c r="B26" s="6">
        <v>2</v>
      </c>
      <c r="D26" s="8" t="s">
        <v>246</v>
      </c>
    </row>
    <row r="27" spans="1:8" ht="21" customHeight="1" x14ac:dyDescent="0.25">
      <c r="A27" s="7" t="s">
        <v>265</v>
      </c>
      <c r="B27" s="6">
        <v>51</v>
      </c>
      <c r="D27" s="8" t="s">
        <v>246</v>
      </c>
    </row>
    <row r="28" spans="1:8" ht="21" customHeight="1" x14ac:dyDescent="0.25">
      <c r="A28" s="7" t="s">
        <v>266</v>
      </c>
      <c r="B28" s="6">
        <v>1</v>
      </c>
    </row>
    <row r="29" spans="1:8" ht="21" customHeight="1" x14ac:dyDescent="0.25">
      <c r="A29" s="7" t="s">
        <v>278</v>
      </c>
      <c r="B29" s="6">
        <v>1</v>
      </c>
    </row>
    <row r="30" spans="1:8" ht="21" customHeight="1" x14ac:dyDescent="0.25">
      <c r="A30" s="7" t="s">
        <v>267</v>
      </c>
      <c r="B30" s="6">
        <v>12</v>
      </c>
    </row>
    <row r="31" spans="1:8" ht="21" customHeight="1" x14ac:dyDescent="0.25">
      <c r="A31" s="7" t="s">
        <v>268</v>
      </c>
      <c r="B31" s="6">
        <v>33</v>
      </c>
      <c r="D31" s="8" t="s">
        <v>246</v>
      </c>
      <c r="E31" s="8" t="s">
        <v>237</v>
      </c>
      <c r="F31" s="6">
        <v>0.5</v>
      </c>
      <c r="G31" s="6">
        <v>0.8</v>
      </c>
    </row>
    <row r="32" spans="1:8" ht="21" customHeight="1" x14ac:dyDescent="0.25">
      <c r="A32" s="7" t="s">
        <v>269</v>
      </c>
      <c r="B32" s="6">
        <v>8</v>
      </c>
    </row>
    <row r="33" spans="1:6" ht="21" customHeight="1" x14ac:dyDescent="0.25">
      <c r="A33" s="7" t="s">
        <v>270</v>
      </c>
      <c r="B33" s="6">
        <v>5</v>
      </c>
      <c r="D33" s="8" t="s">
        <v>237</v>
      </c>
    </row>
    <row r="34" spans="1:6" ht="21" customHeight="1" x14ac:dyDescent="0.25">
      <c r="A34" s="7" t="s">
        <v>271</v>
      </c>
      <c r="B34" s="6">
        <v>23</v>
      </c>
      <c r="D34" s="8" t="s">
        <v>272</v>
      </c>
      <c r="F34" s="6">
        <v>0.1</v>
      </c>
    </row>
    <row r="35" spans="1:6" ht="21" customHeight="1" x14ac:dyDescent="0.25">
      <c r="A35" s="7" t="s">
        <v>273</v>
      </c>
      <c r="B35" s="6">
        <v>3</v>
      </c>
      <c r="D35" s="8" t="s">
        <v>237</v>
      </c>
    </row>
    <row r="36" spans="1:6" ht="21" customHeight="1" x14ac:dyDescent="0.25">
      <c r="A36" s="7" t="s">
        <v>274</v>
      </c>
      <c r="B36" s="6">
        <v>35</v>
      </c>
      <c r="D36" s="8" t="s">
        <v>246</v>
      </c>
      <c r="E36" s="8" t="s">
        <v>237</v>
      </c>
    </row>
    <row r="37" spans="1:6" ht="21" customHeight="1" x14ac:dyDescent="0.25">
      <c r="A37" s="7" t="s">
        <v>275</v>
      </c>
      <c r="B37" s="6">
        <v>38</v>
      </c>
      <c r="D37" s="8" t="s">
        <v>237</v>
      </c>
      <c r="E37" s="8" t="s">
        <v>237</v>
      </c>
    </row>
    <row r="38" spans="1:6" ht="21" customHeight="1" x14ac:dyDescent="0.25">
      <c r="A38" s="7" t="s">
        <v>276</v>
      </c>
      <c r="B38" s="6">
        <v>103</v>
      </c>
      <c r="D38" s="8" t="s">
        <v>277</v>
      </c>
      <c r="E38" s="8" t="s">
        <v>252</v>
      </c>
    </row>
    <row r="39" spans="1:6" ht="21" customHeight="1" x14ac:dyDescent="0.25">
      <c r="B39" s="6">
        <v>1</v>
      </c>
    </row>
    <row r="40" spans="1:6" ht="21" customHeight="1" x14ac:dyDescent="0.25">
      <c r="B40" s="6">
        <v>2</v>
      </c>
    </row>
    <row r="41" spans="1:6" ht="21" customHeight="1" x14ac:dyDescent="0.25">
      <c r="B41" s="6">
        <v>3</v>
      </c>
    </row>
    <row r="42" spans="1:6" ht="21" customHeight="1" x14ac:dyDescent="0.25">
      <c r="B42" s="6">
        <v>4</v>
      </c>
    </row>
    <row r="43" spans="1:6" ht="21" customHeight="1" x14ac:dyDescent="0.25">
      <c r="B43" s="6">
        <v>5</v>
      </c>
    </row>
    <row r="44" spans="1:6" ht="21" customHeight="1" x14ac:dyDescent="0.25">
      <c r="B44" s="6">
        <v>6</v>
      </c>
    </row>
    <row r="45" spans="1:6" ht="21" customHeight="1" x14ac:dyDescent="0.25">
      <c r="B45" s="6">
        <v>7</v>
      </c>
    </row>
    <row r="46" spans="1:6" ht="21" customHeight="1" x14ac:dyDescent="0.25">
      <c r="B46" s="6">
        <v>8</v>
      </c>
    </row>
    <row r="47" spans="1:6" ht="21" customHeight="1" x14ac:dyDescent="0.25">
      <c r="B47" s="6">
        <v>9</v>
      </c>
    </row>
    <row r="48" spans="1:6" ht="21" customHeight="1" x14ac:dyDescent="0.25">
      <c r="B48" s="6">
        <v>10</v>
      </c>
    </row>
    <row r="49" spans="2:2" ht="21" customHeight="1" x14ac:dyDescent="0.25">
      <c r="B49" s="6">
        <v>11</v>
      </c>
    </row>
    <row r="50" spans="2:2" ht="21" customHeight="1" x14ac:dyDescent="0.25">
      <c r="B50" s="6">
        <v>12</v>
      </c>
    </row>
    <row r="51" spans="2:2" ht="21" customHeight="1" x14ac:dyDescent="0.25">
      <c r="B51" s="6">
        <v>13</v>
      </c>
    </row>
    <row r="52" spans="2:2" ht="21" customHeight="1" x14ac:dyDescent="0.25">
      <c r="B52" s="6">
        <v>14</v>
      </c>
    </row>
    <row r="53" spans="2:2" ht="21" customHeight="1" x14ac:dyDescent="0.25">
      <c r="B53" s="6">
        <v>15</v>
      </c>
    </row>
    <row r="54" spans="2:2" ht="21" customHeight="1" x14ac:dyDescent="0.25">
      <c r="B54" s="6">
        <v>16</v>
      </c>
    </row>
    <row r="55" spans="2:2" ht="21" customHeight="1" x14ac:dyDescent="0.25">
      <c r="B55" s="6">
        <v>17</v>
      </c>
    </row>
    <row r="56" spans="2:2" ht="21" customHeight="1" x14ac:dyDescent="0.25">
      <c r="B56" s="6">
        <v>18</v>
      </c>
    </row>
    <row r="57" spans="2:2" ht="21" customHeight="1" x14ac:dyDescent="0.25">
      <c r="B57" s="6">
        <v>19</v>
      </c>
    </row>
    <row r="58" spans="2:2" ht="21" customHeight="1" x14ac:dyDescent="0.25">
      <c r="B58" s="6">
        <v>20</v>
      </c>
    </row>
    <row r="59" spans="2:2" ht="21" customHeight="1" x14ac:dyDescent="0.25">
      <c r="B59" s="6">
        <v>21</v>
      </c>
    </row>
    <row r="60" spans="2:2" ht="21" customHeight="1" x14ac:dyDescent="0.25">
      <c r="B60" s="6">
        <v>22</v>
      </c>
    </row>
    <row r="61" spans="2:2" ht="21" customHeight="1" x14ac:dyDescent="0.25">
      <c r="B61" s="6">
        <v>23</v>
      </c>
    </row>
    <row r="62" spans="2:2" ht="21" customHeight="1" x14ac:dyDescent="0.25">
      <c r="B62" s="6">
        <v>24</v>
      </c>
    </row>
    <row r="63" spans="2:2" ht="21" customHeight="1" x14ac:dyDescent="0.25">
      <c r="B63" s="6">
        <v>25</v>
      </c>
    </row>
    <row r="64" spans="2:2" ht="21" customHeight="1" x14ac:dyDescent="0.25">
      <c r="B64" s="6">
        <v>26</v>
      </c>
    </row>
    <row r="65" spans="2:2" ht="21" customHeight="1" x14ac:dyDescent="0.25">
      <c r="B65" s="6">
        <v>27</v>
      </c>
    </row>
    <row r="66" spans="2:2" ht="21" customHeight="1" x14ac:dyDescent="0.25">
      <c r="B66" s="6">
        <v>28</v>
      </c>
    </row>
    <row r="67" spans="2:2" ht="21" customHeight="1" x14ac:dyDescent="0.25">
      <c r="B67" s="6">
        <v>29</v>
      </c>
    </row>
    <row r="68" spans="2:2" ht="21" customHeight="1" x14ac:dyDescent="0.25">
      <c r="B68" s="6">
        <v>30</v>
      </c>
    </row>
    <row r="69" spans="2:2" ht="21" customHeight="1" x14ac:dyDescent="0.25">
      <c r="B69" s="6">
        <v>31</v>
      </c>
    </row>
    <row r="70" spans="2:2" ht="21" customHeight="1" x14ac:dyDescent="0.25">
      <c r="B70" s="6">
        <v>32</v>
      </c>
    </row>
    <row r="71" spans="2:2" ht="21" customHeight="1" x14ac:dyDescent="0.25">
      <c r="B71" s="6">
        <v>33</v>
      </c>
    </row>
    <row r="72" spans="2:2" ht="21" customHeight="1" x14ac:dyDescent="0.25">
      <c r="B72" s="6">
        <v>34</v>
      </c>
    </row>
    <row r="73" spans="2:2" ht="21" customHeight="1" x14ac:dyDescent="0.25">
      <c r="B73" s="6">
        <v>35</v>
      </c>
    </row>
    <row r="74" spans="2:2" ht="21" customHeight="1" x14ac:dyDescent="0.25">
      <c r="B74" s="6">
        <v>36</v>
      </c>
    </row>
    <row r="75" spans="2:2" ht="21" customHeight="1" x14ac:dyDescent="0.25">
      <c r="B75" s="6">
        <v>37</v>
      </c>
    </row>
    <row r="76" spans="2:2" ht="21" customHeight="1" x14ac:dyDescent="0.25">
      <c r="B76" s="6">
        <v>38</v>
      </c>
    </row>
    <row r="77" spans="2:2" ht="21" customHeight="1" x14ac:dyDescent="0.25">
      <c r="B77" s="6">
        <v>39</v>
      </c>
    </row>
    <row r="78" spans="2:2" ht="21" customHeight="1" x14ac:dyDescent="0.25">
      <c r="B78" s="6">
        <v>40</v>
      </c>
    </row>
    <row r="79" spans="2:2" ht="21" customHeight="1" x14ac:dyDescent="0.25">
      <c r="B79" s="6">
        <v>41</v>
      </c>
    </row>
    <row r="80" spans="2:2" ht="21" customHeight="1" x14ac:dyDescent="0.25">
      <c r="B80" s="6">
        <v>42</v>
      </c>
    </row>
    <row r="81" spans="2:2" ht="21" customHeight="1" x14ac:dyDescent="0.25">
      <c r="B81" s="6">
        <v>43</v>
      </c>
    </row>
    <row r="82" spans="2:2" ht="21" customHeight="1" x14ac:dyDescent="0.25">
      <c r="B82" s="6">
        <v>44</v>
      </c>
    </row>
    <row r="83" spans="2:2" ht="21" customHeight="1" x14ac:dyDescent="0.25">
      <c r="B83" s="6">
        <v>45</v>
      </c>
    </row>
    <row r="84" spans="2:2" ht="21" customHeight="1" x14ac:dyDescent="0.25">
      <c r="B84" s="6">
        <v>46</v>
      </c>
    </row>
    <row r="85" spans="2:2" ht="21" customHeight="1" x14ac:dyDescent="0.25">
      <c r="B85" s="6">
        <v>47</v>
      </c>
    </row>
    <row r="86" spans="2:2" ht="21" customHeight="1" x14ac:dyDescent="0.25">
      <c r="B86" s="6">
        <v>48</v>
      </c>
    </row>
    <row r="87" spans="2:2" ht="21" customHeight="1" x14ac:dyDescent="0.25">
      <c r="B87" s="6">
        <v>49</v>
      </c>
    </row>
    <row r="88" spans="2:2" ht="21" customHeight="1" x14ac:dyDescent="0.25">
      <c r="B88" s="6">
        <v>50</v>
      </c>
    </row>
    <row r="89" spans="2:2" ht="21" customHeight="1" x14ac:dyDescent="0.25">
      <c r="B89" s="6">
        <v>51</v>
      </c>
    </row>
    <row r="90" spans="2:2" ht="21" customHeight="1" x14ac:dyDescent="0.25">
      <c r="B90" s="6">
        <v>52</v>
      </c>
    </row>
    <row r="91" spans="2:2" ht="21" customHeight="1" x14ac:dyDescent="0.25">
      <c r="B91" s="6">
        <v>53</v>
      </c>
    </row>
    <row r="92" spans="2:2" ht="21" customHeight="1" x14ac:dyDescent="0.25">
      <c r="B92" s="6">
        <v>54</v>
      </c>
    </row>
    <row r="93" spans="2:2" ht="21" customHeight="1" x14ac:dyDescent="0.25">
      <c r="B93" s="6">
        <v>55</v>
      </c>
    </row>
    <row r="94" spans="2:2" ht="21" customHeight="1" x14ac:dyDescent="0.25">
      <c r="B94" s="6">
        <v>56</v>
      </c>
    </row>
    <row r="95" spans="2:2" ht="21" customHeight="1" x14ac:dyDescent="0.25">
      <c r="B95" s="6">
        <v>57</v>
      </c>
    </row>
    <row r="96" spans="2:2" ht="21" customHeight="1" x14ac:dyDescent="0.25">
      <c r="B96" s="6">
        <v>58</v>
      </c>
    </row>
    <row r="97" spans="2:2" ht="21" customHeight="1" x14ac:dyDescent="0.25">
      <c r="B97" s="6">
        <v>59</v>
      </c>
    </row>
    <row r="98" spans="2:2" ht="21" customHeight="1" x14ac:dyDescent="0.25">
      <c r="B98" s="6">
        <v>60</v>
      </c>
    </row>
    <row r="99" spans="2:2" ht="21" customHeight="1" x14ac:dyDescent="0.25">
      <c r="B99" s="6">
        <v>61</v>
      </c>
    </row>
    <row r="100" spans="2:2" ht="21" customHeight="1" x14ac:dyDescent="0.25">
      <c r="B100" s="6">
        <v>62</v>
      </c>
    </row>
    <row r="101" spans="2:2" ht="21" customHeight="1" x14ac:dyDescent="0.25">
      <c r="B101" s="6">
        <v>63</v>
      </c>
    </row>
    <row r="102" spans="2:2" ht="21" customHeight="1" x14ac:dyDescent="0.25">
      <c r="B102" s="6">
        <v>64</v>
      </c>
    </row>
    <row r="103" spans="2:2" ht="21" customHeight="1" x14ac:dyDescent="0.25">
      <c r="B103" s="6">
        <v>65</v>
      </c>
    </row>
    <row r="104" spans="2:2" ht="21" customHeight="1" x14ac:dyDescent="0.25">
      <c r="B104" s="6">
        <v>66</v>
      </c>
    </row>
    <row r="105" spans="2:2" ht="21" customHeight="1" x14ac:dyDescent="0.25">
      <c r="B105" s="6">
        <v>67</v>
      </c>
    </row>
    <row r="106" spans="2:2" ht="21" customHeight="1" x14ac:dyDescent="0.25">
      <c r="B106" s="6">
        <v>68</v>
      </c>
    </row>
    <row r="107" spans="2:2" ht="21" customHeight="1" x14ac:dyDescent="0.25">
      <c r="B107" s="6">
        <v>69</v>
      </c>
    </row>
    <row r="108" spans="2:2" ht="21" customHeight="1" x14ac:dyDescent="0.25">
      <c r="B108" s="6">
        <v>70</v>
      </c>
    </row>
    <row r="109" spans="2:2" ht="21" customHeight="1" x14ac:dyDescent="0.25">
      <c r="B109" s="6">
        <v>71</v>
      </c>
    </row>
    <row r="110" spans="2:2" ht="21" customHeight="1" x14ac:dyDescent="0.25">
      <c r="B110" s="6">
        <v>72</v>
      </c>
    </row>
    <row r="111" spans="2:2" ht="21" customHeight="1" x14ac:dyDescent="0.25">
      <c r="B111" s="6">
        <v>73</v>
      </c>
    </row>
    <row r="112" spans="2:2" ht="21" customHeight="1" x14ac:dyDescent="0.25">
      <c r="B112" s="6">
        <v>74</v>
      </c>
    </row>
    <row r="113" spans="2:2" ht="21" customHeight="1" x14ac:dyDescent="0.25">
      <c r="B113" s="6">
        <v>75</v>
      </c>
    </row>
    <row r="114" spans="2:2" ht="21" customHeight="1" x14ac:dyDescent="0.25">
      <c r="B114" s="6">
        <v>76</v>
      </c>
    </row>
    <row r="115" spans="2:2" ht="21" customHeight="1" x14ac:dyDescent="0.25">
      <c r="B115" s="6">
        <v>77</v>
      </c>
    </row>
    <row r="116" spans="2:2" ht="21" customHeight="1" x14ac:dyDescent="0.25">
      <c r="B116" s="6">
        <v>78</v>
      </c>
    </row>
    <row r="117" spans="2:2" ht="21" customHeight="1" x14ac:dyDescent="0.25">
      <c r="B117" s="6">
        <v>79</v>
      </c>
    </row>
    <row r="118" spans="2:2" ht="21" customHeight="1" x14ac:dyDescent="0.25">
      <c r="B118" s="6">
        <v>80</v>
      </c>
    </row>
    <row r="119" spans="2:2" ht="21" customHeight="1" x14ac:dyDescent="0.25">
      <c r="B119" s="6">
        <v>81</v>
      </c>
    </row>
    <row r="120" spans="2:2" ht="21" customHeight="1" x14ac:dyDescent="0.25">
      <c r="B120" s="6">
        <v>82</v>
      </c>
    </row>
    <row r="121" spans="2:2" ht="21" customHeight="1" x14ac:dyDescent="0.25">
      <c r="B121" s="6">
        <v>83</v>
      </c>
    </row>
    <row r="122" spans="2:2" ht="21" customHeight="1" x14ac:dyDescent="0.25">
      <c r="B122" s="6">
        <v>84</v>
      </c>
    </row>
    <row r="123" spans="2:2" ht="21" customHeight="1" x14ac:dyDescent="0.25">
      <c r="B123" s="6">
        <v>85</v>
      </c>
    </row>
    <row r="124" spans="2:2" ht="21" customHeight="1" x14ac:dyDescent="0.25">
      <c r="B124" s="6">
        <v>86</v>
      </c>
    </row>
    <row r="125" spans="2:2" ht="21" customHeight="1" x14ac:dyDescent="0.25">
      <c r="B125" s="6">
        <v>87</v>
      </c>
    </row>
    <row r="126" spans="2:2" ht="21" customHeight="1" x14ac:dyDescent="0.25">
      <c r="B126" s="6">
        <v>88</v>
      </c>
    </row>
    <row r="127" spans="2:2" ht="21" customHeight="1" x14ac:dyDescent="0.25">
      <c r="B127" s="6">
        <v>89</v>
      </c>
    </row>
    <row r="128" spans="2:2" ht="21" customHeight="1" x14ac:dyDescent="0.25">
      <c r="B128" s="6">
        <v>90</v>
      </c>
    </row>
    <row r="129" spans="2:2" ht="21" customHeight="1" x14ac:dyDescent="0.25">
      <c r="B129" s="6">
        <v>91</v>
      </c>
    </row>
    <row r="130" spans="2:2" ht="21" customHeight="1" x14ac:dyDescent="0.25">
      <c r="B130" s="6">
        <v>92</v>
      </c>
    </row>
    <row r="131" spans="2:2" ht="21" customHeight="1" x14ac:dyDescent="0.25">
      <c r="B131" s="6">
        <v>93</v>
      </c>
    </row>
    <row r="132" spans="2:2" ht="21" customHeight="1" x14ac:dyDescent="0.25">
      <c r="B132" s="6">
        <v>94</v>
      </c>
    </row>
    <row r="133" spans="2:2" ht="21" customHeight="1" x14ac:dyDescent="0.25">
      <c r="B133" s="6">
        <v>95</v>
      </c>
    </row>
    <row r="134" spans="2:2" ht="21" customHeight="1" x14ac:dyDescent="0.25">
      <c r="B134" s="6">
        <v>96</v>
      </c>
    </row>
    <row r="135" spans="2:2" ht="21" customHeight="1" x14ac:dyDescent="0.25">
      <c r="B135" s="6">
        <v>97</v>
      </c>
    </row>
    <row r="136" spans="2:2" ht="21" customHeight="1" x14ac:dyDescent="0.25">
      <c r="B136" s="6">
        <v>98</v>
      </c>
    </row>
    <row r="137" spans="2:2" ht="21" customHeight="1" x14ac:dyDescent="0.25">
      <c r="B137" s="6">
        <v>99</v>
      </c>
    </row>
    <row r="138" spans="2:2" ht="21" customHeight="1" x14ac:dyDescent="0.25">
      <c r="B138" s="6">
        <v>100</v>
      </c>
    </row>
    <row r="139" spans="2:2" ht="21" customHeight="1" x14ac:dyDescent="0.25">
      <c r="B139" s="6">
        <v>101</v>
      </c>
    </row>
    <row r="140" spans="2:2" ht="21" customHeight="1" x14ac:dyDescent="0.25">
      <c r="B140" s="6">
        <v>102</v>
      </c>
    </row>
    <row r="141" spans="2:2" ht="21" customHeight="1" x14ac:dyDescent="0.25">
      <c r="B141" s="6">
        <v>103</v>
      </c>
    </row>
    <row r="142" spans="2:2" ht="21" customHeight="1" x14ac:dyDescent="0.25">
      <c r="B142" s="6">
        <v>104</v>
      </c>
    </row>
    <row r="143" spans="2:2" ht="21" customHeight="1" x14ac:dyDescent="0.25">
      <c r="B143" s="6">
        <v>105</v>
      </c>
    </row>
    <row r="144" spans="2:2" ht="21" customHeight="1" x14ac:dyDescent="0.25">
      <c r="B144" s="6">
        <v>106</v>
      </c>
    </row>
    <row r="145" spans="2:2" ht="21" customHeight="1" x14ac:dyDescent="0.25">
      <c r="B145" s="6">
        <v>107</v>
      </c>
    </row>
    <row r="146" spans="2:2" ht="21" customHeight="1" x14ac:dyDescent="0.25">
      <c r="B146" s="6">
        <v>108</v>
      </c>
    </row>
    <row r="147" spans="2:2" ht="21" customHeight="1" x14ac:dyDescent="0.25">
      <c r="B147" s="6">
        <v>109</v>
      </c>
    </row>
    <row r="148" spans="2:2" ht="21" customHeight="1" x14ac:dyDescent="0.25">
      <c r="B148" s="6">
        <v>110</v>
      </c>
    </row>
    <row r="149" spans="2:2" ht="21" customHeight="1" x14ac:dyDescent="0.25">
      <c r="B149" s="6">
        <v>111</v>
      </c>
    </row>
    <row r="150" spans="2:2" ht="21" customHeight="1" x14ac:dyDescent="0.25">
      <c r="B150" s="6">
        <v>112</v>
      </c>
    </row>
    <row r="151" spans="2:2" ht="21" customHeight="1" x14ac:dyDescent="0.25">
      <c r="B151" s="6">
        <v>113</v>
      </c>
    </row>
    <row r="152" spans="2:2" ht="21" customHeight="1" x14ac:dyDescent="0.25">
      <c r="B152" s="6">
        <v>114</v>
      </c>
    </row>
    <row r="153" spans="2:2" ht="21" customHeight="1" x14ac:dyDescent="0.25">
      <c r="B153" s="6">
        <v>115</v>
      </c>
    </row>
    <row r="154" spans="2:2" ht="21" customHeight="1" x14ac:dyDescent="0.25">
      <c r="B154" s="6">
        <v>116</v>
      </c>
    </row>
    <row r="155" spans="2:2" ht="21" customHeight="1" x14ac:dyDescent="0.25">
      <c r="B155" s="6">
        <v>117</v>
      </c>
    </row>
    <row r="156" spans="2:2" ht="21" customHeight="1" x14ac:dyDescent="0.25">
      <c r="B156" s="6">
        <v>118</v>
      </c>
    </row>
    <row r="157" spans="2:2" ht="21" customHeight="1" x14ac:dyDescent="0.25">
      <c r="B157" s="6">
        <v>119</v>
      </c>
    </row>
    <row r="158" spans="2:2" ht="21" customHeight="1" x14ac:dyDescent="0.25">
      <c r="B158" s="6">
        <v>120</v>
      </c>
    </row>
    <row r="159" spans="2:2" ht="21" customHeight="1" x14ac:dyDescent="0.25">
      <c r="B159" s="6">
        <v>121</v>
      </c>
    </row>
    <row r="160" spans="2:2" ht="21" customHeight="1" x14ac:dyDescent="0.25">
      <c r="B160" s="6">
        <v>122</v>
      </c>
    </row>
    <row r="161" spans="2:2" ht="21" customHeight="1" x14ac:dyDescent="0.25">
      <c r="B161" s="6">
        <v>123</v>
      </c>
    </row>
    <row r="162" spans="2:2" ht="21" customHeight="1" x14ac:dyDescent="0.25">
      <c r="B162" s="6">
        <v>124</v>
      </c>
    </row>
    <row r="163" spans="2:2" ht="21" customHeight="1" x14ac:dyDescent="0.25">
      <c r="B163" s="6">
        <v>125</v>
      </c>
    </row>
    <row r="164" spans="2:2" ht="21" customHeight="1" x14ac:dyDescent="0.25">
      <c r="B164" s="6">
        <v>126</v>
      </c>
    </row>
    <row r="165" spans="2:2" ht="21" customHeight="1" x14ac:dyDescent="0.25">
      <c r="B165" s="6">
        <v>127</v>
      </c>
    </row>
    <row r="166" spans="2:2" ht="21" customHeight="1" x14ac:dyDescent="0.25">
      <c r="B166" s="6">
        <v>128</v>
      </c>
    </row>
    <row r="167" spans="2:2" ht="21" customHeight="1" x14ac:dyDescent="0.25">
      <c r="B167" s="6">
        <v>129</v>
      </c>
    </row>
    <row r="168" spans="2:2" ht="21" customHeight="1" x14ac:dyDescent="0.25">
      <c r="B168" s="6">
        <v>130</v>
      </c>
    </row>
    <row r="169" spans="2:2" ht="21" customHeight="1" x14ac:dyDescent="0.25">
      <c r="B169" s="6">
        <v>131</v>
      </c>
    </row>
    <row r="170" spans="2:2" ht="21" customHeight="1" x14ac:dyDescent="0.25">
      <c r="B170" s="6">
        <v>132</v>
      </c>
    </row>
    <row r="171" spans="2:2" ht="21" customHeight="1" x14ac:dyDescent="0.25">
      <c r="B171" s="6">
        <v>133</v>
      </c>
    </row>
    <row r="172" spans="2:2" ht="21" customHeight="1" x14ac:dyDescent="0.25">
      <c r="B172" s="6">
        <v>134</v>
      </c>
    </row>
    <row r="173" spans="2:2" ht="21" customHeight="1" x14ac:dyDescent="0.25">
      <c r="B173" s="6">
        <v>135</v>
      </c>
    </row>
    <row r="174" spans="2:2" ht="21" customHeight="1" x14ac:dyDescent="0.25">
      <c r="B174" s="6">
        <v>136</v>
      </c>
    </row>
    <row r="175" spans="2:2" ht="21" customHeight="1" x14ac:dyDescent="0.25">
      <c r="B175" s="6">
        <v>137</v>
      </c>
    </row>
    <row r="176" spans="2:2" ht="21" customHeight="1" x14ac:dyDescent="0.25">
      <c r="B176" s="6">
        <v>138</v>
      </c>
    </row>
    <row r="177" spans="2:2" ht="21" customHeight="1" x14ac:dyDescent="0.25">
      <c r="B177" s="6">
        <v>139</v>
      </c>
    </row>
    <row r="178" spans="2:2" ht="21" customHeight="1" x14ac:dyDescent="0.25">
      <c r="B178" s="6">
        <v>140</v>
      </c>
    </row>
    <row r="179" spans="2:2" ht="21" customHeight="1" x14ac:dyDescent="0.25">
      <c r="B179" s="6">
        <v>141</v>
      </c>
    </row>
    <row r="180" spans="2:2" ht="21" customHeight="1" x14ac:dyDescent="0.25">
      <c r="B180" s="6">
        <v>142</v>
      </c>
    </row>
    <row r="181" spans="2:2" ht="21" customHeight="1" x14ac:dyDescent="0.25">
      <c r="B181" s="6">
        <v>143</v>
      </c>
    </row>
    <row r="182" spans="2:2" ht="21" customHeight="1" x14ac:dyDescent="0.25">
      <c r="B182" s="6">
        <v>144</v>
      </c>
    </row>
    <row r="183" spans="2:2" ht="21" customHeight="1" x14ac:dyDescent="0.25">
      <c r="B183" s="6">
        <v>145</v>
      </c>
    </row>
    <row r="184" spans="2:2" ht="21" customHeight="1" x14ac:dyDescent="0.25">
      <c r="B184" s="6">
        <v>146</v>
      </c>
    </row>
    <row r="185" spans="2:2" ht="21" customHeight="1" x14ac:dyDescent="0.25">
      <c r="B185" s="6">
        <v>147</v>
      </c>
    </row>
    <row r="186" spans="2:2" ht="21" customHeight="1" x14ac:dyDescent="0.25">
      <c r="B186" s="6">
        <v>148</v>
      </c>
    </row>
    <row r="187" spans="2:2" ht="21" customHeight="1" x14ac:dyDescent="0.25">
      <c r="B187" s="6">
        <v>149</v>
      </c>
    </row>
    <row r="188" spans="2:2" ht="21" customHeight="1" x14ac:dyDescent="0.25">
      <c r="B188" s="6">
        <v>150</v>
      </c>
    </row>
    <row r="189" spans="2:2" ht="21" customHeight="1" x14ac:dyDescent="0.25">
      <c r="B189" s="6">
        <v>151</v>
      </c>
    </row>
    <row r="190" spans="2:2" ht="21" customHeight="1" x14ac:dyDescent="0.25">
      <c r="B190" s="6">
        <v>152</v>
      </c>
    </row>
    <row r="191" spans="2:2" ht="21" customHeight="1" x14ac:dyDescent="0.25">
      <c r="B191" s="6">
        <v>153</v>
      </c>
    </row>
    <row r="192" spans="2:2" ht="21" customHeight="1" x14ac:dyDescent="0.25">
      <c r="B192" s="6">
        <v>154</v>
      </c>
    </row>
    <row r="193" spans="2:2" ht="21" customHeight="1" x14ac:dyDescent="0.25">
      <c r="B193" s="6">
        <v>155</v>
      </c>
    </row>
    <row r="194" spans="2:2" ht="21" customHeight="1" x14ac:dyDescent="0.25">
      <c r="B194" s="6">
        <v>156</v>
      </c>
    </row>
    <row r="195" spans="2:2" ht="21" customHeight="1" x14ac:dyDescent="0.25">
      <c r="B195" s="6">
        <v>157</v>
      </c>
    </row>
    <row r="196" spans="2:2" ht="21" customHeight="1" x14ac:dyDescent="0.25">
      <c r="B196" s="6">
        <v>158</v>
      </c>
    </row>
    <row r="197" spans="2:2" ht="21" customHeight="1" x14ac:dyDescent="0.25">
      <c r="B197" s="6">
        <v>159</v>
      </c>
    </row>
    <row r="198" spans="2:2" ht="21" customHeight="1" x14ac:dyDescent="0.25">
      <c r="B198" s="6">
        <v>160</v>
      </c>
    </row>
    <row r="199" spans="2:2" ht="21" customHeight="1" x14ac:dyDescent="0.25">
      <c r="B199" s="6">
        <v>161</v>
      </c>
    </row>
    <row r="200" spans="2:2" ht="21" customHeight="1" x14ac:dyDescent="0.25">
      <c r="B200" s="6">
        <v>162</v>
      </c>
    </row>
    <row r="201" spans="2:2" ht="21" customHeight="1" x14ac:dyDescent="0.25">
      <c r="B201" s="6">
        <v>163</v>
      </c>
    </row>
    <row r="202" spans="2:2" ht="21" customHeight="1" x14ac:dyDescent="0.25">
      <c r="B202" s="6">
        <v>164</v>
      </c>
    </row>
    <row r="203" spans="2:2" ht="21" customHeight="1" x14ac:dyDescent="0.25">
      <c r="B203" s="6">
        <v>165</v>
      </c>
    </row>
    <row r="204" spans="2:2" ht="21" customHeight="1" x14ac:dyDescent="0.25">
      <c r="B204" s="6">
        <v>166</v>
      </c>
    </row>
    <row r="205" spans="2:2" ht="21" customHeight="1" x14ac:dyDescent="0.25">
      <c r="B205" s="6">
        <v>167</v>
      </c>
    </row>
    <row r="206" spans="2:2" ht="21" customHeight="1" x14ac:dyDescent="0.25">
      <c r="B206" s="6">
        <v>168</v>
      </c>
    </row>
    <row r="207" spans="2:2" ht="21" customHeight="1" x14ac:dyDescent="0.25">
      <c r="B207" s="6">
        <v>169</v>
      </c>
    </row>
    <row r="208" spans="2:2" ht="21" customHeight="1" x14ac:dyDescent="0.25">
      <c r="B208" s="6">
        <v>170</v>
      </c>
    </row>
    <row r="209" spans="2:2" ht="21" customHeight="1" x14ac:dyDescent="0.25">
      <c r="B209" s="6">
        <v>171</v>
      </c>
    </row>
    <row r="210" spans="2:2" ht="21" customHeight="1" x14ac:dyDescent="0.25">
      <c r="B210" s="6">
        <v>172</v>
      </c>
    </row>
    <row r="211" spans="2:2" ht="21" customHeight="1" x14ac:dyDescent="0.25">
      <c r="B211" s="6">
        <v>173</v>
      </c>
    </row>
    <row r="212" spans="2:2" ht="21" customHeight="1" x14ac:dyDescent="0.25">
      <c r="B212" s="6">
        <v>174</v>
      </c>
    </row>
    <row r="213" spans="2:2" ht="21" customHeight="1" x14ac:dyDescent="0.25">
      <c r="B213" s="6">
        <v>175</v>
      </c>
    </row>
    <row r="214" spans="2:2" ht="21" customHeight="1" x14ac:dyDescent="0.25">
      <c r="B214" s="6">
        <v>176</v>
      </c>
    </row>
    <row r="215" spans="2:2" ht="21" customHeight="1" x14ac:dyDescent="0.25">
      <c r="B215" s="6">
        <v>177</v>
      </c>
    </row>
    <row r="216" spans="2:2" ht="21" customHeight="1" x14ac:dyDescent="0.25">
      <c r="B216" s="6">
        <v>178</v>
      </c>
    </row>
    <row r="217" spans="2:2" ht="21" customHeight="1" x14ac:dyDescent="0.25">
      <c r="B217" s="6">
        <v>179</v>
      </c>
    </row>
    <row r="218" spans="2:2" ht="21" customHeight="1" x14ac:dyDescent="0.25">
      <c r="B218" s="6">
        <v>180</v>
      </c>
    </row>
    <row r="219" spans="2:2" ht="21" customHeight="1" x14ac:dyDescent="0.25">
      <c r="B219" s="6">
        <v>181</v>
      </c>
    </row>
    <row r="220" spans="2:2" ht="21" customHeight="1" x14ac:dyDescent="0.25">
      <c r="B220" s="6">
        <v>182</v>
      </c>
    </row>
    <row r="221" spans="2:2" ht="21" customHeight="1" x14ac:dyDescent="0.25">
      <c r="B221" s="6">
        <v>183</v>
      </c>
    </row>
  </sheetData>
  <dataConsolidate/>
  <pageMargins left="0.75" right="0.75" top="1" bottom="1" header="0.4921259845" footer="0.4921259845"/>
  <pageSetup paperSize="9" scale="10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Shape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457200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Param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6</xdr:row>
                    <xdr:rowOff>160020</xdr:rowOff>
                  </from>
                  <to>
                    <xdr:col>9</xdr:col>
                    <xdr:colOff>457200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Colours"/>
  <dimension ref="A1:G886"/>
  <sheetViews>
    <sheetView topLeftCell="A314" workbookViewId="0">
      <selection activeCell="G151" sqref="G151"/>
    </sheetView>
  </sheetViews>
  <sheetFormatPr defaultColWidth="12.77734375" defaultRowHeight="14.4" customHeight="1" thickBottom="1" x14ac:dyDescent="0.3"/>
  <cols>
    <col min="1" max="1" width="22.88671875" style="179" bestFit="1" customWidth="1"/>
    <col min="2" max="6" width="12.77734375" style="112"/>
  </cols>
  <sheetData>
    <row r="1" spans="1:7" ht="14.4" customHeight="1" x14ac:dyDescent="0.25">
      <c r="A1" s="1" t="s">
        <v>1</v>
      </c>
      <c r="B1" s="1" t="s">
        <v>4</v>
      </c>
      <c r="C1" s="1" t="s">
        <v>5</v>
      </c>
      <c r="D1" s="1" t="s">
        <v>3</v>
      </c>
      <c r="E1" s="1" t="s">
        <v>2</v>
      </c>
      <c r="F1" s="1" t="s">
        <v>282</v>
      </c>
    </row>
    <row r="2" spans="1:7" ht="14.4" customHeight="1" thickBot="1" x14ac:dyDescent="0.3">
      <c r="A2" s="180" t="s">
        <v>283</v>
      </c>
      <c r="B2" s="180">
        <v>255</v>
      </c>
      <c r="C2" s="180">
        <v>250</v>
      </c>
      <c r="D2" s="180">
        <v>250</v>
      </c>
      <c r="E2" s="9">
        <f t="shared" ref="E2:E65" si="0">B2+256*C2+256*256*D2</f>
        <v>16448255</v>
      </c>
      <c r="F2" s="180" t="s">
        <v>284</v>
      </c>
      <c r="G2" s="90" t="s">
        <v>26</v>
      </c>
    </row>
    <row r="3" spans="1:7" ht="14.4" customHeight="1" thickBot="1" x14ac:dyDescent="0.3">
      <c r="A3" s="179" t="s">
        <v>285</v>
      </c>
      <c r="B3" s="179">
        <v>255</v>
      </c>
      <c r="C3" s="179">
        <v>250</v>
      </c>
      <c r="D3" s="179">
        <v>250</v>
      </c>
      <c r="E3" s="9">
        <f t="shared" si="0"/>
        <v>16448255</v>
      </c>
      <c r="F3" s="179" t="s">
        <v>284</v>
      </c>
      <c r="G3" s="90" t="s">
        <v>26</v>
      </c>
    </row>
    <row r="4" spans="1:7" ht="14.4" customHeight="1" thickBot="1" x14ac:dyDescent="0.3">
      <c r="A4" s="179" t="s">
        <v>286</v>
      </c>
      <c r="B4" s="179">
        <v>238</v>
      </c>
      <c r="C4" s="179">
        <v>233</v>
      </c>
      <c r="D4" s="179">
        <v>233</v>
      </c>
      <c r="E4" s="9">
        <f t="shared" si="0"/>
        <v>15329774</v>
      </c>
      <c r="F4" s="179" t="s">
        <v>287</v>
      </c>
      <c r="G4" s="183" t="s">
        <v>26</v>
      </c>
    </row>
    <row r="5" spans="1:7" ht="14.4" customHeight="1" thickBot="1" x14ac:dyDescent="0.3">
      <c r="A5" s="179" t="s">
        <v>288</v>
      </c>
      <c r="B5" s="179">
        <v>255</v>
      </c>
      <c r="C5" s="179">
        <v>193</v>
      </c>
      <c r="D5" s="179">
        <v>193</v>
      </c>
      <c r="E5" s="9">
        <f t="shared" si="0"/>
        <v>12698111</v>
      </c>
      <c r="F5" s="179" t="s">
        <v>289</v>
      </c>
      <c r="G5" s="184" t="s">
        <v>26</v>
      </c>
    </row>
    <row r="6" spans="1:7" ht="14.4" customHeight="1" thickBot="1" x14ac:dyDescent="0.3">
      <c r="A6" s="179" t="s">
        <v>290</v>
      </c>
      <c r="B6" s="179">
        <v>238</v>
      </c>
      <c r="C6" s="179">
        <v>180</v>
      </c>
      <c r="D6" s="179">
        <v>180</v>
      </c>
      <c r="E6" s="9">
        <f t="shared" si="0"/>
        <v>11842798</v>
      </c>
      <c r="F6" s="179" t="s">
        <v>291</v>
      </c>
      <c r="G6" s="185" t="s">
        <v>26</v>
      </c>
    </row>
    <row r="7" spans="1:7" ht="14.4" customHeight="1" thickBot="1" x14ac:dyDescent="0.3">
      <c r="A7" s="179" t="s">
        <v>292</v>
      </c>
      <c r="B7" s="179">
        <v>205</v>
      </c>
      <c r="C7" s="179">
        <v>201</v>
      </c>
      <c r="D7" s="179">
        <v>201</v>
      </c>
      <c r="E7" s="9">
        <f t="shared" si="0"/>
        <v>13224397</v>
      </c>
      <c r="F7" s="179" t="s">
        <v>293</v>
      </c>
      <c r="G7" s="186" t="s">
        <v>26</v>
      </c>
    </row>
    <row r="8" spans="1:7" ht="14.4" customHeight="1" thickBot="1" x14ac:dyDescent="0.3">
      <c r="A8" s="179" t="s">
        <v>100</v>
      </c>
      <c r="B8" s="179">
        <v>240</v>
      </c>
      <c r="C8" s="179">
        <v>128</v>
      </c>
      <c r="D8" s="179">
        <v>128</v>
      </c>
      <c r="E8" s="9">
        <f t="shared" si="0"/>
        <v>8421616</v>
      </c>
      <c r="F8" s="179" t="s">
        <v>294</v>
      </c>
      <c r="G8" s="50" t="s">
        <v>26</v>
      </c>
    </row>
    <row r="9" spans="1:7" ht="14.4" customHeight="1" thickBot="1" x14ac:dyDescent="0.3">
      <c r="A9" s="179" t="s">
        <v>295</v>
      </c>
      <c r="B9" s="179">
        <v>255</v>
      </c>
      <c r="C9" s="179">
        <v>106</v>
      </c>
      <c r="D9" s="179">
        <v>106</v>
      </c>
      <c r="E9" s="9">
        <f t="shared" si="0"/>
        <v>6974207</v>
      </c>
      <c r="F9" s="179" t="s">
        <v>296</v>
      </c>
      <c r="G9" s="187" t="s">
        <v>26</v>
      </c>
    </row>
    <row r="10" spans="1:7" ht="14.4" customHeight="1" thickBot="1" x14ac:dyDescent="0.3">
      <c r="A10" s="179" t="s">
        <v>297</v>
      </c>
      <c r="B10" s="179">
        <v>205</v>
      </c>
      <c r="C10" s="179">
        <v>155</v>
      </c>
      <c r="D10" s="179">
        <v>155</v>
      </c>
      <c r="E10" s="9">
        <f t="shared" si="0"/>
        <v>10197965</v>
      </c>
      <c r="F10" s="179" t="s">
        <v>298</v>
      </c>
      <c r="G10" s="188" t="s">
        <v>26</v>
      </c>
    </row>
    <row r="11" spans="1:7" ht="14.4" customHeight="1" thickBot="1" x14ac:dyDescent="0.3">
      <c r="A11" s="179" t="s">
        <v>299</v>
      </c>
      <c r="B11" s="179">
        <v>238</v>
      </c>
      <c r="C11" s="179">
        <v>99</v>
      </c>
      <c r="D11" s="179">
        <v>99</v>
      </c>
      <c r="E11" s="9">
        <f t="shared" si="0"/>
        <v>6513646</v>
      </c>
      <c r="F11" s="179" t="s">
        <v>300</v>
      </c>
      <c r="G11" s="189" t="s">
        <v>26</v>
      </c>
    </row>
    <row r="12" spans="1:7" ht="14.4" customHeight="1" thickBot="1" x14ac:dyDescent="0.3">
      <c r="A12" s="179" t="s">
        <v>147</v>
      </c>
      <c r="B12" s="179">
        <v>188</v>
      </c>
      <c r="C12" s="179">
        <v>143</v>
      </c>
      <c r="D12" s="179">
        <v>143</v>
      </c>
      <c r="E12" s="9">
        <f t="shared" si="0"/>
        <v>9408444</v>
      </c>
      <c r="F12" s="179" t="s">
        <v>301</v>
      </c>
      <c r="G12" s="84" t="s">
        <v>26</v>
      </c>
    </row>
    <row r="13" spans="1:7" ht="14.4" customHeight="1" thickBot="1" x14ac:dyDescent="0.3">
      <c r="A13" s="179" t="s">
        <v>302</v>
      </c>
      <c r="B13" s="179">
        <v>255</v>
      </c>
      <c r="C13" s="179">
        <v>64</v>
      </c>
      <c r="D13" s="179">
        <v>64</v>
      </c>
      <c r="E13" s="9">
        <f t="shared" si="0"/>
        <v>4210943</v>
      </c>
      <c r="F13" s="179" t="s">
        <v>303</v>
      </c>
      <c r="G13" s="190" t="s">
        <v>26</v>
      </c>
    </row>
    <row r="14" spans="1:7" ht="14.4" customHeight="1" thickBot="1" x14ac:dyDescent="0.3">
      <c r="A14" s="179" t="s">
        <v>304</v>
      </c>
      <c r="B14" s="179">
        <v>255</v>
      </c>
      <c r="C14" s="179">
        <v>48</v>
      </c>
      <c r="D14" s="179">
        <v>48</v>
      </c>
      <c r="E14" s="9">
        <f t="shared" si="0"/>
        <v>3158271</v>
      </c>
      <c r="F14" s="179" t="s">
        <v>305</v>
      </c>
      <c r="G14" s="191" t="s">
        <v>26</v>
      </c>
    </row>
    <row r="15" spans="1:7" ht="14.4" customHeight="1" thickBot="1" x14ac:dyDescent="0.3">
      <c r="A15" s="179" t="s">
        <v>306</v>
      </c>
      <c r="B15" s="179">
        <v>238</v>
      </c>
      <c r="C15" s="179">
        <v>59</v>
      </c>
      <c r="D15" s="179">
        <v>59</v>
      </c>
      <c r="E15" s="9">
        <f t="shared" si="0"/>
        <v>3881966</v>
      </c>
      <c r="F15" s="179" t="s">
        <v>307</v>
      </c>
      <c r="G15" s="192" t="s">
        <v>26</v>
      </c>
    </row>
    <row r="16" spans="1:7" ht="14.4" customHeight="1" thickBot="1" x14ac:dyDescent="0.3">
      <c r="A16" s="179" t="s">
        <v>91</v>
      </c>
      <c r="B16" s="179">
        <v>205</v>
      </c>
      <c r="C16" s="179">
        <v>92</v>
      </c>
      <c r="D16" s="179">
        <v>92</v>
      </c>
      <c r="E16" s="9">
        <f t="shared" si="0"/>
        <v>6053069</v>
      </c>
      <c r="F16" s="179" t="s">
        <v>308</v>
      </c>
      <c r="G16" s="142" t="s">
        <v>26</v>
      </c>
    </row>
    <row r="17" spans="1:7" ht="14.4" customHeight="1" thickBot="1" x14ac:dyDescent="0.3">
      <c r="A17" s="179" t="s">
        <v>309</v>
      </c>
      <c r="B17" s="179">
        <v>205</v>
      </c>
      <c r="C17" s="179">
        <v>85</v>
      </c>
      <c r="D17" s="179">
        <v>85</v>
      </c>
      <c r="E17" s="9">
        <f t="shared" si="0"/>
        <v>5592525</v>
      </c>
      <c r="F17" s="179" t="s">
        <v>310</v>
      </c>
      <c r="G17" s="193" t="s">
        <v>26</v>
      </c>
    </row>
    <row r="18" spans="1:7" ht="14.4" customHeight="1" thickBot="1" x14ac:dyDescent="0.3">
      <c r="A18" s="179" t="s">
        <v>311</v>
      </c>
      <c r="B18" s="179">
        <v>238</v>
      </c>
      <c r="C18" s="179">
        <v>44</v>
      </c>
      <c r="D18" s="179">
        <v>44</v>
      </c>
      <c r="E18" s="9">
        <f t="shared" si="0"/>
        <v>2895086</v>
      </c>
      <c r="F18" s="179" t="s">
        <v>312</v>
      </c>
      <c r="G18" s="194" t="s">
        <v>26</v>
      </c>
    </row>
    <row r="19" spans="1:7" ht="14.4" customHeight="1" thickBot="1" x14ac:dyDescent="0.3">
      <c r="A19" s="179" t="s">
        <v>313</v>
      </c>
      <c r="B19" s="179">
        <v>139</v>
      </c>
      <c r="C19" s="179">
        <v>137</v>
      </c>
      <c r="D19" s="179">
        <v>137</v>
      </c>
      <c r="E19" s="9">
        <f t="shared" si="0"/>
        <v>9013643</v>
      </c>
      <c r="F19" s="179" t="s">
        <v>314</v>
      </c>
      <c r="G19" s="195" t="s">
        <v>26</v>
      </c>
    </row>
    <row r="20" spans="1:7" ht="14.4" customHeight="1" thickBot="1" x14ac:dyDescent="0.3">
      <c r="A20" s="179" t="s">
        <v>315</v>
      </c>
      <c r="B20" s="179">
        <v>205</v>
      </c>
      <c r="C20" s="179">
        <v>51</v>
      </c>
      <c r="D20" s="179">
        <v>51</v>
      </c>
      <c r="E20" s="9">
        <f t="shared" si="0"/>
        <v>3355597</v>
      </c>
      <c r="F20" s="179" t="s">
        <v>316</v>
      </c>
      <c r="G20" s="196" t="s">
        <v>26</v>
      </c>
    </row>
    <row r="21" spans="1:7" ht="14.4" customHeight="1" thickBot="1" x14ac:dyDescent="0.3">
      <c r="A21" s="179" t="s">
        <v>317</v>
      </c>
      <c r="B21" s="179">
        <v>255</v>
      </c>
      <c r="C21" s="179">
        <v>0</v>
      </c>
      <c r="D21" s="179">
        <v>0</v>
      </c>
      <c r="E21" s="9">
        <f t="shared" si="0"/>
        <v>255</v>
      </c>
      <c r="F21" s="179" t="s">
        <v>318</v>
      </c>
      <c r="G21" s="158" t="s">
        <v>26</v>
      </c>
    </row>
    <row r="22" spans="1:7" ht="14.4" customHeight="1" thickBot="1" x14ac:dyDescent="0.3">
      <c r="A22" s="179" t="s">
        <v>319</v>
      </c>
      <c r="B22" s="179">
        <v>255</v>
      </c>
      <c r="C22" s="179">
        <v>0</v>
      </c>
      <c r="D22" s="179">
        <v>0</v>
      </c>
      <c r="E22" s="9">
        <f t="shared" si="0"/>
        <v>255</v>
      </c>
      <c r="F22" s="179" t="s">
        <v>318</v>
      </c>
      <c r="G22" s="158" t="s">
        <v>26</v>
      </c>
    </row>
    <row r="23" spans="1:7" ht="14.4" customHeight="1" thickBot="1" x14ac:dyDescent="0.3">
      <c r="A23" s="179" t="s">
        <v>320</v>
      </c>
      <c r="B23" s="179">
        <v>139</v>
      </c>
      <c r="C23" s="179">
        <v>105</v>
      </c>
      <c r="D23" s="179">
        <v>105</v>
      </c>
      <c r="E23" s="9">
        <f t="shared" si="0"/>
        <v>6908299</v>
      </c>
      <c r="F23" s="179" t="s">
        <v>321</v>
      </c>
      <c r="G23" s="197" t="s">
        <v>26</v>
      </c>
    </row>
    <row r="24" spans="1:7" ht="14.4" customHeight="1" thickBot="1" x14ac:dyDescent="0.3">
      <c r="A24" s="179" t="s">
        <v>322</v>
      </c>
      <c r="B24" s="179">
        <v>205</v>
      </c>
      <c r="C24" s="179">
        <v>38</v>
      </c>
      <c r="D24" s="179">
        <v>38</v>
      </c>
      <c r="E24" s="9">
        <f t="shared" si="0"/>
        <v>2500301</v>
      </c>
      <c r="F24" s="179" t="s">
        <v>323</v>
      </c>
      <c r="G24" s="198" t="s">
        <v>26</v>
      </c>
    </row>
    <row r="25" spans="1:7" ht="14.4" customHeight="1" thickBot="1" x14ac:dyDescent="0.3">
      <c r="A25" s="179" t="s">
        <v>324</v>
      </c>
      <c r="B25" s="179">
        <v>238</v>
      </c>
      <c r="C25" s="179">
        <v>0</v>
      </c>
      <c r="D25" s="179">
        <v>0</v>
      </c>
      <c r="E25" s="9">
        <f t="shared" si="0"/>
        <v>238</v>
      </c>
      <c r="F25" s="179" t="s">
        <v>325</v>
      </c>
      <c r="G25" s="199" t="s">
        <v>26</v>
      </c>
    </row>
    <row r="26" spans="1:7" ht="14.4" customHeight="1" thickBot="1" x14ac:dyDescent="0.3">
      <c r="A26" s="179" t="s">
        <v>326</v>
      </c>
      <c r="B26" s="179">
        <v>178</v>
      </c>
      <c r="C26" s="179">
        <v>34</v>
      </c>
      <c r="D26" s="179">
        <v>34</v>
      </c>
      <c r="E26" s="9">
        <f t="shared" si="0"/>
        <v>2237106</v>
      </c>
      <c r="F26" s="179" t="s">
        <v>327</v>
      </c>
      <c r="G26" s="133" t="s">
        <v>26</v>
      </c>
    </row>
    <row r="27" spans="1:7" ht="14.4" customHeight="1" thickBot="1" x14ac:dyDescent="0.3">
      <c r="A27" s="179" t="s">
        <v>328</v>
      </c>
      <c r="B27" s="179">
        <v>165</v>
      </c>
      <c r="C27" s="179">
        <v>42</v>
      </c>
      <c r="D27" s="179">
        <v>42</v>
      </c>
      <c r="E27" s="9">
        <f t="shared" si="0"/>
        <v>2763429</v>
      </c>
      <c r="F27" s="179" t="s">
        <v>329</v>
      </c>
      <c r="G27" s="116" t="s">
        <v>26</v>
      </c>
    </row>
    <row r="28" spans="1:7" ht="14.4" customHeight="1" thickBot="1" x14ac:dyDescent="0.3">
      <c r="A28" s="179" t="s">
        <v>330</v>
      </c>
      <c r="B28" s="179">
        <v>205</v>
      </c>
      <c r="C28" s="179">
        <v>0</v>
      </c>
      <c r="D28" s="179">
        <v>0</v>
      </c>
      <c r="E28" s="9">
        <f t="shared" si="0"/>
        <v>205</v>
      </c>
      <c r="F28" s="179" t="s">
        <v>331</v>
      </c>
      <c r="G28" s="200" t="s">
        <v>26</v>
      </c>
    </row>
    <row r="29" spans="1:7" ht="14.4" customHeight="1" thickBot="1" x14ac:dyDescent="0.3">
      <c r="A29" s="179" t="s">
        <v>332</v>
      </c>
      <c r="B29" s="179">
        <v>139</v>
      </c>
      <c r="C29" s="179">
        <v>58</v>
      </c>
      <c r="D29" s="179">
        <v>58</v>
      </c>
      <c r="E29" s="9">
        <f t="shared" si="0"/>
        <v>3816075</v>
      </c>
      <c r="F29" s="179" t="s">
        <v>333</v>
      </c>
      <c r="G29" s="201" t="s">
        <v>26</v>
      </c>
    </row>
    <row r="30" spans="1:7" ht="14.4" customHeight="1" thickBot="1" x14ac:dyDescent="0.3">
      <c r="A30" s="179" t="s">
        <v>334</v>
      </c>
      <c r="B30" s="179">
        <v>139</v>
      </c>
      <c r="C30" s="179">
        <v>35</v>
      </c>
      <c r="D30" s="179">
        <v>35</v>
      </c>
      <c r="E30" s="9">
        <f t="shared" si="0"/>
        <v>2302859</v>
      </c>
      <c r="F30" s="179" t="s">
        <v>335</v>
      </c>
      <c r="G30" s="202" t="s">
        <v>26</v>
      </c>
    </row>
    <row r="31" spans="1:7" ht="14.4" customHeight="1" thickBot="1" x14ac:dyDescent="0.3">
      <c r="A31" s="179" t="s">
        <v>336</v>
      </c>
      <c r="B31" s="179">
        <v>139</v>
      </c>
      <c r="C31" s="179">
        <v>26</v>
      </c>
      <c r="D31" s="179">
        <v>26</v>
      </c>
      <c r="E31" s="9">
        <f t="shared" si="0"/>
        <v>1710731</v>
      </c>
      <c r="F31" s="179" t="s">
        <v>337</v>
      </c>
      <c r="G31" s="203" t="s">
        <v>26</v>
      </c>
    </row>
    <row r="32" spans="1:7" ht="14.4" customHeight="1" thickBot="1" x14ac:dyDescent="0.3">
      <c r="A32" s="179" t="s">
        <v>67</v>
      </c>
      <c r="B32" s="179">
        <v>139</v>
      </c>
      <c r="C32" s="179">
        <v>0</v>
      </c>
      <c r="D32" s="179">
        <v>0</v>
      </c>
      <c r="E32" s="9">
        <f t="shared" si="0"/>
        <v>139</v>
      </c>
      <c r="F32" s="179" t="s">
        <v>338</v>
      </c>
      <c r="G32" s="126" t="s">
        <v>26</v>
      </c>
    </row>
    <row r="33" spans="1:7" ht="14.4" customHeight="1" thickBot="1" x14ac:dyDescent="0.3">
      <c r="A33" s="179" t="s">
        <v>339</v>
      </c>
      <c r="B33" s="179">
        <v>139</v>
      </c>
      <c r="C33" s="179">
        <v>0</v>
      </c>
      <c r="D33" s="179">
        <v>0</v>
      </c>
      <c r="E33" s="9">
        <f t="shared" si="0"/>
        <v>139</v>
      </c>
      <c r="F33" s="179" t="s">
        <v>338</v>
      </c>
      <c r="G33" s="126" t="s">
        <v>26</v>
      </c>
    </row>
    <row r="34" spans="1:7" ht="14.4" customHeight="1" thickBot="1" x14ac:dyDescent="0.3">
      <c r="A34" s="179" t="s">
        <v>1371</v>
      </c>
      <c r="B34" s="179">
        <v>128</v>
      </c>
      <c r="C34" s="179">
        <v>0</v>
      </c>
      <c r="D34" s="179">
        <v>0</v>
      </c>
      <c r="E34" s="9">
        <f t="shared" si="0"/>
        <v>128</v>
      </c>
      <c r="F34" s="179" t="s">
        <v>340</v>
      </c>
      <c r="G34" s="145" t="s">
        <v>26</v>
      </c>
    </row>
    <row r="35" spans="1:7" ht="14.4" customHeight="1" thickBot="1" x14ac:dyDescent="0.3">
      <c r="A35" s="179" t="s">
        <v>341</v>
      </c>
      <c r="B35" s="179">
        <v>255</v>
      </c>
      <c r="C35" s="179">
        <v>174</v>
      </c>
      <c r="D35" s="179">
        <v>185</v>
      </c>
      <c r="E35" s="9">
        <f t="shared" si="0"/>
        <v>12168959</v>
      </c>
      <c r="F35" s="179" t="s">
        <v>342</v>
      </c>
      <c r="G35" s="204" t="s">
        <v>26</v>
      </c>
    </row>
    <row r="36" spans="1:7" ht="14.4" customHeight="1" thickBot="1" x14ac:dyDescent="0.3">
      <c r="A36" s="179" t="s">
        <v>343</v>
      </c>
      <c r="B36" s="179">
        <v>205</v>
      </c>
      <c r="C36" s="179">
        <v>140</v>
      </c>
      <c r="D36" s="179">
        <v>149</v>
      </c>
      <c r="E36" s="9">
        <f t="shared" si="0"/>
        <v>9800909</v>
      </c>
      <c r="F36" s="179" t="s">
        <v>344</v>
      </c>
      <c r="G36" s="205" t="s">
        <v>26</v>
      </c>
    </row>
    <row r="37" spans="1:7" ht="14.4" customHeight="1" thickBot="1" x14ac:dyDescent="0.3">
      <c r="A37" s="179" t="s">
        <v>345</v>
      </c>
      <c r="B37" s="179">
        <v>139</v>
      </c>
      <c r="C37" s="179">
        <v>95</v>
      </c>
      <c r="D37" s="179">
        <v>101</v>
      </c>
      <c r="E37" s="9">
        <f t="shared" si="0"/>
        <v>6643595</v>
      </c>
      <c r="F37" s="179" t="s">
        <v>346</v>
      </c>
      <c r="G37" s="206" t="s">
        <v>26</v>
      </c>
    </row>
    <row r="38" spans="1:7" ht="14.4" customHeight="1" thickBot="1" x14ac:dyDescent="0.3">
      <c r="A38" s="179" t="s">
        <v>347</v>
      </c>
      <c r="B38" s="179">
        <v>238</v>
      </c>
      <c r="C38" s="179">
        <v>162</v>
      </c>
      <c r="D38" s="179">
        <v>173</v>
      </c>
      <c r="E38" s="9">
        <f t="shared" si="0"/>
        <v>11379438</v>
      </c>
      <c r="F38" s="179" t="s">
        <v>348</v>
      </c>
      <c r="G38" s="207" t="s">
        <v>26</v>
      </c>
    </row>
    <row r="39" spans="1:7" ht="14.4" customHeight="1" thickBot="1" x14ac:dyDescent="0.3">
      <c r="A39" s="179" t="s">
        <v>105</v>
      </c>
      <c r="B39" s="179">
        <v>255</v>
      </c>
      <c r="C39" s="179">
        <v>182</v>
      </c>
      <c r="D39" s="179">
        <v>193</v>
      </c>
      <c r="E39" s="9">
        <f t="shared" si="0"/>
        <v>12695295</v>
      </c>
      <c r="F39" s="179" t="s">
        <v>349</v>
      </c>
      <c r="G39" s="55" t="s">
        <v>26</v>
      </c>
    </row>
    <row r="40" spans="1:7" ht="14.4" customHeight="1" thickBot="1" x14ac:dyDescent="0.3">
      <c r="A40" s="179" t="s">
        <v>350</v>
      </c>
      <c r="B40" s="179">
        <v>255</v>
      </c>
      <c r="C40" s="179">
        <v>192</v>
      </c>
      <c r="D40" s="179">
        <v>203</v>
      </c>
      <c r="E40" s="9">
        <f t="shared" si="0"/>
        <v>13353215</v>
      </c>
      <c r="F40" s="179" t="s">
        <v>351</v>
      </c>
      <c r="G40" s="81" t="s">
        <v>26</v>
      </c>
    </row>
    <row r="41" spans="1:7" ht="14.4" customHeight="1" thickBot="1" x14ac:dyDescent="0.3">
      <c r="A41" s="179" t="s">
        <v>352</v>
      </c>
      <c r="B41" s="179">
        <v>220</v>
      </c>
      <c r="C41" s="179">
        <v>20</v>
      </c>
      <c r="D41" s="179">
        <v>60</v>
      </c>
      <c r="E41" s="9">
        <f t="shared" si="0"/>
        <v>3937500</v>
      </c>
      <c r="F41" s="179" t="s">
        <v>353</v>
      </c>
      <c r="G41" s="118" t="s">
        <v>26</v>
      </c>
    </row>
    <row r="42" spans="1:7" ht="14.4" customHeight="1" thickBot="1" x14ac:dyDescent="0.3">
      <c r="A42" s="179" t="s">
        <v>354</v>
      </c>
      <c r="B42" s="179">
        <v>255</v>
      </c>
      <c r="C42" s="179">
        <v>181</v>
      </c>
      <c r="D42" s="179">
        <v>197</v>
      </c>
      <c r="E42" s="9">
        <f t="shared" si="0"/>
        <v>12957183</v>
      </c>
      <c r="F42" s="179" t="s">
        <v>355</v>
      </c>
      <c r="G42" s="208" t="s">
        <v>26</v>
      </c>
    </row>
    <row r="43" spans="1:7" ht="14.4" customHeight="1" thickBot="1" x14ac:dyDescent="0.3">
      <c r="A43" s="179" t="s">
        <v>356</v>
      </c>
      <c r="B43" s="179">
        <v>238</v>
      </c>
      <c r="C43" s="179">
        <v>169</v>
      </c>
      <c r="D43" s="179">
        <v>184</v>
      </c>
      <c r="E43" s="9">
        <f t="shared" si="0"/>
        <v>12102126</v>
      </c>
      <c r="F43" s="179" t="s">
        <v>357</v>
      </c>
      <c r="G43" s="209" t="s">
        <v>26</v>
      </c>
    </row>
    <row r="44" spans="1:7" ht="14.4" customHeight="1" thickBot="1" x14ac:dyDescent="0.3">
      <c r="A44" s="179" t="s">
        <v>358</v>
      </c>
      <c r="B44" s="179">
        <v>205</v>
      </c>
      <c r="C44" s="179">
        <v>145</v>
      </c>
      <c r="D44" s="179">
        <v>158</v>
      </c>
      <c r="E44" s="9">
        <f t="shared" si="0"/>
        <v>10392013</v>
      </c>
      <c r="F44" s="179" t="s">
        <v>359</v>
      </c>
      <c r="G44" s="210" t="s">
        <v>26</v>
      </c>
    </row>
    <row r="45" spans="1:7" ht="14.4" customHeight="1" thickBot="1" x14ac:dyDescent="0.3">
      <c r="A45" s="179" t="s">
        <v>360</v>
      </c>
      <c r="B45" s="179">
        <v>139</v>
      </c>
      <c r="C45" s="179">
        <v>99</v>
      </c>
      <c r="D45" s="179">
        <v>108</v>
      </c>
      <c r="E45" s="9">
        <f t="shared" si="0"/>
        <v>7103371</v>
      </c>
      <c r="F45" s="179" t="s">
        <v>361</v>
      </c>
      <c r="G45" s="211" t="s">
        <v>26</v>
      </c>
    </row>
    <row r="46" spans="1:7" ht="14.4" customHeight="1" thickBot="1" x14ac:dyDescent="0.3">
      <c r="A46" s="179" t="s">
        <v>362</v>
      </c>
      <c r="B46" s="179">
        <v>139</v>
      </c>
      <c r="C46" s="179">
        <v>71</v>
      </c>
      <c r="D46" s="179">
        <v>93</v>
      </c>
      <c r="E46" s="9">
        <f t="shared" si="0"/>
        <v>6113163</v>
      </c>
      <c r="F46" s="179" t="s">
        <v>363</v>
      </c>
      <c r="G46" s="212" t="s">
        <v>26</v>
      </c>
    </row>
    <row r="47" spans="1:7" ht="14.4" customHeight="1" thickBot="1" x14ac:dyDescent="0.3">
      <c r="A47" s="179" t="s">
        <v>139</v>
      </c>
      <c r="B47" s="179">
        <v>219</v>
      </c>
      <c r="C47" s="179">
        <v>112</v>
      </c>
      <c r="D47" s="179">
        <v>147</v>
      </c>
      <c r="E47" s="9">
        <f t="shared" si="0"/>
        <v>9662683</v>
      </c>
      <c r="F47" s="179" t="s">
        <v>364</v>
      </c>
      <c r="G47" s="156" t="s">
        <v>26</v>
      </c>
    </row>
    <row r="48" spans="1:7" ht="14.4" customHeight="1" thickBot="1" x14ac:dyDescent="0.3">
      <c r="A48" s="179" t="s">
        <v>365</v>
      </c>
      <c r="B48" s="179">
        <v>238</v>
      </c>
      <c r="C48" s="179">
        <v>121</v>
      </c>
      <c r="D48" s="179">
        <v>159</v>
      </c>
      <c r="E48" s="9">
        <f t="shared" si="0"/>
        <v>10451438</v>
      </c>
      <c r="F48" s="179" t="s">
        <v>366</v>
      </c>
      <c r="G48" s="213" t="s">
        <v>26</v>
      </c>
    </row>
    <row r="49" spans="1:7" ht="14.4" customHeight="1" thickBot="1" x14ac:dyDescent="0.3">
      <c r="A49" s="179" t="s">
        <v>367</v>
      </c>
      <c r="B49" s="179">
        <v>255</v>
      </c>
      <c r="C49" s="179">
        <v>130</v>
      </c>
      <c r="D49" s="179">
        <v>171</v>
      </c>
      <c r="E49" s="9">
        <f t="shared" si="0"/>
        <v>11240191</v>
      </c>
      <c r="F49" s="179" t="s">
        <v>368</v>
      </c>
      <c r="G49" s="214" t="s">
        <v>26</v>
      </c>
    </row>
    <row r="50" spans="1:7" ht="14.4" customHeight="1" thickBot="1" x14ac:dyDescent="0.3">
      <c r="A50" s="179" t="s">
        <v>369</v>
      </c>
      <c r="B50" s="179">
        <v>205</v>
      </c>
      <c r="C50" s="179">
        <v>104</v>
      </c>
      <c r="D50" s="179">
        <v>137</v>
      </c>
      <c r="E50" s="9">
        <f t="shared" si="0"/>
        <v>9005261</v>
      </c>
      <c r="F50" s="179" t="s">
        <v>370</v>
      </c>
      <c r="G50" s="215" t="s">
        <v>26</v>
      </c>
    </row>
    <row r="51" spans="1:7" ht="14.4" customHeight="1" thickBot="1" x14ac:dyDescent="0.3">
      <c r="A51" s="179" t="s">
        <v>96</v>
      </c>
      <c r="B51" s="179">
        <v>255</v>
      </c>
      <c r="C51" s="179">
        <v>240</v>
      </c>
      <c r="D51" s="179">
        <v>245</v>
      </c>
      <c r="E51" s="9">
        <f t="shared" si="0"/>
        <v>16118015</v>
      </c>
      <c r="F51" s="179" t="s">
        <v>371</v>
      </c>
      <c r="G51" s="46" t="s">
        <v>26</v>
      </c>
    </row>
    <row r="52" spans="1:7" ht="14.4" customHeight="1" thickBot="1" x14ac:dyDescent="0.3">
      <c r="A52" s="179" t="s">
        <v>372</v>
      </c>
      <c r="B52" s="179">
        <v>255</v>
      </c>
      <c r="C52" s="179">
        <v>240</v>
      </c>
      <c r="D52" s="179">
        <v>245</v>
      </c>
      <c r="E52" s="9">
        <f t="shared" si="0"/>
        <v>16118015</v>
      </c>
      <c r="F52" s="179" t="s">
        <v>371</v>
      </c>
      <c r="G52" s="46" t="s">
        <v>26</v>
      </c>
    </row>
    <row r="53" spans="1:7" ht="14.4" customHeight="1" thickBot="1" x14ac:dyDescent="0.3">
      <c r="A53" s="179" t="s">
        <v>373</v>
      </c>
      <c r="B53" s="179">
        <v>205</v>
      </c>
      <c r="C53" s="179">
        <v>193</v>
      </c>
      <c r="D53" s="179">
        <v>197</v>
      </c>
      <c r="E53" s="9">
        <f t="shared" si="0"/>
        <v>12960205</v>
      </c>
      <c r="F53" s="179" t="s">
        <v>374</v>
      </c>
      <c r="G53" s="216" t="s">
        <v>26</v>
      </c>
    </row>
    <row r="54" spans="1:7" ht="14.4" customHeight="1" thickBot="1" x14ac:dyDescent="0.3">
      <c r="A54" s="179" t="s">
        <v>375</v>
      </c>
      <c r="B54" s="179">
        <v>238</v>
      </c>
      <c r="C54" s="179">
        <v>224</v>
      </c>
      <c r="D54" s="179">
        <v>229</v>
      </c>
      <c r="E54" s="9">
        <f t="shared" si="0"/>
        <v>15065326</v>
      </c>
      <c r="F54" s="179" t="s">
        <v>376</v>
      </c>
      <c r="G54" s="217" t="s">
        <v>26</v>
      </c>
    </row>
    <row r="55" spans="1:7" ht="14.4" customHeight="1" thickBot="1" x14ac:dyDescent="0.3">
      <c r="A55" s="179" t="s">
        <v>377</v>
      </c>
      <c r="B55" s="179">
        <v>139</v>
      </c>
      <c r="C55" s="179">
        <v>131</v>
      </c>
      <c r="D55" s="179">
        <v>134</v>
      </c>
      <c r="E55" s="9">
        <f t="shared" si="0"/>
        <v>8815499</v>
      </c>
      <c r="F55" s="179" t="s">
        <v>378</v>
      </c>
      <c r="G55" s="218" t="s">
        <v>26</v>
      </c>
    </row>
    <row r="56" spans="1:7" ht="14.4" customHeight="1" thickBot="1" x14ac:dyDescent="0.3">
      <c r="A56" s="179" t="s">
        <v>1372</v>
      </c>
      <c r="B56" s="179">
        <v>176</v>
      </c>
      <c r="C56" s="179">
        <v>48</v>
      </c>
      <c r="D56" s="179">
        <v>96</v>
      </c>
      <c r="E56" s="9">
        <f t="shared" si="0"/>
        <v>6303920</v>
      </c>
      <c r="F56" s="179" t="s">
        <v>379</v>
      </c>
      <c r="G56" s="219" t="s">
        <v>26</v>
      </c>
    </row>
    <row r="57" spans="1:7" ht="14.4" customHeight="1" thickBot="1" x14ac:dyDescent="0.3">
      <c r="A57" s="179" t="s">
        <v>380</v>
      </c>
      <c r="B57" s="179">
        <v>205</v>
      </c>
      <c r="C57" s="179">
        <v>96</v>
      </c>
      <c r="D57" s="179">
        <v>144</v>
      </c>
      <c r="E57" s="9">
        <f t="shared" si="0"/>
        <v>9461965</v>
      </c>
      <c r="F57" s="179" t="s">
        <v>381</v>
      </c>
      <c r="G57" s="220" t="s">
        <v>26</v>
      </c>
    </row>
    <row r="58" spans="1:7" ht="14.4" customHeight="1" thickBot="1" x14ac:dyDescent="0.3">
      <c r="A58" s="179" t="s">
        <v>382</v>
      </c>
      <c r="B58" s="179">
        <v>205</v>
      </c>
      <c r="C58" s="179">
        <v>50</v>
      </c>
      <c r="D58" s="179">
        <v>120</v>
      </c>
      <c r="E58" s="9">
        <f t="shared" si="0"/>
        <v>7877325</v>
      </c>
      <c r="F58" s="179" t="s">
        <v>383</v>
      </c>
      <c r="G58" s="221" t="s">
        <v>26</v>
      </c>
    </row>
    <row r="59" spans="1:7" ht="14.4" customHeight="1" thickBot="1" x14ac:dyDescent="0.3">
      <c r="A59" s="179" t="s">
        <v>384</v>
      </c>
      <c r="B59" s="179">
        <v>255</v>
      </c>
      <c r="C59" s="179">
        <v>62</v>
      </c>
      <c r="D59" s="179">
        <v>150</v>
      </c>
      <c r="E59" s="9">
        <f t="shared" si="0"/>
        <v>9846527</v>
      </c>
      <c r="F59" s="179" t="s">
        <v>385</v>
      </c>
      <c r="G59" s="222" t="s">
        <v>26</v>
      </c>
    </row>
    <row r="60" spans="1:7" ht="14.4" customHeight="1" thickBot="1" x14ac:dyDescent="0.3">
      <c r="A60" s="179" t="s">
        <v>386</v>
      </c>
      <c r="B60" s="179">
        <v>238</v>
      </c>
      <c r="C60" s="179">
        <v>58</v>
      </c>
      <c r="D60" s="179">
        <v>140</v>
      </c>
      <c r="E60" s="9">
        <f t="shared" si="0"/>
        <v>9190126</v>
      </c>
      <c r="F60" s="179" t="s">
        <v>387</v>
      </c>
      <c r="G60" s="223" t="s">
        <v>26</v>
      </c>
    </row>
    <row r="61" spans="1:7" ht="14.4" customHeight="1" thickBot="1" x14ac:dyDescent="0.3">
      <c r="A61" s="179" t="s">
        <v>388</v>
      </c>
      <c r="B61" s="179">
        <v>139</v>
      </c>
      <c r="C61" s="179">
        <v>34</v>
      </c>
      <c r="D61" s="179">
        <v>82</v>
      </c>
      <c r="E61" s="9">
        <f t="shared" si="0"/>
        <v>5382795</v>
      </c>
      <c r="F61" s="179" t="s">
        <v>389</v>
      </c>
      <c r="G61" s="224" t="s">
        <v>26</v>
      </c>
    </row>
    <row r="62" spans="1:7" ht="14.4" customHeight="1" thickBot="1" x14ac:dyDescent="0.3">
      <c r="A62" s="179" t="s">
        <v>390</v>
      </c>
      <c r="B62" s="179">
        <v>238</v>
      </c>
      <c r="C62" s="179">
        <v>106</v>
      </c>
      <c r="D62" s="179">
        <v>167</v>
      </c>
      <c r="E62" s="9">
        <f t="shared" si="0"/>
        <v>10971886</v>
      </c>
      <c r="F62" s="179" t="s">
        <v>391</v>
      </c>
      <c r="G62" s="225" t="s">
        <v>26</v>
      </c>
    </row>
    <row r="63" spans="1:7" ht="14.4" customHeight="1" thickBot="1" x14ac:dyDescent="0.3">
      <c r="A63" s="179" t="s">
        <v>392</v>
      </c>
      <c r="B63" s="179">
        <v>255</v>
      </c>
      <c r="C63" s="179">
        <v>110</v>
      </c>
      <c r="D63" s="179">
        <v>180</v>
      </c>
      <c r="E63" s="9">
        <f t="shared" si="0"/>
        <v>11824895</v>
      </c>
      <c r="F63" s="179" t="s">
        <v>393</v>
      </c>
      <c r="G63" s="226" t="s">
        <v>26</v>
      </c>
    </row>
    <row r="64" spans="1:7" ht="14.4" customHeight="1" thickBot="1" x14ac:dyDescent="0.3">
      <c r="A64" s="179" t="s">
        <v>394</v>
      </c>
      <c r="B64" s="179">
        <v>139</v>
      </c>
      <c r="C64" s="179">
        <v>58</v>
      </c>
      <c r="D64" s="179">
        <v>98</v>
      </c>
      <c r="E64" s="9">
        <f t="shared" si="0"/>
        <v>6437515</v>
      </c>
      <c r="F64" s="179" t="s">
        <v>395</v>
      </c>
      <c r="G64" s="227" t="s">
        <v>26</v>
      </c>
    </row>
    <row r="65" spans="1:7" ht="14.4" customHeight="1" thickBot="1" x14ac:dyDescent="0.3">
      <c r="A65" s="179" t="s">
        <v>90</v>
      </c>
      <c r="B65" s="179">
        <v>255</v>
      </c>
      <c r="C65" s="179">
        <v>105</v>
      </c>
      <c r="D65" s="179">
        <v>180</v>
      </c>
      <c r="E65" s="9">
        <f t="shared" si="0"/>
        <v>11823615</v>
      </c>
      <c r="F65" s="179" t="s">
        <v>396</v>
      </c>
      <c r="G65" s="42" t="s">
        <v>26</v>
      </c>
    </row>
    <row r="66" spans="1:7" ht="14.4" customHeight="1" thickBot="1" x14ac:dyDescent="0.3">
      <c r="A66" s="179" t="s">
        <v>75</v>
      </c>
      <c r="B66" s="179">
        <v>255</v>
      </c>
      <c r="C66" s="179">
        <v>20</v>
      </c>
      <c r="D66" s="179">
        <v>147</v>
      </c>
      <c r="E66" s="9">
        <f t="shared" ref="E66:E129" si="1">B66+256*C66+256*256*D66</f>
        <v>9639167</v>
      </c>
      <c r="F66" s="179" t="s">
        <v>397</v>
      </c>
      <c r="G66" s="130" t="s">
        <v>26</v>
      </c>
    </row>
    <row r="67" spans="1:7" ht="14.4" customHeight="1" thickBot="1" x14ac:dyDescent="0.3">
      <c r="A67" s="179" t="s">
        <v>398</v>
      </c>
      <c r="B67" s="179">
        <v>255</v>
      </c>
      <c r="C67" s="179">
        <v>20</v>
      </c>
      <c r="D67" s="179">
        <v>147</v>
      </c>
      <c r="E67" s="9">
        <f t="shared" si="1"/>
        <v>9639167</v>
      </c>
      <c r="F67" s="179" t="s">
        <v>397</v>
      </c>
      <c r="G67" s="130" t="s">
        <v>26</v>
      </c>
    </row>
    <row r="68" spans="1:7" ht="14.4" customHeight="1" thickBot="1" x14ac:dyDescent="0.3">
      <c r="A68" s="179" t="s">
        <v>399</v>
      </c>
      <c r="B68" s="179">
        <v>238</v>
      </c>
      <c r="C68" s="179">
        <v>18</v>
      </c>
      <c r="D68" s="179">
        <v>137</v>
      </c>
      <c r="E68" s="9">
        <f t="shared" si="1"/>
        <v>8983278</v>
      </c>
      <c r="F68" s="179" t="s">
        <v>400</v>
      </c>
      <c r="G68" s="228" t="s">
        <v>26</v>
      </c>
    </row>
    <row r="69" spans="1:7" ht="14.4" customHeight="1" thickBot="1" x14ac:dyDescent="0.3">
      <c r="A69" s="179" t="s">
        <v>401</v>
      </c>
      <c r="B69" s="179">
        <v>205</v>
      </c>
      <c r="C69" s="179">
        <v>16</v>
      </c>
      <c r="D69" s="179">
        <v>118</v>
      </c>
      <c r="E69" s="9">
        <f t="shared" si="1"/>
        <v>7737549</v>
      </c>
      <c r="F69" s="179" t="s">
        <v>402</v>
      </c>
      <c r="G69" s="229" t="s">
        <v>26</v>
      </c>
    </row>
    <row r="70" spans="1:7" ht="14.4" customHeight="1" thickBot="1" x14ac:dyDescent="0.3">
      <c r="A70" s="179" t="s">
        <v>403</v>
      </c>
      <c r="B70" s="179">
        <v>139</v>
      </c>
      <c r="C70" s="179">
        <v>10</v>
      </c>
      <c r="D70" s="179">
        <v>80</v>
      </c>
      <c r="E70" s="9">
        <f t="shared" si="1"/>
        <v>5245579</v>
      </c>
      <c r="F70" s="179" t="s">
        <v>404</v>
      </c>
      <c r="G70" s="230" t="s">
        <v>26</v>
      </c>
    </row>
    <row r="71" spans="1:7" ht="14.4" customHeight="1" thickBot="1" x14ac:dyDescent="0.3">
      <c r="A71" s="179" t="s">
        <v>405</v>
      </c>
      <c r="B71" s="179">
        <v>255</v>
      </c>
      <c r="C71" s="179">
        <v>52</v>
      </c>
      <c r="D71" s="179">
        <v>179</v>
      </c>
      <c r="E71" s="9">
        <f t="shared" si="1"/>
        <v>11744511</v>
      </c>
      <c r="F71" s="179" t="s">
        <v>406</v>
      </c>
      <c r="G71" s="231" t="s">
        <v>26</v>
      </c>
    </row>
    <row r="72" spans="1:7" ht="14.4" customHeight="1" thickBot="1" x14ac:dyDescent="0.3">
      <c r="A72" s="179" t="s">
        <v>407</v>
      </c>
      <c r="B72" s="179">
        <v>238</v>
      </c>
      <c r="C72" s="179">
        <v>48</v>
      </c>
      <c r="D72" s="179">
        <v>167</v>
      </c>
      <c r="E72" s="9">
        <f t="shared" si="1"/>
        <v>10957038</v>
      </c>
      <c r="F72" s="179" t="s">
        <v>408</v>
      </c>
      <c r="G72" s="232" t="s">
        <v>26</v>
      </c>
    </row>
    <row r="73" spans="1:7" ht="14.4" customHeight="1" thickBot="1" x14ac:dyDescent="0.3">
      <c r="A73" s="179" t="s">
        <v>409</v>
      </c>
      <c r="B73" s="179">
        <v>205</v>
      </c>
      <c r="C73" s="179">
        <v>41</v>
      </c>
      <c r="D73" s="179">
        <v>144</v>
      </c>
      <c r="E73" s="9">
        <f t="shared" si="1"/>
        <v>9447885</v>
      </c>
      <c r="F73" s="179" t="s">
        <v>410</v>
      </c>
      <c r="G73" s="233" t="s">
        <v>26</v>
      </c>
    </row>
    <row r="74" spans="1:7" ht="14.4" customHeight="1" thickBot="1" x14ac:dyDescent="0.3">
      <c r="A74" s="179" t="s">
        <v>411</v>
      </c>
      <c r="B74" s="179">
        <v>139</v>
      </c>
      <c r="C74" s="179">
        <v>28</v>
      </c>
      <c r="D74" s="179">
        <v>98</v>
      </c>
      <c r="E74" s="9">
        <f t="shared" si="1"/>
        <v>6429835</v>
      </c>
      <c r="F74" s="179" t="s">
        <v>412</v>
      </c>
      <c r="G74" s="234" t="s">
        <v>26</v>
      </c>
    </row>
    <row r="75" spans="1:7" ht="14.4" customHeight="1" thickBot="1" x14ac:dyDescent="0.3">
      <c r="A75" s="179" t="s">
        <v>125</v>
      </c>
      <c r="B75" s="179">
        <v>199</v>
      </c>
      <c r="C75" s="179">
        <v>21</v>
      </c>
      <c r="D75" s="179">
        <v>133</v>
      </c>
      <c r="E75" s="9">
        <f t="shared" si="1"/>
        <v>8721863</v>
      </c>
      <c r="F75" s="179" t="s">
        <v>413</v>
      </c>
      <c r="G75" s="150" t="s">
        <v>26</v>
      </c>
    </row>
    <row r="76" spans="1:7" ht="14.4" customHeight="1" thickBot="1" x14ac:dyDescent="0.3">
      <c r="A76" s="179" t="s">
        <v>414</v>
      </c>
      <c r="B76" s="179">
        <v>208</v>
      </c>
      <c r="C76" s="179">
        <v>32</v>
      </c>
      <c r="D76" s="179">
        <v>144</v>
      </c>
      <c r="E76" s="9">
        <f t="shared" si="1"/>
        <v>9445584</v>
      </c>
      <c r="F76" s="179" t="s">
        <v>415</v>
      </c>
      <c r="G76" s="235" t="s">
        <v>26</v>
      </c>
    </row>
    <row r="77" spans="1:7" ht="14.4" customHeight="1" thickBot="1" x14ac:dyDescent="0.3">
      <c r="A77" s="179" t="s">
        <v>416</v>
      </c>
      <c r="B77" s="179">
        <v>238</v>
      </c>
      <c r="C77" s="179">
        <v>122</v>
      </c>
      <c r="D77" s="179">
        <v>233</v>
      </c>
      <c r="E77" s="9">
        <f t="shared" si="1"/>
        <v>15301358</v>
      </c>
      <c r="F77" s="179" t="s">
        <v>417</v>
      </c>
      <c r="G77" s="236" t="s">
        <v>26</v>
      </c>
    </row>
    <row r="78" spans="1:7" ht="14.4" customHeight="1" thickBot="1" x14ac:dyDescent="0.3">
      <c r="A78" s="179" t="s">
        <v>418</v>
      </c>
      <c r="B78" s="179">
        <v>218</v>
      </c>
      <c r="C78" s="179">
        <v>112</v>
      </c>
      <c r="D78" s="179">
        <v>214</v>
      </c>
      <c r="E78" s="9">
        <f t="shared" si="1"/>
        <v>14053594</v>
      </c>
      <c r="F78" s="179" t="s">
        <v>419</v>
      </c>
      <c r="G78" s="74" t="s">
        <v>26</v>
      </c>
    </row>
    <row r="79" spans="1:7" ht="14.4" customHeight="1" thickBot="1" x14ac:dyDescent="0.3">
      <c r="A79" s="179" t="s">
        <v>420</v>
      </c>
      <c r="B79" s="179">
        <v>255</v>
      </c>
      <c r="C79" s="179">
        <v>131</v>
      </c>
      <c r="D79" s="179">
        <v>250</v>
      </c>
      <c r="E79" s="9">
        <f t="shared" si="1"/>
        <v>16417791</v>
      </c>
      <c r="F79" s="179" t="s">
        <v>421</v>
      </c>
      <c r="G79" s="237" t="s">
        <v>26</v>
      </c>
    </row>
    <row r="80" spans="1:7" ht="14.4" customHeight="1" thickBot="1" x14ac:dyDescent="0.3">
      <c r="A80" s="179" t="s">
        <v>422</v>
      </c>
      <c r="B80" s="179">
        <v>205</v>
      </c>
      <c r="C80" s="179">
        <v>105</v>
      </c>
      <c r="D80" s="179">
        <v>201</v>
      </c>
      <c r="E80" s="9">
        <f t="shared" si="1"/>
        <v>13199821</v>
      </c>
      <c r="F80" s="179" t="s">
        <v>423</v>
      </c>
      <c r="G80" s="238" t="s">
        <v>26</v>
      </c>
    </row>
    <row r="81" spans="1:7" ht="14.4" customHeight="1" thickBot="1" x14ac:dyDescent="0.3">
      <c r="A81" s="179" t="s">
        <v>424</v>
      </c>
      <c r="B81" s="179">
        <v>139</v>
      </c>
      <c r="C81" s="179">
        <v>71</v>
      </c>
      <c r="D81" s="179">
        <v>137</v>
      </c>
      <c r="E81" s="9">
        <f t="shared" si="1"/>
        <v>8996747</v>
      </c>
      <c r="F81" s="179" t="s">
        <v>425</v>
      </c>
      <c r="G81" s="239" t="s">
        <v>26</v>
      </c>
    </row>
    <row r="82" spans="1:7" ht="14.4" customHeight="1" thickBot="1" x14ac:dyDescent="0.3">
      <c r="A82" s="179" t="s">
        <v>426</v>
      </c>
      <c r="B82" s="179">
        <v>255</v>
      </c>
      <c r="C82" s="179">
        <v>225</v>
      </c>
      <c r="D82" s="179">
        <v>255</v>
      </c>
      <c r="E82" s="9">
        <f t="shared" si="1"/>
        <v>16769535</v>
      </c>
      <c r="F82" s="179" t="s">
        <v>427</v>
      </c>
      <c r="G82" s="240" t="s">
        <v>26</v>
      </c>
    </row>
    <row r="83" spans="1:7" ht="14.4" customHeight="1" thickBot="1" x14ac:dyDescent="0.3">
      <c r="A83" s="179" t="s">
        <v>428</v>
      </c>
      <c r="B83" s="179">
        <v>238</v>
      </c>
      <c r="C83" s="179">
        <v>210</v>
      </c>
      <c r="D83" s="179">
        <v>238</v>
      </c>
      <c r="E83" s="9">
        <f t="shared" si="1"/>
        <v>15651566</v>
      </c>
      <c r="F83" s="179" t="s">
        <v>429</v>
      </c>
      <c r="G83" s="241" t="s">
        <v>26</v>
      </c>
    </row>
    <row r="84" spans="1:7" ht="14.4" customHeight="1" thickBot="1" x14ac:dyDescent="0.3">
      <c r="A84" s="179" t="s">
        <v>430</v>
      </c>
      <c r="B84" s="179">
        <v>255</v>
      </c>
      <c r="C84" s="179">
        <v>187</v>
      </c>
      <c r="D84" s="179">
        <v>255</v>
      </c>
      <c r="E84" s="9">
        <f t="shared" si="1"/>
        <v>16759807</v>
      </c>
      <c r="F84" s="179" t="s">
        <v>431</v>
      </c>
      <c r="G84" s="242" t="s">
        <v>26</v>
      </c>
    </row>
    <row r="85" spans="1:7" ht="14.4" customHeight="1" thickBot="1" x14ac:dyDescent="0.3">
      <c r="A85" s="179" t="s">
        <v>432</v>
      </c>
      <c r="B85" s="179">
        <v>238</v>
      </c>
      <c r="C85" s="179">
        <v>174</v>
      </c>
      <c r="D85" s="179">
        <v>238</v>
      </c>
      <c r="E85" s="9">
        <f t="shared" si="1"/>
        <v>15642350</v>
      </c>
      <c r="F85" s="179" t="s">
        <v>433</v>
      </c>
      <c r="G85" s="243" t="s">
        <v>26</v>
      </c>
    </row>
    <row r="86" spans="1:7" ht="14.4" customHeight="1" thickBot="1" x14ac:dyDescent="0.3">
      <c r="A86" s="179" t="s">
        <v>434</v>
      </c>
      <c r="B86" s="179">
        <v>216</v>
      </c>
      <c r="C86" s="179">
        <v>191</v>
      </c>
      <c r="D86" s="179">
        <v>216</v>
      </c>
      <c r="E86" s="9">
        <f t="shared" si="1"/>
        <v>14204888</v>
      </c>
      <c r="F86" s="179" t="s">
        <v>435</v>
      </c>
      <c r="G86" s="93" t="s">
        <v>26</v>
      </c>
    </row>
    <row r="87" spans="1:7" ht="14.4" customHeight="1" thickBot="1" x14ac:dyDescent="0.3">
      <c r="A87" s="179" t="s">
        <v>436</v>
      </c>
      <c r="B87" s="179">
        <v>205</v>
      </c>
      <c r="C87" s="179">
        <v>181</v>
      </c>
      <c r="D87" s="179">
        <v>205</v>
      </c>
      <c r="E87" s="9">
        <f t="shared" si="1"/>
        <v>13481421</v>
      </c>
      <c r="F87" s="179" t="s">
        <v>437</v>
      </c>
      <c r="G87" s="244" t="s">
        <v>26</v>
      </c>
    </row>
    <row r="88" spans="1:7" ht="14.4" customHeight="1" thickBot="1" x14ac:dyDescent="0.3">
      <c r="A88" s="179" t="s">
        <v>438</v>
      </c>
      <c r="B88" s="179">
        <v>221</v>
      </c>
      <c r="C88" s="179">
        <v>160</v>
      </c>
      <c r="D88" s="179">
        <v>221</v>
      </c>
      <c r="E88" s="9">
        <f t="shared" si="1"/>
        <v>14524637</v>
      </c>
      <c r="F88" s="179" t="s">
        <v>439</v>
      </c>
      <c r="G88" s="82" t="s">
        <v>26</v>
      </c>
    </row>
    <row r="89" spans="1:7" ht="14.4" customHeight="1" thickBot="1" x14ac:dyDescent="0.3">
      <c r="A89" s="179" t="s">
        <v>440</v>
      </c>
      <c r="B89" s="179">
        <v>238</v>
      </c>
      <c r="C89" s="179">
        <v>130</v>
      </c>
      <c r="D89" s="179">
        <v>238</v>
      </c>
      <c r="E89" s="9">
        <f t="shared" si="1"/>
        <v>15631086</v>
      </c>
      <c r="F89" s="179" t="s">
        <v>441</v>
      </c>
      <c r="G89" s="95" t="s">
        <v>26</v>
      </c>
    </row>
    <row r="90" spans="1:7" ht="14.4" customHeight="1" thickBot="1" x14ac:dyDescent="0.3">
      <c r="A90" s="179" t="s">
        <v>442</v>
      </c>
      <c r="B90" s="179">
        <v>205</v>
      </c>
      <c r="C90" s="179">
        <v>150</v>
      </c>
      <c r="D90" s="179">
        <v>205</v>
      </c>
      <c r="E90" s="9">
        <f t="shared" si="1"/>
        <v>13473485</v>
      </c>
      <c r="F90" s="179" t="s">
        <v>443</v>
      </c>
      <c r="G90" s="245" t="s">
        <v>26</v>
      </c>
    </row>
    <row r="91" spans="1:7" ht="14.4" customHeight="1" thickBot="1" x14ac:dyDescent="0.3">
      <c r="A91" s="179" t="s">
        <v>444</v>
      </c>
      <c r="B91" s="179">
        <v>139</v>
      </c>
      <c r="C91" s="179">
        <v>123</v>
      </c>
      <c r="D91" s="179">
        <v>139</v>
      </c>
      <c r="E91" s="9">
        <f t="shared" si="1"/>
        <v>9141131</v>
      </c>
      <c r="F91" s="179" t="s">
        <v>445</v>
      </c>
      <c r="G91" s="246" t="s">
        <v>26</v>
      </c>
    </row>
    <row r="92" spans="1:7" ht="14.4" customHeight="1" thickBot="1" x14ac:dyDescent="0.3">
      <c r="A92" s="179" t="s">
        <v>446</v>
      </c>
      <c r="B92" s="179">
        <v>255</v>
      </c>
      <c r="C92" s="179">
        <v>0</v>
      </c>
      <c r="D92" s="179">
        <v>255</v>
      </c>
      <c r="E92" s="9">
        <f t="shared" si="1"/>
        <v>16711935</v>
      </c>
      <c r="F92" s="179" t="s">
        <v>447</v>
      </c>
      <c r="G92" s="135" t="s">
        <v>26</v>
      </c>
    </row>
    <row r="93" spans="1:7" ht="14.4" customHeight="1" thickBot="1" x14ac:dyDescent="0.3">
      <c r="A93" s="179" t="s">
        <v>448</v>
      </c>
      <c r="B93" s="179">
        <v>255</v>
      </c>
      <c r="C93" s="179">
        <v>0</v>
      </c>
      <c r="D93" s="179">
        <v>255</v>
      </c>
      <c r="E93" s="9">
        <f t="shared" si="1"/>
        <v>16711935</v>
      </c>
      <c r="F93" s="179" t="s">
        <v>447</v>
      </c>
      <c r="G93" s="135" t="s">
        <v>26</v>
      </c>
    </row>
    <row r="94" spans="1:7" ht="14.4" customHeight="1" thickBot="1" x14ac:dyDescent="0.3">
      <c r="A94" s="179" t="s">
        <v>449</v>
      </c>
      <c r="B94" s="179">
        <v>255</v>
      </c>
      <c r="C94" s="179">
        <v>0</v>
      </c>
      <c r="D94" s="179">
        <v>255</v>
      </c>
      <c r="E94" s="9">
        <f t="shared" si="1"/>
        <v>16711935</v>
      </c>
      <c r="F94" s="179" t="s">
        <v>447</v>
      </c>
      <c r="G94" s="135" t="s">
        <v>26</v>
      </c>
    </row>
    <row r="95" spans="1:7" ht="14.4" customHeight="1" thickBot="1" x14ac:dyDescent="0.3">
      <c r="A95" s="179" t="s">
        <v>450</v>
      </c>
      <c r="B95" s="179">
        <v>139</v>
      </c>
      <c r="C95" s="179">
        <v>102</v>
      </c>
      <c r="D95" s="179">
        <v>139</v>
      </c>
      <c r="E95" s="9">
        <f t="shared" si="1"/>
        <v>9135755</v>
      </c>
      <c r="F95" s="179" t="s">
        <v>451</v>
      </c>
      <c r="G95" s="247" t="s">
        <v>26</v>
      </c>
    </row>
    <row r="96" spans="1:7" ht="14.4" customHeight="1" thickBot="1" x14ac:dyDescent="0.3">
      <c r="A96" s="179" t="s">
        <v>452</v>
      </c>
      <c r="B96" s="179">
        <v>238</v>
      </c>
      <c r="C96" s="179">
        <v>0</v>
      </c>
      <c r="D96" s="179">
        <v>238</v>
      </c>
      <c r="E96" s="9">
        <f t="shared" si="1"/>
        <v>15597806</v>
      </c>
      <c r="F96" s="179" t="s">
        <v>453</v>
      </c>
      <c r="G96" s="248" t="s">
        <v>26</v>
      </c>
    </row>
    <row r="97" spans="1:7" ht="14.4" customHeight="1" thickBot="1" x14ac:dyDescent="0.3">
      <c r="A97" s="179" t="s">
        <v>454</v>
      </c>
      <c r="B97" s="179">
        <v>205</v>
      </c>
      <c r="C97" s="179">
        <v>0</v>
      </c>
      <c r="D97" s="179">
        <v>205</v>
      </c>
      <c r="E97" s="9">
        <f t="shared" si="1"/>
        <v>13435085</v>
      </c>
      <c r="F97" s="179" t="s">
        <v>455</v>
      </c>
      <c r="G97" s="249" t="s">
        <v>26</v>
      </c>
    </row>
    <row r="98" spans="1:7" ht="14.4" customHeight="1" thickBot="1" x14ac:dyDescent="0.3">
      <c r="A98" s="179" t="s">
        <v>63</v>
      </c>
      <c r="B98" s="179">
        <v>139</v>
      </c>
      <c r="C98" s="179">
        <v>0</v>
      </c>
      <c r="D98" s="179">
        <v>139</v>
      </c>
      <c r="E98" s="9">
        <f t="shared" si="1"/>
        <v>9109643</v>
      </c>
      <c r="F98" s="179" t="s">
        <v>456</v>
      </c>
      <c r="G98" s="123" t="s">
        <v>26</v>
      </c>
    </row>
    <row r="99" spans="1:7" ht="14.4" customHeight="1" thickBot="1" x14ac:dyDescent="0.3">
      <c r="A99" s="179" t="s">
        <v>457</v>
      </c>
      <c r="B99" s="179">
        <v>139</v>
      </c>
      <c r="C99" s="179">
        <v>0</v>
      </c>
      <c r="D99" s="179">
        <v>139</v>
      </c>
      <c r="E99" s="9">
        <f t="shared" si="1"/>
        <v>9109643</v>
      </c>
      <c r="F99" s="179" t="s">
        <v>456</v>
      </c>
      <c r="G99" s="123" t="s">
        <v>26</v>
      </c>
    </row>
    <row r="100" spans="1:7" ht="14.4" customHeight="1" thickBot="1" x14ac:dyDescent="0.3">
      <c r="A100" s="179" t="s">
        <v>1370</v>
      </c>
      <c r="B100" s="179">
        <v>128</v>
      </c>
      <c r="C100" s="179">
        <v>0</v>
      </c>
      <c r="D100" s="179">
        <v>128</v>
      </c>
      <c r="E100" s="9">
        <f t="shared" si="1"/>
        <v>8388736</v>
      </c>
      <c r="F100" s="179" t="s">
        <v>458</v>
      </c>
      <c r="G100" s="157" t="s">
        <v>26</v>
      </c>
    </row>
    <row r="101" spans="1:7" ht="14.4" customHeight="1" thickBot="1" x14ac:dyDescent="0.3">
      <c r="A101" s="179" t="s">
        <v>119</v>
      </c>
      <c r="B101" s="179">
        <v>186</v>
      </c>
      <c r="C101" s="179">
        <v>85</v>
      </c>
      <c r="D101" s="179">
        <v>211</v>
      </c>
      <c r="E101" s="9">
        <f t="shared" si="1"/>
        <v>13850042</v>
      </c>
      <c r="F101" s="179" t="s">
        <v>459</v>
      </c>
      <c r="G101" s="147" t="s">
        <v>26</v>
      </c>
    </row>
    <row r="102" spans="1:7" ht="14.4" customHeight="1" thickBot="1" x14ac:dyDescent="0.3">
      <c r="A102" s="179" t="s">
        <v>460</v>
      </c>
      <c r="B102" s="179">
        <v>224</v>
      </c>
      <c r="C102" s="179">
        <v>102</v>
      </c>
      <c r="D102" s="179">
        <v>255</v>
      </c>
      <c r="E102" s="9">
        <f t="shared" si="1"/>
        <v>16738016</v>
      </c>
      <c r="F102" s="179" t="s">
        <v>461</v>
      </c>
      <c r="G102" s="250" t="s">
        <v>26</v>
      </c>
    </row>
    <row r="103" spans="1:7" ht="14.4" customHeight="1" thickBot="1" x14ac:dyDescent="0.3">
      <c r="A103" s="179" t="s">
        <v>462</v>
      </c>
      <c r="B103" s="179">
        <v>209</v>
      </c>
      <c r="C103" s="179">
        <v>95</v>
      </c>
      <c r="D103" s="179">
        <v>238</v>
      </c>
      <c r="E103" s="9">
        <f t="shared" si="1"/>
        <v>15622097</v>
      </c>
      <c r="F103" s="179" t="s">
        <v>463</v>
      </c>
      <c r="G103" s="251" t="s">
        <v>26</v>
      </c>
    </row>
    <row r="104" spans="1:7" ht="14.4" customHeight="1" thickBot="1" x14ac:dyDescent="0.3">
      <c r="A104" s="179" t="s">
        <v>464</v>
      </c>
      <c r="B104" s="179">
        <v>180</v>
      </c>
      <c r="C104" s="179">
        <v>82</v>
      </c>
      <c r="D104" s="179">
        <v>205</v>
      </c>
      <c r="E104" s="9">
        <f t="shared" si="1"/>
        <v>13456052</v>
      </c>
      <c r="F104" s="179" t="s">
        <v>465</v>
      </c>
      <c r="G104" s="252" t="s">
        <v>26</v>
      </c>
    </row>
    <row r="105" spans="1:7" ht="14.4" customHeight="1" thickBot="1" x14ac:dyDescent="0.3">
      <c r="A105" s="179" t="s">
        <v>466</v>
      </c>
      <c r="B105" s="179">
        <v>122</v>
      </c>
      <c r="C105" s="179">
        <v>55</v>
      </c>
      <c r="D105" s="179">
        <v>139</v>
      </c>
      <c r="E105" s="9">
        <f t="shared" si="1"/>
        <v>9123706</v>
      </c>
      <c r="F105" s="179" t="s">
        <v>467</v>
      </c>
      <c r="G105" s="253" t="s">
        <v>26</v>
      </c>
    </row>
    <row r="106" spans="1:7" ht="14.4" customHeight="1" thickBot="1" x14ac:dyDescent="0.3">
      <c r="A106" s="179" t="s">
        <v>74</v>
      </c>
      <c r="B106" s="179">
        <v>148</v>
      </c>
      <c r="C106" s="179">
        <v>0</v>
      </c>
      <c r="D106" s="179">
        <v>211</v>
      </c>
      <c r="E106" s="9">
        <f t="shared" si="1"/>
        <v>13828244</v>
      </c>
      <c r="F106" s="179" t="s">
        <v>468</v>
      </c>
      <c r="G106" s="129" t="s">
        <v>26</v>
      </c>
    </row>
    <row r="107" spans="1:7" ht="14.4" customHeight="1" thickBot="1" x14ac:dyDescent="0.3">
      <c r="A107" s="179" t="s">
        <v>66</v>
      </c>
      <c r="B107" s="179">
        <v>153</v>
      </c>
      <c r="C107" s="179">
        <v>50</v>
      </c>
      <c r="D107" s="179">
        <v>204</v>
      </c>
      <c r="E107" s="9">
        <f t="shared" si="1"/>
        <v>13382297</v>
      </c>
      <c r="F107" s="179" t="s">
        <v>469</v>
      </c>
      <c r="G107" s="125" t="s">
        <v>26</v>
      </c>
    </row>
    <row r="108" spans="1:7" ht="14.4" customHeight="1" thickBot="1" x14ac:dyDescent="0.3">
      <c r="A108" s="179" t="s">
        <v>470</v>
      </c>
      <c r="B108" s="179">
        <v>191</v>
      </c>
      <c r="C108" s="179">
        <v>62</v>
      </c>
      <c r="D108" s="179">
        <v>255</v>
      </c>
      <c r="E108" s="9">
        <f t="shared" si="1"/>
        <v>16727743</v>
      </c>
      <c r="F108" s="179" t="s">
        <v>471</v>
      </c>
      <c r="G108" s="254" t="s">
        <v>26</v>
      </c>
    </row>
    <row r="109" spans="1:7" ht="14.4" customHeight="1" thickBot="1" x14ac:dyDescent="0.3">
      <c r="A109" s="179" t="s">
        <v>472</v>
      </c>
      <c r="B109" s="179">
        <v>154</v>
      </c>
      <c r="C109" s="179">
        <v>50</v>
      </c>
      <c r="D109" s="179">
        <v>205</v>
      </c>
      <c r="E109" s="9">
        <f t="shared" si="1"/>
        <v>13447834</v>
      </c>
      <c r="F109" s="179" t="s">
        <v>473</v>
      </c>
      <c r="G109" s="255" t="s">
        <v>26</v>
      </c>
    </row>
    <row r="110" spans="1:7" ht="14.4" customHeight="1" thickBot="1" x14ac:dyDescent="0.3">
      <c r="A110" s="179" t="s">
        <v>474</v>
      </c>
      <c r="B110" s="179">
        <v>178</v>
      </c>
      <c r="C110" s="179">
        <v>58</v>
      </c>
      <c r="D110" s="179">
        <v>238</v>
      </c>
      <c r="E110" s="9">
        <f t="shared" si="1"/>
        <v>15612594</v>
      </c>
      <c r="F110" s="179" t="s">
        <v>475</v>
      </c>
      <c r="G110" s="256" t="s">
        <v>26</v>
      </c>
    </row>
    <row r="111" spans="1:7" ht="14.4" customHeight="1" thickBot="1" x14ac:dyDescent="0.3">
      <c r="A111" s="179" t="s">
        <v>476</v>
      </c>
      <c r="B111" s="179">
        <v>104</v>
      </c>
      <c r="C111" s="179">
        <v>34</v>
      </c>
      <c r="D111" s="179">
        <v>139</v>
      </c>
      <c r="E111" s="9">
        <f t="shared" si="1"/>
        <v>9118312</v>
      </c>
      <c r="F111" s="179" t="s">
        <v>477</v>
      </c>
      <c r="G111" s="257" t="s">
        <v>26</v>
      </c>
    </row>
    <row r="112" spans="1:7" ht="14.4" customHeight="1" thickBot="1" x14ac:dyDescent="0.3">
      <c r="A112" s="179" t="s">
        <v>1373</v>
      </c>
      <c r="B112" s="179">
        <v>160</v>
      </c>
      <c r="C112" s="179">
        <v>32</v>
      </c>
      <c r="D112" s="179">
        <v>240</v>
      </c>
      <c r="E112" s="9">
        <f t="shared" si="1"/>
        <v>15736992</v>
      </c>
      <c r="F112" s="179" t="s">
        <v>478</v>
      </c>
      <c r="G112" s="258" t="s">
        <v>26</v>
      </c>
    </row>
    <row r="113" spans="1:7" ht="14.4" customHeight="1" thickBot="1" x14ac:dyDescent="0.3">
      <c r="A113" s="179" t="s">
        <v>479</v>
      </c>
      <c r="B113" s="179">
        <v>75</v>
      </c>
      <c r="C113" s="179">
        <v>0</v>
      </c>
      <c r="D113" s="179">
        <v>130</v>
      </c>
      <c r="E113" s="9">
        <f t="shared" si="1"/>
        <v>8519755</v>
      </c>
      <c r="F113" s="179" t="s">
        <v>480</v>
      </c>
      <c r="G113" s="143" t="s">
        <v>26</v>
      </c>
    </row>
    <row r="114" spans="1:7" ht="14.4" customHeight="1" thickBot="1" x14ac:dyDescent="0.3">
      <c r="A114" s="179" t="s">
        <v>48</v>
      </c>
      <c r="B114" s="179">
        <v>138</v>
      </c>
      <c r="C114" s="179">
        <v>43</v>
      </c>
      <c r="D114" s="179">
        <v>226</v>
      </c>
      <c r="E114" s="9">
        <f t="shared" si="1"/>
        <v>14822282</v>
      </c>
      <c r="F114" s="179" t="s">
        <v>481</v>
      </c>
      <c r="G114" s="115" t="s">
        <v>26</v>
      </c>
    </row>
    <row r="115" spans="1:7" ht="14.4" customHeight="1" thickBot="1" x14ac:dyDescent="0.3">
      <c r="A115" s="179" t="s">
        <v>482</v>
      </c>
      <c r="B115" s="179">
        <v>145</v>
      </c>
      <c r="C115" s="179">
        <v>44</v>
      </c>
      <c r="D115" s="179">
        <v>238</v>
      </c>
      <c r="E115" s="9">
        <f t="shared" si="1"/>
        <v>15608977</v>
      </c>
      <c r="F115" s="179" t="s">
        <v>483</v>
      </c>
      <c r="G115" s="259" t="s">
        <v>26</v>
      </c>
    </row>
    <row r="116" spans="1:7" ht="14.4" customHeight="1" thickBot="1" x14ac:dyDescent="0.3">
      <c r="A116" s="179" t="s">
        <v>484</v>
      </c>
      <c r="B116" s="179">
        <v>125</v>
      </c>
      <c r="C116" s="179">
        <v>38</v>
      </c>
      <c r="D116" s="179">
        <v>205</v>
      </c>
      <c r="E116" s="9">
        <f t="shared" si="1"/>
        <v>13444733</v>
      </c>
      <c r="F116" s="179" t="s">
        <v>485</v>
      </c>
      <c r="G116" s="260" t="s">
        <v>26</v>
      </c>
    </row>
    <row r="117" spans="1:7" ht="14.4" customHeight="1" thickBot="1" x14ac:dyDescent="0.3">
      <c r="A117" s="179" t="s">
        <v>486</v>
      </c>
      <c r="B117" s="179">
        <v>85</v>
      </c>
      <c r="C117" s="179">
        <v>26</v>
      </c>
      <c r="D117" s="179">
        <v>139</v>
      </c>
      <c r="E117" s="9">
        <f t="shared" si="1"/>
        <v>9116245</v>
      </c>
      <c r="F117" s="179" t="s">
        <v>487</v>
      </c>
      <c r="G117" s="261" t="s">
        <v>26</v>
      </c>
    </row>
    <row r="118" spans="1:7" ht="14.4" customHeight="1" thickBot="1" x14ac:dyDescent="0.3">
      <c r="A118" s="179" t="s">
        <v>488</v>
      </c>
      <c r="B118" s="179">
        <v>155</v>
      </c>
      <c r="C118" s="179">
        <v>48</v>
      </c>
      <c r="D118" s="179">
        <v>255</v>
      </c>
      <c r="E118" s="9">
        <f t="shared" si="1"/>
        <v>16724123</v>
      </c>
      <c r="F118" s="179" t="s">
        <v>489</v>
      </c>
      <c r="G118" s="262" t="s">
        <v>26</v>
      </c>
    </row>
    <row r="119" spans="1:7" ht="14.4" customHeight="1" thickBot="1" x14ac:dyDescent="0.3">
      <c r="A119" s="179" t="s">
        <v>120</v>
      </c>
      <c r="B119" s="179">
        <v>147</v>
      </c>
      <c r="C119" s="179">
        <v>112</v>
      </c>
      <c r="D119" s="179">
        <v>219</v>
      </c>
      <c r="E119" s="9">
        <f t="shared" si="1"/>
        <v>14381203</v>
      </c>
      <c r="F119" s="179" t="s">
        <v>490</v>
      </c>
      <c r="G119" s="148" t="s">
        <v>26</v>
      </c>
    </row>
    <row r="120" spans="1:7" ht="14.4" customHeight="1" thickBot="1" x14ac:dyDescent="0.3">
      <c r="A120" s="179" t="s">
        <v>491</v>
      </c>
      <c r="B120" s="179">
        <v>171</v>
      </c>
      <c r="C120" s="179">
        <v>130</v>
      </c>
      <c r="D120" s="179">
        <v>255</v>
      </c>
      <c r="E120" s="9">
        <f t="shared" si="1"/>
        <v>16745131</v>
      </c>
      <c r="F120" s="179" t="s">
        <v>492</v>
      </c>
      <c r="G120" s="263" t="s">
        <v>26</v>
      </c>
    </row>
    <row r="121" spans="1:7" ht="14.4" customHeight="1" thickBot="1" x14ac:dyDescent="0.3">
      <c r="A121" s="179" t="s">
        <v>493</v>
      </c>
      <c r="B121" s="179">
        <v>159</v>
      </c>
      <c r="C121" s="179">
        <v>121</v>
      </c>
      <c r="D121" s="179">
        <v>238</v>
      </c>
      <c r="E121" s="9">
        <f t="shared" si="1"/>
        <v>15628703</v>
      </c>
      <c r="F121" s="179" t="s">
        <v>494</v>
      </c>
      <c r="G121" s="264" t="s">
        <v>26</v>
      </c>
    </row>
    <row r="122" spans="1:7" ht="14.4" customHeight="1" thickBot="1" x14ac:dyDescent="0.3">
      <c r="A122" s="179" t="s">
        <v>495</v>
      </c>
      <c r="B122" s="179">
        <v>137</v>
      </c>
      <c r="C122" s="179">
        <v>104</v>
      </c>
      <c r="D122" s="179">
        <v>205</v>
      </c>
      <c r="E122" s="9">
        <f t="shared" si="1"/>
        <v>13461641</v>
      </c>
      <c r="F122" s="179" t="s">
        <v>496</v>
      </c>
      <c r="G122" s="265" t="s">
        <v>26</v>
      </c>
    </row>
    <row r="123" spans="1:7" ht="14.4" customHeight="1" thickBot="1" x14ac:dyDescent="0.3">
      <c r="A123" s="179" t="s">
        <v>497</v>
      </c>
      <c r="B123" s="179">
        <v>93</v>
      </c>
      <c r="C123" s="179">
        <v>71</v>
      </c>
      <c r="D123" s="179">
        <v>139</v>
      </c>
      <c r="E123" s="9">
        <f t="shared" si="1"/>
        <v>9127773</v>
      </c>
      <c r="F123" s="179" t="s">
        <v>498</v>
      </c>
      <c r="G123" s="266" t="s">
        <v>26</v>
      </c>
    </row>
    <row r="124" spans="1:7" ht="14.4" customHeight="1" thickBot="1" x14ac:dyDescent="0.3">
      <c r="A124" s="179" t="s">
        <v>70</v>
      </c>
      <c r="B124" s="179">
        <v>72</v>
      </c>
      <c r="C124" s="179">
        <v>61</v>
      </c>
      <c r="D124" s="179">
        <v>139</v>
      </c>
      <c r="E124" s="9">
        <f t="shared" si="1"/>
        <v>9125192</v>
      </c>
      <c r="F124" s="179" t="s">
        <v>499</v>
      </c>
      <c r="G124" s="127" t="s">
        <v>26</v>
      </c>
    </row>
    <row r="125" spans="1:7" ht="14.4" customHeight="1" thickBot="1" x14ac:dyDescent="0.3">
      <c r="A125" s="179" t="s">
        <v>500</v>
      </c>
      <c r="B125" s="179">
        <v>132</v>
      </c>
      <c r="C125" s="179">
        <v>112</v>
      </c>
      <c r="D125" s="179">
        <v>255</v>
      </c>
      <c r="E125" s="9">
        <f t="shared" si="1"/>
        <v>16740484</v>
      </c>
      <c r="F125" s="179" t="s">
        <v>501</v>
      </c>
      <c r="G125" s="267" t="s">
        <v>26</v>
      </c>
    </row>
    <row r="126" spans="1:7" ht="14.4" customHeight="1" thickBot="1" x14ac:dyDescent="0.3">
      <c r="A126" s="179" t="s">
        <v>122</v>
      </c>
      <c r="B126" s="179">
        <v>123</v>
      </c>
      <c r="C126" s="179">
        <v>104</v>
      </c>
      <c r="D126" s="179">
        <v>238</v>
      </c>
      <c r="E126" s="9">
        <f t="shared" si="1"/>
        <v>15624315</v>
      </c>
      <c r="F126" s="179" t="s">
        <v>502</v>
      </c>
      <c r="G126" s="149" t="s">
        <v>26</v>
      </c>
    </row>
    <row r="127" spans="1:7" ht="14.4" customHeight="1" thickBot="1" x14ac:dyDescent="0.3">
      <c r="A127" s="179" t="s">
        <v>156</v>
      </c>
      <c r="B127" s="179">
        <v>106</v>
      </c>
      <c r="C127" s="179">
        <v>90</v>
      </c>
      <c r="D127" s="179">
        <v>205</v>
      </c>
      <c r="E127" s="9">
        <f t="shared" si="1"/>
        <v>13458026</v>
      </c>
      <c r="F127" s="179" t="s">
        <v>503</v>
      </c>
      <c r="G127" s="163" t="s">
        <v>26</v>
      </c>
    </row>
    <row r="128" spans="1:7" ht="14.4" customHeight="1" thickBot="1" x14ac:dyDescent="0.3">
      <c r="A128" s="179" t="s">
        <v>504</v>
      </c>
      <c r="B128" s="179">
        <v>131</v>
      </c>
      <c r="C128" s="179">
        <v>111</v>
      </c>
      <c r="D128" s="179">
        <v>255</v>
      </c>
      <c r="E128" s="9">
        <f t="shared" si="1"/>
        <v>16740227</v>
      </c>
      <c r="F128" s="179" t="s">
        <v>505</v>
      </c>
      <c r="G128" s="268" t="s">
        <v>26</v>
      </c>
    </row>
    <row r="129" spans="1:7" ht="14.4" customHeight="1" thickBot="1" x14ac:dyDescent="0.3">
      <c r="A129" s="179" t="s">
        <v>506</v>
      </c>
      <c r="B129" s="179">
        <v>122</v>
      </c>
      <c r="C129" s="179">
        <v>103</v>
      </c>
      <c r="D129" s="179">
        <v>238</v>
      </c>
      <c r="E129" s="9">
        <f t="shared" si="1"/>
        <v>15624058</v>
      </c>
      <c r="F129" s="179" t="s">
        <v>507</v>
      </c>
      <c r="G129" s="269" t="s">
        <v>26</v>
      </c>
    </row>
    <row r="130" spans="1:7" ht="14.4" customHeight="1" thickBot="1" x14ac:dyDescent="0.3">
      <c r="A130" s="179" t="s">
        <v>508</v>
      </c>
      <c r="B130" s="179">
        <v>105</v>
      </c>
      <c r="C130" s="179">
        <v>89</v>
      </c>
      <c r="D130" s="179">
        <v>205</v>
      </c>
      <c r="E130" s="9">
        <f t="shared" ref="E130:E193" si="2">B130+256*C130+256*256*D130</f>
        <v>13457769</v>
      </c>
      <c r="F130" s="179" t="s">
        <v>509</v>
      </c>
      <c r="G130" s="270" t="s">
        <v>26</v>
      </c>
    </row>
    <row r="131" spans="1:7" ht="14.4" customHeight="1" thickBot="1" x14ac:dyDescent="0.3">
      <c r="A131" s="179" t="s">
        <v>510</v>
      </c>
      <c r="B131" s="179">
        <v>71</v>
      </c>
      <c r="C131" s="179">
        <v>60</v>
      </c>
      <c r="D131" s="179">
        <v>139</v>
      </c>
      <c r="E131" s="9">
        <f t="shared" si="2"/>
        <v>9124935</v>
      </c>
      <c r="F131" s="179" t="s">
        <v>511</v>
      </c>
      <c r="G131" s="271" t="s">
        <v>26</v>
      </c>
    </row>
    <row r="132" spans="1:7" ht="14.4" customHeight="1" thickBot="1" x14ac:dyDescent="0.3">
      <c r="A132" s="179" t="s">
        <v>85</v>
      </c>
      <c r="B132" s="179">
        <v>248</v>
      </c>
      <c r="C132" s="179">
        <v>248</v>
      </c>
      <c r="D132" s="179">
        <v>255</v>
      </c>
      <c r="E132" s="9">
        <f t="shared" si="2"/>
        <v>16775416</v>
      </c>
      <c r="F132" s="179" t="s">
        <v>512</v>
      </c>
      <c r="G132" s="33" t="s">
        <v>26</v>
      </c>
    </row>
    <row r="133" spans="1:7" ht="14.4" customHeight="1" thickBot="1" x14ac:dyDescent="0.3">
      <c r="A133" s="179" t="s">
        <v>513</v>
      </c>
      <c r="B133" s="179">
        <v>230</v>
      </c>
      <c r="C133" s="179">
        <v>230</v>
      </c>
      <c r="D133" s="179">
        <v>250</v>
      </c>
      <c r="E133" s="9">
        <f t="shared" si="2"/>
        <v>16443110</v>
      </c>
      <c r="F133" s="179" t="s">
        <v>514</v>
      </c>
      <c r="G133" s="45" t="s">
        <v>26</v>
      </c>
    </row>
    <row r="134" spans="1:7" ht="14.4" customHeight="1" thickBot="1" x14ac:dyDescent="0.3">
      <c r="A134" s="179" t="s">
        <v>515</v>
      </c>
      <c r="B134" s="179">
        <v>0</v>
      </c>
      <c r="C134" s="179">
        <v>0</v>
      </c>
      <c r="D134" s="179">
        <v>255</v>
      </c>
      <c r="E134" s="9">
        <f t="shared" si="2"/>
        <v>16711680</v>
      </c>
      <c r="F134" s="179" t="s">
        <v>516</v>
      </c>
      <c r="G134" s="114" t="s">
        <v>26</v>
      </c>
    </row>
    <row r="135" spans="1:7" ht="14.4" customHeight="1" thickBot="1" x14ac:dyDescent="0.3">
      <c r="A135" s="179" t="s">
        <v>517</v>
      </c>
      <c r="B135" s="179">
        <v>0</v>
      </c>
      <c r="C135" s="179">
        <v>0</v>
      </c>
      <c r="D135" s="179">
        <v>255</v>
      </c>
      <c r="E135" s="9">
        <f t="shared" si="2"/>
        <v>16711680</v>
      </c>
      <c r="F135" s="179" t="s">
        <v>516</v>
      </c>
      <c r="G135" s="114" t="s">
        <v>26</v>
      </c>
    </row>
    <row r="136" spans="1:7" ht="14.4" customHeight="1" thickBot="1" x14ac:dyDescent="0.3">
      <c r="A136" s="179" t="s">
        <v>518</v>
      </c>
      <c r="B136" s="179">
        <v>0</v>
      </c>
      <c r="C136" s="179">
        <v>0</v>
      </c>
      <c r="D136" s="179">
        <v>238</v>
      </c>
      <c r="E136" s="9">
        <f t="shared" si="2"/>
        <v>15597568</v>
      </c>
      <c r="F136" s="179" t="s">
        <v>519</v>
      </c>
      <c r="G136" s="272" t="s">
        <v>26</v>
      </c>
    </row>
    <row r="137" spans="1:7" ht="14.4" customHeight="1" thickBot="1" x14ac:dyDescent="0.3">
      <c r="A137" s="179" t="s">
        <v>520</v>
      </c>
      <c r="B137" s="179">
        <v>0</v>
      </c>
      <c r="C137" s="179">
        <v>0</v>
      </c>
      <c r="D137" s="179">
        <v>205</v>
      </c>
      <c r="E137" s="9">
        <f t="shared" si="2"/>
        <v>13434880</v>
      </c>
      <c r="F137" s="179" t="s">
        <v>521</v>
      </c>
      <c r="G137" s="146" t="s">
        <v>26</v>
      </c>
    </row>
    <row r="138" spans="1:7" ht="14.4" customHeight="1" thickBot="1" x14ac:dyDescent="0.3">
      <c r="A138" s="179" t="s">
        <v>118</v>
      </c>
      <c r="B138" s="179">
        <v>0</v>
      </c>
      <c r="C138" s="179">
        <v>0</v>
      </c>
      <c r="D138" s="179">
        <v>205</v>
      </c>
      <c r="E138" s="9">
        <f t="shared" si="2"/>
        <v>13434880</v>
      </c>
      <c r="F138" s="179" t="s">
        <v>521</v>
      </c>
      <c r="G138" s="146" t="s">
        <v>26</v>
      </c>
    </row>
    <row r="139" spans="1:7" ht="14.4" customHeight="1" thickBot="1" x14ac:dyDescent="0.3">
      <c r="A139" s="179" t="s">
        <v>522</v>
      </c>
      <c r="B139" s="179">
        <v>0</v>
      </c>
      <c r="C139" s="179">
        <v>0</v>
      </c>
      <c r="D139" s="179">
        <v>139</v>
      </c>
      <c r="E139" s="9">
        <f t="shared" si="2"/>
        <v>9109504</v>
      </c>
      <c r="F139" s="179" t="s">
        <v>523</v>
      </c>
      <c r="G139" s="119" t="s">
        <v>26</v>
      </c>
    </row>
    <row r="140" spans="1:7" ht="14.4" customHeight="1" thickBot="1" x14ac:dyDescent="0.3">
      <c r="A140" s="179" t="s">
        <v>58</v>
      </c>
      <c r="B140" s="179">
        <v>0</v>
      </c>
      <c r="C140" s="179">
        <v>0</v>
      </c>
      <c r="D140" s="179">
        <v>139</v>
      </c>
      <c r="E140" s="9">
        <f t="shared" si="2"/>
        <v>9109504</v>
      </c>
      <c r="F140" s="179" t="s">
        <v>523</v>
      </c>
      <c r="G140" s="119" t="s">
        <v>26</v>
      </c>
    </row>
    <row r="141" spans="1:7" ht="14.4" customHeight="1" thickBot="1" x14ac:dyDescent="0.3">
      <c r="A141" s="179" t="s">
        <v>126</v>
      </c>
      <c r="B141" s="179">
        <v>25</v>
      </c>
      <c r="C141" s="179">
        <v>25</v>
      </c>
      <c r="D141" s="179">
        <v>112</v>
      </c>
      <c r="E141" s="9">
        <f t="shared" si="2"/>
        <v>7346457</v>
      </c>
      <c r="F141" s="179" t="s">
        <v>524</v>
      </c>
      <c r="G141" s="151" t="s">
        <v>26</v>
      </c>
    </row>
    <row r="142" spans="1:7" ht="14.4" customHeight="1" thickBot="1" x14ac:dyDescent="0.3">
      <c r="A142" s="179" t="s">
        <v>525</v>
      </c>
      <c r="B142" s="179">
        <v>0</v>
      </c>
      <c r="C142" s="179">
        <v>0</v>
      </c>
      <c r="D142" s="179">
        <v>128</v>
      </c>
      <c r="E142" s="9">
        <f t="shared" si="2"/>
        <v>8388608</v>
      </c>
      <c r="F142" s="179" t="s">
        <v>526</v>
      </c>
      <c r="G142" s="152" t="s">
        <v>26</v>
      </c>
    </row>
    <row r="143" spans="1:7" ht="14.4" customHeight="1" thickBot="1" x14ac:dyDescent="0.3">
      <c r="A143" s="179" t="s">
        <v>527</v>
      </c>
      <c r="B143" s="179">
        <v>0</v>
      </c>
      <c r="C143" s="179">
        <v>0</v>
      </c>
      <c r="D143" s="179">
        <v>128</v>
      </c>
      <c r="E143" s="9">
        <f t="shared" si="2"/>
        <v>8388608</v>
      </c>
      <c r="F143" s="179" t="s">
        <v>526</v>
      </c>
      <c r="G143" s="152" t="s">
        <v>26</v>
      </c>
    </row>
    <row r="144" spans="1:7" ht="14.4" customHeight="1" thickBot="1" x14ac:dyDescent="0.3">
      <c r="A144" s="179" t="s">
        <v>148</v>
      </c>
      <c r="B144" s="179">
        <v>65</v>
      </c>
      <c r="C144" s="179">
        <v>105</v>
      </c>
      <c r="D144" s="179">
        <v>225</v>
      </c>
      <c r="E144" s="9">
        <f t="shared" si="2"/>
        <v>14772545</v>
      </c>
      <c r="F144" s="179" t="s">
        <v>528</v>
      </c>
      <c r="G144" s="159" t="s">
        <v>26</v>
      </c>
    </row>
    <row r="145" spans="1:7" ht="14.4" customHeight="1" thickBot="1" x14ac:dyDescent="0.3">
      <c r="A145" s="179" t="s">
        <v>529</v>
      </c>
      <c r="B145" s="179">
        <v>72</v>
      </c>
      <c r="C145" s="179">
        <v>118</v>
      </c>
      <c r="D145" s="179">
        <v>255</v>
      </c>
      <c r="E145" s="9">
        <f t="shared" si="2"/>
        <v>16741960</v>
      </c>
      <c r="F145" s="179" t="s">
        <v>530</v>
      </c>
      <c r="G145" s="273" t="s">
        <v>26</v>
      </c>
    </row>
    <row r="146" spans="1:7" ht="14.4" customHeight="1" thickBot="1" x14ac:dyDescent="0.3">
      <c r="A146" s="179" t="s">
        <v>531</v>
      </c>
      <c r="B146" s="179">
        <v>67</v>
      </c>
      <c r="C146" s="179">
        <v>110</v>
      </c>
      <c r="D146" s="179">
        <v>238</v>
      </c>
      <c r="E146" s="9">
        <f t="shared" si="2"/>
        <v>15625795</v>
      </c>
      <c r="F146" s="179" t="s">
        <v>532</v>
      </c>
      <c r="G146" s="274" t="s">
        <v>26</v>
      </c>
    </row>
    <row r="147" spans="1:7" ht="14.4" customHeight="1" thickBot="1" x14ac:dyDescent="0.3">
      <c r="A147" s="179" t="s">
        <v>533</v>
      </c>
      <c r="B147" s="179">
        <v>58</v>
      </c>
      <c r="C147" s="179">
        <v>95</v>
      </c>
      <c r="D147" s="179">
        <v>205</v>
      </c>
      <c r="E147" s="9">
        <f t="shared" si="2"/>
        <v>13459258</v>
      </c>
      <c r="F147" s="179" t="s">
        <v>534</v>
      </c>
      <c r="G147" s="275" t="s">
        <v>26</v>
      </c>
    </row>
    <row r="148" spans="1:7" ht="14.4" customHeight="1" thickBot="1" x14ac:dyDescent="0.3">
      <c r="A148" s="179" t="s">
        <v>535</v>
      </c>
      <c r="B148" s="179">
        <v>39</v>
      </c>
      <c r="C148" s="179">
        <v>64</v>
      </c>
      <c r="D148" s="179">
        <v>139</v>
      </c>
      <c r="E148" s="9">
        <f t="shared" si="2"/>
        <v>9125927</v>
      </c>
      <c r="F148" s="179" t="s">
        <v>536</v>
      </c>
      <c r="G148" s="276" t="s">
        <v>26</v>
      </c>
    </row>
    <row r="149" spans="1:7" ht="14.4" customHeight="1" thickBot="1" x14ac:dyDescent="0.3">
      <c r="A149" s="179" t="s">
        <v>55</v>
      </c>
      <c r="B149" s="179">
        <v>100</v>
      </c>
      <c r="C149" s="179">
        <v>149</v>
      </c>
      <c r="D149" s="179">
        <v>237</v>
      </c>
      <c r="E149" s="9">
        <f t="shared" si="2"/>
        <v>15570276</v>
      </c>
      <c r="F149" s="179" t="s">
        <v>537</v>
      </c>
      <c r="G149" s="22" t="s">
        <v>26</v>
      </c>
    </row>
    <row r="150" spans="1:7" ht="14.4" customHeight="1" thickBot="1" x14ac:dyDescent="0.3">
      <c r="A150" s="179" t="s">
        <v>111</v>
      </c>
      <c r="B150" s="179">
        <v>176</v>
      </c>
      <c r="C150" s="179">
        <v>196</v>
      </c>
      <c r="D150" s="179">
        <v>222</v>
      </c>
      <c r="E150" s="9">
        <f t="shared" si="2"/>
        <v>14599344</v>
      </c>
      <c r="F150" s="179" t="s">
        <v>538</v>
      </c>
      <c r="G150" s="59" t="s">
        <v>26</v>
      </c>
    </row>
    <row r="151" spans="1:7" ht="14.4" customHeight="1" thickBot="1" x14ac:dyDescent="0.3">
      <c r="A151" s="179" t="s">
        <v>539</v>
      </c>
      <c r="B151" s="179">
        <v>202</v>
      </c>
      <c r="C151" s="179">
        <v>225</v>
      </c>
      <c r="D151" s="179">
        <v>255</v>
      </c>
      <c r="E151" s="9">
        <f t="shared" si="2"/>
        <v>16769482</v>
      </c>
      <c r="F151" s="179" t="s">
        <v>540</v>
      </c>
      <c r="G151" s="277" t="s">
        <v>26</v>
      </c>
    </row>
    <row r="152" spans="1:7" ht="14.4" customHeight="1" thickBot="1" x14ac:dyDescent="0.3">
      <c r="A152" s="179" t="s">
        <v>541</v>
      </c>
      <c r="B152" s="179">
        <v>188</v>
      </c>
      <c r="C152" s="179">
        <v>210</v>
      </c>
      <c r="D152" s="179">
        <v>238</v>
      </c>
      <c r="E152" s="9">
        <f t="shared" si="2"/>
        <v>15651516</v>
      </c>
      <c r="F152" s="179" t="s">
        <v>542</v>
      </c>
      <c r="G152" s="278" t="s">
        <v>26</v>
      </c>
    </row>
    <row r="153" spans="1:7" ht="14.4" customHeight="1" thickBot="1" x14ac:dyDescent="0.3">
      <c r="A153" s="179" t="s">
        <v>543</v>
      </c>
      <c r="B153" s="179">
        <v>162</v>
      </c>
      <c r="C153" s="179">
        <v>181</v>
      </c>
      <c r="D153" s="179">
        <v>205</v>
      </c>
      <c r="E153" s="9">
        <f t="shared" si="2"/>
        <v>13481378</v>
      </c>
      <c r="F153" s="179" t="s">
        <v>544</v>
      </c>
      <c r="G153" s="279" t="s">
        <v>26</v>
      </c>
    </row>
    <row r="154" spans="1:7" ht="14.4" customHeight="1" thickBot="1" x14ac:dyDescent="0.3">
      <c r="A154" s="179" t="s">
        <v>545</v>
      </c>
      <c r="B154" s="179">
        <v>110</v>
      </c>
      <c r="C154" s="179">
        <v>123</v>
      </c>
      <c r="D154" s="179">
        <v>139</v>
      </c>
      <c r="E154" s="9">
        <f t="shared" si="2"/>
        <v>9141102</v>
      </c>
      <c r="F154" s="179" t="s">
        <v>546</v>
      </c>
      <c r="G154" s="280" t="s">
        <v>26</v>
      </c>
    </row>
    <row r="155" spans="1:7" ht="14.4" customHeight="1" thickBot="1" x14ac:dyDescent="0.3">
      <c r="A155" s="179" t="s">
        <v>547</v>
      </c>
      <c r="B155" s="179">
        <v>108</v>
      </c>
      <c r="C155" s="179">
        <v>123</v>
      </c>
      <c r="D155" s="179">
        <v>139</v>
      </c>
      <c r="E155" s="9">
        <f t="shared" si="2"/>
        <v>9141100</v>
      </c>
      <c r="F155" s="179" t="s">
        <v>548</v>
      </c>
      <c r="G155" s="281" t="s">
        <v>26</v>
      </c>
    </row>
    <row r="156" spans="1:7" ht="14.4" customHeight="1" thickBot="1" x14ac:dyDescent="0.3">
      <c r="A156" s="179" t="s">
        <v>549</v>
      </c>
      <c r="B156" s="179">
        <v>198</v>
      </c>
      <c r="C156" s="179">
        <v>226</v>
      </c>
      <c r="D156" s="179">
        <v>255</v>
      </c>
      <c r="E156" s="9">
        <f t="shared" si="2"/>
        <v>16769734</v>
      </c>
      <c r="F156" s="179" t="s">
        <v>550</v>
      </c>
      <c r="G156" s="282" t="s">
        <v>26</v>
      </c>
    </row>
    <row r="157" spans="1:7" ht="14.4" customHeight="1" thickBot="1" x14ac:dyDescent="0.3">
      <c r="A157" s="179" t="s">
        <v>551</v>
      </c>
      <c r="B157" s="179">
        <v>185</v>
      </c>
      <c r="C157" s="179">
        <v>211</v>
      </c>
      <c r="D157" s="179">
        <v>238</v>
      </c>
      <c r="E157" s="9">
        <f t="shared" si="2"/>
        <v>15651769</v>
      </c>
      <c r="F157" s="179" t="s">
        <v>552</v>
      </c>
      <c r="G157" s="283" t="s">
        <v>26</v>
      </c>
    </row>
    <row r="158" spans="1:7" ht="14.4" customHeight="1" thickBot="1" x14ac:dyDescent="0.3">
      <c r="A158" s="179" t="s">
        <v>553</v>
      </c>
      <c r="B158" s="179">
        <v>159</v>
      </c>
      <c r="C158" s="179">
        <v>182</v>
      </c>
      <c r="D158" s="179">
        <v>205</v>
      </c>
      <c r="E158" s="9">
        <f t="shared" si="2"/>
        <v>13481631</v>
      </c>
      <c r="F158" s="179" t="s">
        <v>554</v>
      </c>
      <c r="G158" s="284" t="s">
        <v>26</v>
      </c>
    </row>
    <row r="159" spans="1:7" ht="14.4" customHeight="1" thickBot="1" x14ac:dyDescent="0.3">
      <c r="A159" s="179" t="s">
        <v>109</v>
      </c>
      <c r="B159" s="179">
        <v>119</v>
      </c>
      <c r="C159" s="179">
        <v>136</v>
      </c>
      <c r="D159" s="179">
        <v>153</v>
      </c>
      <c r="E159" s="9">
        <f t="shared" si="2"/>
        <v>10061943</v>
      </c>
      <c r="F159" s="179" t="s">
        <v>555</v>
      </c>
      <c r="G159" s="144" t="s">
        <v>26</v>
      </c>
    </row>
    <row r="160" spans="1:7" ht="14.4" customHeight="1" thickBot="1" x14ac:dyDescent="0.3">
      <c r="A160" s="179" t="s">
        <v>110</v>
      </c>
      <c r="B160" s="179">
        <v>119</v>
      </c>
      <c r="C160" s="179">
        <v>136</v>
      </c>
      <c r="D160" s="179">
        <v>153</v>
      </c>
      <c r="E160" s="9">
        <f t="shared" si="2"/>
        <v>10061943</v>
      </c>
      <c r="F160" s="179" t="s">
        <v>555</v>
      </c>
      <c r="G160" s="144" t="s">
        <v>26</v>
      </c>
    </row>
    <row r="161" spans="1:7" ht="14.4" customHeight="1" thickBot="1" x14ac:dyDescent="0.3">
      <c r="A161" s="179" t="s">
        <v>157</v>
      </c>
      <c r="B161" s="179">
        <v>112</v>
      </c>
      <c r="C161" s="179">
        <v>128</v>
      </c>
      <c r="D161" s="179">
        <v>144</v>
      </c>
      <c r="E161" s="9">
        <f t="shared" si="2"/>
        <v>9470064</v>
      </c>
      <c r="F161" s="179" t="s">
        <v>556</v>
      </c>
      <c r="G161" s="164" t="s">
        <v>26</v>
      </c>
    </row>
    <row r="162" spans="1:7" ht="14.4" customHeight="1" thickBot="1" x14ac:dyDescent="0.3">
      <c r="A162" s="179" t="s">
        <v>158</v>
      </c>
      <c r="B162" s="179">
        <v>112</v>
      </c>
      <c r="C162" s="179">
        <v>128</v>
      </c>
      <c r="D162" s="179">
        <v>144</v>
      </c>
      <c r="E162" s="9">
        <f t="shared" si="2"/>
        <v>9470064</v>
      </c>
      <c r="F162" s="179" t="s">
        <v>556</v>
      </c>
      <c r="G162" s="164" t="s">
        <v>26</v>
      </c>
    </row>
    <row r="163" spans="1:7" ht="14.4" customHeight="1" thickBot="1" x14ac:dyDescent="0.3">
      <c r="A163" s="179" t="s">
        <v>79</v>
      </c>
      <c r="B163" s="179">
        <v>30</v>
      </c>
      <c r="C163" s="179">
        <v>144</v>
      </c>
      <c r="D163" s="179">
        <v>255</v>
      </c>
      <c r="E163" s="9">
        <f t="shared" si="2"/>
        <v>16748574</v>
      </c>
      <c r="F163" s="179" t="s">
        <v>557</v>
      </c>
      <c r="G163" s="132" t="s">
        <v>26</v>
      </c>
    </row>
    <row r="164" spans="1:7" ht="14.4" customHeight="1" thickBot="1" x14ac:dyDescent="0.3">
      <c r="A164" s="179" t="s">
        <v>558</v>
      </c>
      <c r="B164" s="179">
        <v>30</v>
      </c>
      <c r="C164" s="179">
        <v>144</v>
      </c>
      <c r="D164" s="179">
        <v>255</v>
      </c>
      <c r="E164" s="9">
        <f t="shared" si="2"/>
        <v>16748574</v>
      </c>
      <c r="F164" s="179" t="s">
        <v>557</v>
      </c>
      <c r="G164" s="132" t="s">
        <v>26</v>
      </c>
    </row>
    <row r="165" spans="1:7" ht="14.4" customHeight="1" thickBot="1" x14ac:dyDescent="0.3">
      <c r="A165" s="179" t="s">
        <v>559</v>
      </c>
      <c r="B165" s="179">
        <v>28</v>
      </c>
      <c r="C165" s="179">
        <v>134</v>
      </c>
      <c r="D165" s="179">
        <v>238</v>
      </c>
      <c r="E165" s="9">
        <f t="shared" si="2"/>
        <v>15631900</v>
      </c>
      <c r="F165" s="179" t="s">
        <v>560</v>
      </c>
      <c r="G165" s="285" t="s">
        <v>26</v>
      </c>
    </row>
    <row r="166" spans="1:7" ht="14.4" customHeight="1" thickBot="1" x14ac:dyDescent="0.3">
      <c r="A166" s="179" t="s">
        <v>561</v>
      </c>
      <c r="B166" s="179">
        <v>16</v>
      </c>
      <c r="C166" s="179">
        <v>78</v>
      </c>
      <c r="D166" s="179">
        <v>139</v>
      </c>
      <c r="E166" s="9">
        <f t="shared" si="2"/>
        <v>9129488</v>
      </c>
      <c r="F166" s="179" t="s">
        <v>562</v>
      </c>
      <c r="G166" s="286" t="s">
        <v>26</v>
      </c>
    </row>
    <row r="167" spans="1:7" ht="14.4" customHeight="1" thickBot="1" x14ac:dyDescent="0.3">
      <c r="A167" s="179" t="s">
        <v>563</v>
      </c>
      <c r="B167" s="179">
        <v>24</v>
      </c>
      <c r="C167" s="179">
        <v>116</v>
      </c>
      <c r="D167" s="179">
        <v>205</v>
      </c>
      <c r="E167" s="9">
        <f t="shared" si="2"/>
        <v>13464600</v>
      </c>
      <c r="F167" s="179" t="s">
        <v>564</v>
      </c>
      <c r="G167" s="287" t="s">
        <v>26</v>
      </c>
    </row>
    <row r="168" spans="1:7" ht="14.4" customHeight="1" thickBot="1" x14ac:dyDescent="0.3">
      <c r="A168" s="179" t="s">
        <v>38</v>
      </c>
      <c r="B168" s="179">
        <v>240</v>
      </c>
      <c r="C168" s="179">
        <v>248</v>
      </c>
      <c r="D168" s="179">
        <v>255</v>
      </c>
      <c r="E168" s="9">
        <f t="shared" si="2"/>
        <v>16775408</v>
      </c>
      <c r="F168" s="179" t="s">
        <v>565</v>
      </c>
      <c r="G168" s="10" t="s">
        <v>26</v>
      </c>
    </row>
    <row r="169" spans="1:7" ht="14.4" customHeight="1" thickBot="1" x14ac:dyDescent="0.3">
      <c r="A169" s="179" t="s">
        <v>566</v>
      </c>
      <c r="B169" s="179">
        <v>54</v>
      </c>
      <c r="C169" s="179">
        <v>100</v>
      </c>
      <c r="D169" s="179">
        <v>139</v>
      </c>
      <c r="E169" s="9">
        <f t="shared" si="2"/>
        <v>9135158</v>
      </c>
      <c r="F169" s="179" t="s">
        <v>567</v>
      </c>
      <c r="G169" s="288" t="s">
        <v>26</v>
      </c>
    </row>
    <row r="170" spans="1:7" ht="14.4" customHeight="1" thickBot="1" x14ac:dyDescent="0.3">
      <c r="A170" s="179" t="s">
        <v>161</v>
      </c>
      <c r="B170" s="179">
        <v>70</v>
      </c>
      <c r="C170" s="179">
        <v>130</v>
      </c>
      <c r="D170" s="179">
        <v>180</v>
      </c>
      <c r="E170" s="9">
        <f t="shared" si="2"/>
        <v>11829830</v>
      </c>
      <c r="F170" s="179" t="s">
        <v>568</v>
      </c>
      <c r="G170" s="165" t="s">
        <v>26</v>
      </c>
    </row>
    <row r="171" spans="1:7" ht="14.4" customHeight="1" thickBot="1" x14ac:dyDescent="0.3">
      <c r="A171" s="179" t="s">
        <v>569</v>
      </c>
      <c r="B171" s="179">
        <v>99</v>
      </c>
      <c r="C171" s="179">
        <v>184</v>
      </c>
      <c r="D171" s="179">
        <v>255</v>
      </c>
      <c r="E171" s="9">
        <f t="shared" si="2"/>
        <v>16758883</v>
      </c>
      <c r="F171" s="179" t="s">
        <v>570</v>
      </c>
      <c r="G171" s="289" t="s">
        <v>26</v>
      </c>
    </row>
    <row r="172" spans="1:7" ht="14.4" customHeight="1" thickBot="1" x14ac:dyDescent="0.3">
      <c r="A172" s="179" t="s">
        <v>571</v>
      </c>
      <c r="B172" s="179">
        <v>92</v>
      </c>
      <c r="C172" s="179">
        <v>172</v>
      </c>
      <c r="D172" s="179">
        <v>238</v>
      </c>
      <c r="E172" s="9">
        <f t="shared" si="2"/>
        <v>15641692</v>
      </c>
      <c r="F172" s="179" t="s">
        <v>572</v>
      </c>
      <c r="G172" s="290" t="s">
        <v>26</v>
      </c>
    </row>
    <row r="173" spans="1:7" ht="14.4" customHeight="1" thickBot="1" x14ac:dyDescent="0.3">
      <c r="A173" s="179" t="s">
        <v>573</v>
      </c>
      <c r="B173" s="179">
        <v>79</v>
      </c>
      <c r="C173" s="179">
        <v>148</v>
      </c>
      <c r="D173" s="179">
        <v>205</v>
      </c>
      <c r="E173" s="9">
        <f t="shared" si="2"/>
        <v>13472847</v>
      </c>
      <c r="F173" s="179" t="s">
        <v>574</v>
      </c>
      <c r="G173" s="291" t="s">
        <v>26</v>
      </c>
    </row>
    <row r="174" spans="1:7" ht="14.4" customHeight="1" thickBot="1" x14ac:dyDescent="0.3">
      <c r="A174" s="179" t="s">
        <v>575</v>
      </c>
      <c r="B174" s="179">
        <v>74</v>
      </c>
      <c r="C174" s="179">
        <v>112</v>
      </c>
      <c r="D174" s="179">
        <v>139</v>
      </c>
      <c r="E174" s="9">
        <f t="shared" si="2"/>
        <v>9138250</v>
      </c>
      <c r="F174" s="179" t="s">
        <v>576</v>
      </c>
      <c r="G174" s="292" t="s">
        <v>26</v>
      </c>
    </row>
    <row r="175" spans="1:7" ht="14.4" customHeight="1" thickBot="1" x14ac:dyDescent="0.3">
      <c r="A175" s="179" t="s">
        <v>577</v>
      </c>
      <c r="B175" s="179">
        <v>135</v>
      </c>
      <c r="C175" s="179">
        <v>206</v>
      </c>
      <c r="D175" s="179">
        <v>255</v>
      </c>
      <c r="E175" s="9">
        <f t="shared" si="2"/>
        <v>16764551</v>
      </c>
      <c r="F175" s="179" t="s">
        <v>578</v>
      </c>
      <c r="G175" s="293" t="s">
        <v>26</v>
      </c>
    </row>
    <row r="176" spans="1:7" ht="14.4" customHeight="1" thickBot="1" x14ac:dyDescent="0.3">
      <c r="A176" s="179" t="s">
        <v>579</v>
      </c>
      <c r="B176" s="179">
        <v>126</v>
      </c>
      <c r="C176" s="179">
        <v>192</v>
      </c>
      <c r="D176" s="179">
        <v>238</v>
      </c>
      <c r="E176" s="9">
        <f t="shared" si="2"/>
        <v>15646846</v>
      </c>
      <c r="F176" s="179" t="s">
        <v>580</v>
      </c>
      <c r="G176" s="294" t="s">
        <v>26</v>
      </c>
    </row>
    <row r="177" spans="1:7" ht="14.4" customHeight="1" thickBot="1" x14ac:dyDescent="0.3">
      <c r="A177" s="179" t="s">
        <v>581</v>
      </c>
      <c r="B177" s="179">
        <v>108</v>
      </c>
      <c r="C177" s="179">
        <v>166</v>
      </c>
      <c r="D177" s="179">
        <v>205</v>
      </c>
      <c r="E177" s="9">
        <f t="shared" si="2"/>
        <v>13477484</v>
      </c>
      <c r="F177" s="179" t="s">
        <v>582</v>
      </c>
      <c r="G177" s="295" t="s">
        <v>26</v>
      </c>
    </row>
    <row r="178" spans="1:7" ht="14.4" customHeight="1" thickBot="1" x14ac:dyDescent="0.3">
      <c r="A178" s="179" t="s">
        <v>108</v>
      </c>
      <c r="B178" s="179">
        <v>135</v>
      </c>
      <c r="C178" s="179">
        <v>206</v>
      </c>
      <c r="D178" s="179">
        <v>250</v>
      </c>
      <c r="E178" s="9">
        <f t="shared" si="2"/>
        <v>16436871</v>
      </c>
      <c r="F178" s="179" t="s">
        <v>583</v>
      </c>
      <c r="G178" s="58" t="s">
        <v>26</v>
      </c>
    </row>
    <row r="179" spans="1:7" ht="14.4" customHeight="1" thickBot="1" x14ac:dyDescent="0.3">
      <c r="A179" s="179" t="s">
        <v>584</v>
      </c>
      <c r="B179" s="179">
        <v>96</v>
      </c>
      <c r="C179" s="179">
        <v>123</v>
      </c>
      <c r="D179" s="179">
        <v>139</v>
      </c>
      <c r="E179" s="9">
        <f t="shared" si="2"/>
        <v>9141088</v>
      </c>
      <c r="F179" s="179" t="s">
        <v>585</v>
      </c>
      <c r="G179" s="296" t="s">
        <v>26</v>
      </c>
    </row>
    <row r="180" spans="1:7" ht="14.4" customHeight="1" thickBot="1" x14ac:dyDescent="0.3">
      <c r="A180" s="179" t="s">
        <v>586</v>
      </c>
      <c r="B180" s="179">
        <v>176</v>
      </c>
      <c r="C180" s="179">
        <v>226</v>
      </c>
      <c r="D180" s="179">
        <v>255</v>
      </c>
      <c r="E180" s="9">
        <f t="shared" si="2"/>
        <v>16769712</v>
      </c>
      <c r="F180" s="179" t="s">
        <v>587</v>
      </c>
      <c r="G180" s="297" t="s">
        <v>26</v>
      </c>
    </row>
    <row r="181" spans="1:7" ht="14.4" customHeight="1" thickBot="1" x14ac:dyDescent="0.3">
      <c r="A181" s="179" t="s">
        <v>588</v>
      </c>
      <c r="B181" s="179">
        <v>164</v>
      </c>
      <c r="C181" s="179">
        <v>211</v>
      </c>
      <c r="D181" s="179">
        <v>238</v>
      </c>
      <c r="E181" s="9">
        <f t="shared" si="2"/>
        <v>15651748</v>
      </c>
      <c r="F181" s="179" t="s">
        <v>589</v>
      </c>
      <c r="G181" s="298" t="s">
        <v>26</v>
      </c>
    </row>
    <row r="182" spans="1:7" ht="14.4" customHeight="1" thickBot="1" x14ac:dyDescent="0.3">
      <c r="A182" s="179" t="s">
        <v>590</v>
      </c>
      <c r="B182" s="179">
        <v>141</v>
      </c>
      <c r="C182" s="179">
        <v>182</v>
      </c>
      <c r="D182" s="179">
        <v>205</v>
      </c>
      <c r="E182" s="9">
        <f t="shared" si="2"/>
        <v>13481613</v>
      </c>
      <c r="F182" s="179" t="s">
        <v>591</v>
      </c>
      <c r="G182" s="299" t="s">
        <v>26</v>
      </c>
    </row>
    <row r="183" spans="1:7" ht="14.4" customHeight="1" thickBot="1" x14ac:dyDescent="0.3">
      <c r="A183" s="179" t="s">
        <v>155</v>
      </c>
      <c r="B183" s="179">
        <v>135</v>
      </c>
      <c r="C183" s="179">
        <v>206</v>
      </c>
      <c r="D183" s="179">
        <v>235</v>
      </c>
      <c r="E183" s="9">
        <f t="shared" si="2"/>
        <v>15453831</v>
      </c>
      <c r="F183" s="179" t="s">
        <v>592</v>
      </c>
      <c r="G183" s="89" t="s">
        <v>26</v>
      </c>
    </row>
    <row r="184" spans="1:7" ht="14.4" customHeight="1" thickBot="1" x14ac:dyDescent="0.3">
      <c r="A184" s="179" t="s">
        <v>593</v>
      </c>
      <c r="B184" s="179">
        <v>154</v>
      </c>
      <c r="C184" s="179">
        <v>192</v>
      </c>
      <c r="D184" s="179">
        <v>205</v>
      </c>
      <c r="E184" s="9">
        <f t="shared" si="2"/>
        <v>13484186</v>
      </c>
      <c r="F184" s="179" t="s">
        <v>594</v>
      </c>
      <c r="G184" s="300" t="s">
        <v>26</v>
      </c>
    </row>
    <row r="185" spans="1:7" ht="14.4" customHeight="1" thickBot="1" x14ac:dyDescent="0.3">
      <c r="A185" s="179" t="s">
        <v>76</v>
      </c>
      <c r="B185" s="179">
        <v>0</v>
      </c>
      <c r="C185" s="179">
        <v>191</v>
      </c>
      <c r="D185" s="179">
        <v>255</v>
      </c>
      <c r="E185" s="9">
        <f t="shared" si="2"/>
        <v>16760576</v>
      </c>
      <c r="F185" s="179" t="s">
        <v>595</v>
      </c>
      <c r="G185" s="30" t="s">
        <v>26</v>
      </c>
    </row>
    <row r="186" spans="1:7" ht="14.4" customHeight="1" thickBot="1" x14ac:dyDescent="0.3">
      <c r="A186" s="179" t="s">
        <v>596</v>
      </c>
      <c r="B186" s="179">
        <v>0</v>
      </c>
      <c r="C186" s="179">
        <v>191</v>
      </c>
      <c r="D186" s="179">
        <v>255</v>
      </c>
      <c r="E186" s="9">
        <f t="shared" si="2"/>
        <v>16760576</v>
      </c>
      <c r="F186" s="179" t="s">
        <v>595</v>
      </c>
      <c r="G186" s="30" t="s">
        <v>26</v>
      </c>
    </row>
    <row r="187" spans="1:7" ht="14.4" customHeight="1" thickBot="1" x14ac:dyDescent="0.3">
      <c r="A187" s="179" t="s">
        <v>597</v>
      </c>
      <c r="B187" s="179">
        <v>0</v>
      </c>
      <c r="C187" s="179">
        <v>178</v>
      </c>
      <c r="D187" s="179">
        <v>238</v>
      </c>
      <c r="E187" s="9">
        <f t="shared" si="2"/>
        <v>15643136</v>
      </c>
      <c r="F187" s="179" t="s">
        <v>598</v>
      </c>
      <c r="G187" s="301" t="s">
        <v>26</v>
      </c>
    </row>
    <row r="188" spans="1:7" ht="14.4" customHeight="1" thickBot="1" x14ac:dyDescent="0.3">
      <c r="A188" s="179" t="s">
        <v>599</v>
      </c>
      <c r="B188" s="179">
        <v>0</v>
      </c>
      <c r="C188" s="179">
        <v>104</v>
      </c>
      <c r="D188" s="179">
        <v>139</v>
      </c>
      <c r="E188" s="9">
        <f t="shared" si="2"/>
        <v>9136128</v>
      </c>
      <c r="F188" s="179" t="s">
        <v>600</v>
      </c>
      <c r="G188" s="302" t="s">
        <v>26</v>
      </c>
    </row>
    <row r="189" spans="1:7" ht="14.4" customHeight="1" thickBot="1" x14ac:dyDescent="0.3">
      <c r="A189" s="179" t="s">
        <v>601</v>
      </c>
      <c r="B189" s="179">
        <v>0</v>
      </c>
      <c r="C189" s="179">
        <v>154</v>
      </c>
      <c r="D189" s="179">
        <v>205</v>
      </c>
      <c r="E189" s="9">
        <f t="shared" si="2"/>
        <v>13474304</v>
      </c>
      <c r="F189" s="179" t="s">
        <v>602</v>
      </c>
      <c r="G189" s="303" t="s">
        <v>26</v>
      </c>
    </row>
    <row r="190" spans="1:7" ht="14.4" customHeight="1" thickBot="1" x14ac:dyDescent="0.3">
      <c r="A190" s="179" t="s">
        <v>603</v>
      </c>
      <c r="B190" s="179">
        <v>191</v>
      </c>
      <c r="C190" s="179">
        <v>239</v>
      </c>
      <c r="D190" s="179">
        <v>255</v>
      </c>
      <c r="E190" s="9">
        <f t="shared" si="2"/>
        <v>16773055</v>
      </c>
      <c r="F190" s="179" t="s">
        <v>604</v>
      </c>
      <c r="G190" s="304" t="s">
        <v>26</v>
      </c>
    </row>
    <row r="191" spans="1:7" ht="14.4" customHeight="1" thickBot="1" x14ac:dyDescent="0.3">
      <c r="A191" s="179" t="s">
        <v>605</v>
      </c>
      <c r="B191" s="179">
        <v>178</v>
      </c>
      <c r="C191" s="179">
        <v>223</v>
      </c>
      <c r="D191" s="179">
        <v>238</v>
      </c>
      <c r="E191" s="9">
        <f t="shared" si="2"/>
        <v>15654834</v>
      </c>
      <c r="F191" s="179" t="s">
        <v>606</v>
      </c>
      <c r="G191" s="305" t="s">
        <v>26</v>
      </c>
    </row>
    <row r="192" spans="1:7" ht="14.4" customHeight="1" thickBot="1" x14ac:dyDescent="0.3">
      <c r="A192" s="179" t="s">
        <v>99</v>
      </c>
      <c r="B192" s="179">
        <v>173</v>
      </c>
      <c r="C192" s="179">
        <v>216</v>
      </c>
      <c r="D192" s="179">
        <v>230</v>
      </c>
      <c r="E192" s="9">
        <f t="shared" si="2"/>
        <v>15128749</v>
      </c>
      <c r="F192" s="179" t="s">
        <v>607</v>
      </c>
      <c r="G192" s="49" t="s">
        <v>26</v>
      </c>
    </row>
    <row r="193" spans="1:7" ht="14.4" customHeight="1" thickBot="1" x14ac:dyDescent="0.3">
      <c r="A193" s="179" t="s">
        <v>608</v>
      </c>
      <c r="B193" s="179">
        <v>104</v>
      </c>
      <c r="C193" s="179">
        <v>131</v>
      </c>
      <c r="D193" s="179">
        <v>139</v>
      </c>
      <c r="E193" s="9">
        <f t="shared" si="2"/>
        <v>9143144</v>
      </c>
      <c r="F193" s="179" t="s">
        <v>609</v>
      </c>
      <c r="G193" s="306" t="s">
        <v>26</v>
      </c>
    </row>
    <row r="194" spans="1:7" ht="14.4" customHeight="1" thickBot="1" x14ac:dyDescent="0.3">
      <c r="A194" s="179" t="s">
        <v>145</v>
      </c>
      <c r="B194" s="179">
        <v>176</v>
      </c>
      <c r="C194" s="179">
        <v>224</v>
      </c>
      <c r="D194" s="179">
        <v>230</v>
      </c>
      <c r="E194" s="9">
        <f t="shared" ref="E194:E257" si="3">B194+256*C194+256*256*D194</f>
        <v>15130800</v>
      </c>
      <c r="F194" s="179" t="s">
        <v>610</v>
      </c>
      <c r="G194" s="83" t="s">
        <v>26</v>
      </c>
    </row>
    <row r="195" spans="1:7" ht="14.4" customHeight="1" thickBot="1" x14ac:dyDescent="0.3">
      <c r="A195" s="179" t="s">
        <v>611</v>
      </c>
      <c r="B195" s="179">
        <v>152</v>
      </c>
      <c r="C195" s="179">
        <v>245</v>
      </c>
      <c r="D195" s="179">
        <v>255</v>
      </c>
      <c r="E195" s="9">
        <f t="shared" si="3"/>
        <v>16774552</v>
      </c>
      <c r="F195" s="179" t="s">
        <v>612</v>
      </c>
      <c r="G195" s="307" t="s">
        <v>26</v>
      </c>
    </row>
    <row r="196" spans="1:7" ht="14.4" customHeight="1" thickBot="1" x14ac:dyDescent="0.3">
      <c r="A196" s="179" t="s">
        <v>613</v>
      </c>
      <c r="B196" s="179">
        <v>142</v>
      </c>
      <c r="C196" s="179">
        <v>229</v>
      </c>
      <c r="D196" s="179">
        <v>238</v>
      </c>
      <c r="E196" s="9">
        <f t="shared" si="3"/>
        <v>15656334</v>
      </c>
      <c r="F196" s="179" t="s">
        <v>614</v>
      </c>
      <c r="G196" s="308" t="s">
        <v>26</v>
      </c>
    </row>
    <row r="197" spans="1:7" ht="14.4" customHeight="1" thickBot="1" x14ac:dyDescent="0.3">
      <c r="A197" s="179" t="s">
        <v>615</v>
      </c>
      <c r="B197" s="179">
        <v>122</v>
      </c>
      <c r="C197" s="179">
        <v>197</v>
      </c>
      <c r="D197" s="179">
        <v>205</v>
      </c>
      <c r="E197" s="9">
        <f t="shared" si="3"/>
        <v>13485434</v>
      </c>
      <c r="F197" s="179" t="s">
        <v>616</v>
      </c>
      <c r="G197" s="309" t="s">
        <v>26</v>
      </c>
    </row>
    <row r="198" spans="1:7" ht="14.4" customHeight="1" thickBot="1" x14ac:dyDescent="0.3">
      <c r="A198" s="179" t="s">
        <v>617</v>
      </c>
      <c r="B198" s="179">
        <v>83</v>
      </c>
      <c r="C198" s="179">
        <v>134</v>
      </c>
      <c r="D198" s="179">
        <v>139</v>
      </c>
      <c r="E198" s="9">
        <f t="shared" si="3"/>
        <v>9143891</v>
      </c>
      <c r="F198" s="179" t="s">
        <v>618</v>
      </c>
      <c r="G198" s="310" t="s">
        <v>26</v>
      </c>
    </row>
    <row r="199" spans="1:7" ht="14.4" customHeight="1" thickBot="1" x14ac:dyDescent="0.3">
      <c r="A199" s="179" t="s">
        <v>619</v>
      </c>
      <c r="B199" s="179">
        <v>0</v>
      </c>
      <c r="C199" s="179">
        <v>245</v>
      </c>
      <c r="D199" s="179">
        <v>255</v>
      </c>
      <c r="E199" s="9">
        <f t="shared" si="3"/>
        <v>16774400</v>
      </c>
      <c r="F199" s="179" t="s">
        <v>620</v>
      </c>
      <c r="G199" s="311" t="s">
        <v>26</v>
      </c>
    </row>
    <row r="200" spans="1:7" ht="14.4" customHeight="1" thickBot="1" x14ac:dyDescent="0.3">
      <c r="A200" s="179" t="s">
        <v>621</v>
      </c>
      <c r="B200" s="179">
        <v>0</v>
      </c>
      <c r="C200" s="179">
        <v>229</v>
      </c>
      <c r="D200" s="179">
        <v>238</v>
      </c>
      <c r="E200" s="9">
        <f t="shared" si="3"/>
        <v>15656192</v>
      </c>
      <c r="F200" s="179" t="s">
        <v>622</v>
      </c>
      <c r="G200" s="312" t="s">
        <v>26</v>
      </c>
    </row>
    <row r="201" spans="1:7" ht="14.4" customHeight="1" thickBot="1" x14ac:dyDescent="0.3">
      <c r="A201" s="179" t="s">
        <v>623</v>
      </c>
      <c r="B201" s="179">
        <v>0</v>
      </c>
      <c r="C201" s="179">
        <v>197</v>
      </c>
      <c r="D201" s="179">
        <v>205</v>
      </c>
      <c r="E201" s="9">
        <f t="shared" si="3"/>
        <v>13485312</v>
      </c>
      <c r="F201" s="179" t="s">
        <v>624</v>
      </c>
      <c r="G201" s="313" t="s">
        <v>26</v>
      </c>
    </row>
    <row r="202" spans="1:7" ht="14.4" customHeight="1" thickBot="1" x14ac:dyDescent="0.3">
      <c r="A202" s="179" t="s">
        <v>625</v>
      </c>
      <c r="B202" s="179">
        <v>0</v>
      </c>
      <c r="C202" s="179">
        <v>134</v>
      </c>
      <c r="D202" s="179">
        <v>139</v>
      </c>
      <c r="E202" s="9">
        <f t="shared" si="3"/>
        <v>9143808</v>
      </c>
      <c r="F202" s="179" t="s">
        <v>626</v>
      </c>
      <c r="G202" s="314" t="s">
        <v>26</v>
      </c>
    </row>
    <row r="203" spans="1:7" ht="14.4" customHeight="1" thickBot="1" x14ac:dyDescent="0.3">
      <c r="A203" s="179" t="s">
        <v>627</v>
      </c>
      <c r="B203" s="179">
        <v>95</v>
      </c>
      <c r="C203" s="179">
        <v>158</v>
      </c>
      <c r="D203" s="179">
        <v>160</v>
      </c>
      <c r="E203" s="9">
        <f t="shared" si="3"/>
        <v>10526303</v>
      </c>
      <c r="F203" s="179" t="s">
        <v>628</v>
      </c>
      <c r="G203" s="19" t="s">
        <v>26</v>
      </c>
    </row>
    <row r="204" spans="1:7" ht="14.4" customHeight="1" thickBot="1" x14ac:dyDescent="0.3">
      <c r="A204" s="179" t="s">
        <v>51</v>
      </c>
      <c r="B204" s="179">
        <v>95</v>
      </c>
      <c r="C204" s="179">
        <v>158</v>
      </c>
      <c r="D204" s="179">
        <v>160</v>
      </c>
      <c r="E204" s="9">
        <f t="shared" si="3"/>
        <v>10526303</v>
      </c>
      <c r="F204" s="179" t="s">
        <v>628</v>
      </c>
      <c r="G204" s="19" t="s">
        <v>26</v>
      </c>
    </row>
    <row r="205" spans="1:7" ht="14.4" customHeight="1" thickBot="1" x14ac:dyDescent="0.3">
      <c r="A205" s="179" t="s">
        <v>73</v>
      </c>
      <c r="B205" s="179">
        <v>0</v>
      </c>
      <c r="C205" s="179">
        <v>206</v>
      </c>
      <c r="D205" s="179">
        <v>209</v>
      </c>
      <c r="E205" s="9">
        <f t="shared" si="3"/>
        <v>13749760</v>
      </c>
      <c r="F205" s="179" t="s">
        <v>629</v>
      </c>
      <c r="G205" s="29" t="s">
        <v>26</v>
      </c>
    </row>
    <row r="206" spans="1:7" ht="14.4" customHeight="1" thickBot="1" x14ac:dyDescent="0.3">
      <c r="A206" s="179" t="s">
        <v>630</v>
      </c>
      <c r="B206" s="179">
        <v>240</v>
      </c>
      <c r="C206" s="179">
        <v>255</v>
      </c>
      <c r="D206" s="179">
        <v>255</v>
      </c>
      <c r="E206" s="9">
        <f t="shared" si="3"/>
        <v>16777200</v>
      </c>
      <c r="F206" s="179" t="s">
        <v>631</v>
      </c>
      <c r="G206" s="14" t="s">
        <v>26</v>
      </c>
    </row>
    <row r="207" spans="1:7" ht="14.4" customHeight="1" thickBot="1" x14ac:dyDescent="0.3">
      <c r="A207" s="179" t="s">
        <v>632</v>
      </c>
      <c r="B207" s="179">
        <v>240</v>
      </c>
      <c r="C207" s="179">
        <v>255</v>
      </c>
      <c r="D207" s="179">
        <v>255</v>
      </c>
      <c r="E207" s="9">
        <f t="shared" si="3"/>
        <v>16777200</v>
      </c>
      <c r="F207" s="179" t="s">
        <v>631</v>
      </c>
      <c r="G207" s="14" t="s">
        <v>26</v>
      </c>
    </row>
    <row r="208" spans="1:7" ht="14.4" customHeight="1" thickBot="1" x14ac:dyDescent="0.3">
      <c r="A208" s="179" t="s">
        <v>101</v>
      </c>
      <c r="B208" s="179">
        <v>224</v>
      </c>
      <c r="C208" s="179">
        <v>255</v>
      </c>
      <c r="D208" s="179">
        <v>255</v>
      </c>
      <c r="E208" s="9">
        <f t="shared" si="3"/>
        <v>16777184</v>
      </c>
      <c r="F208" s="179" t="s">
        <v>633</v>
      </c>
      <c r="G208" s="51" t="s">
        <v>26</v>
      </c>
    </row>
    <row r="209" spans="1:7" ht="14.4" customHeight="1" thickBot="1" x14ac:dyDescent="0.3">
      <c r="A209" s="179" t="s">
        <v>634</v>
      </c>
      <c r="B209" s="179">
        <v>224</v>
      </c>
      <c r="C209" s="179">
        <v>255</v>
      </c>
      <c r="D209" s="179">
        <v>255</v>
      </c>
      <c r="E209" s="9">
        <f t="shared" si="3"/>
        <v>16777184</v>
      </c>
      <c r="F209" s="179" t="s">
        <v>633</v>
      </c>
      <c r="G209" s="51" t="s">
        <v>26</v>
      </c>
    </row>
    <row r="210" spans="1:7" ht="14.4" customHeight="1" thickBot="1" x14ac:dyDescent="0.3">
      <c r="A210" s="179" t="s">
        <v>635</v>
      </c>
      <c r="B210" s="179">
        <v>224</v>
      </c>
      <c r="C210" s="179">
        <v>238</v>
      </c>
      <c r="D210" s="179">
        <v>238</v>
      </c>
      <c r="E210" s="9">
        <f t="shared" si="3"/>
        <v>15658720</v>
      </c>
      <c r="F210" s="179" t="s">
        <v>636</v>
      </c>
      <c r="G210" s="315" t="s">
        <v>26</v>
      </c>
    </row>
    <row r="211" spans="1:7" ht="14.4" customHeight="1" thickBot="1" x14ac:dyDescent="0.3">
      <c r="A211" s="179" t="s">
        <v>637</v>
      </c>
      <c r="B211" s="179">
        <v>209</v>
      </c>
      <c r="C211" s="179">
        <v>238</v>
      </c>
      <c r="D211" s="179">
        <v>238</v>
      </c>
      <c r="E211" s="9">
        <f t="shared" si="3"/>
        <v>15658705</v>
      </c>
      <c r="F211" s="179" t="s">
        <v>638</v>
      </c>
      <c r="G211" s="316" t="s">
        <v>26</v>
      </c>
    </row>
    <row r="212" spans="1:7" ht="14.4" customHeight="1" thickBot="1" x14ac:dyDescent="0.3">
      <c r="A212" s="179" t="s">
        <v>639</v>
      </c>
      <c r="B212" s="179">
        <v>187</v>
      </c>
      <c r="C212" s="179">
        <v>255</v>
      </c>
      <c r="D212" s="179">
        <v>255</v>
      </c>
      <c r="E212" s="9">
        <f t="shared" si="3"/>
        <v>16777147</v>
      </c>
      <c r="F212" s="179" t="s">
        <v>640</v>
      </c>
      <c r="G212" s="317" t="s">
        <v>26</v>
      </c>
    </row>
    <row r="213" spans="1:7" ht="14.4" customHeight="1" thickBot="1" x14ac:dyDescent="0.3">
      <c r="A213" s="179" t="s">
        <v>138</v>
      </c>
      <c r="B213" s="179">
        <v>175</v>
      </c>
      <c r="C213" s="179">
        <v>238</v>
      </c>
      <c r="D213" s="179">
        <v>238</v>
      </c>
      <c r="E213" s="9">
        <f t="shared" si="3"/>
        <v>15658671</v>
      </c>
      <c r="F213" s="179" t="s">
        <v>641</v>
      </c>
      <c r="G213" s="77" t="s">
        <v>26</v>
      </c>
    </row>
    <row r="214" spans="1:7" ht="14.4" customHeight="1" thickBot="1" x14ac:dyDescent="0.3">
      <c r="A214" s="179" t="s">
        <v>642</v>
      </c>
      <c r="B214" s="179">
        <v>174</v>
      </c>
      <c r="C214" s="179">
        <v>238</v>
      </c>
      <c r="D214" s="179">
        <v>238</v>
      </c>
      <c r="E214" s="9">
        <f t="shared" si="3"/>
        <v>15658670</v>
      </c>
      <c r="F214" s="179" t="s">
        <v>643</v>
      </c>
      <c r="G214" s="318" t="s">
        <v>26</v>
      </c>
    </row>
    <row r="215" spans="1:7" ht="14.4" customHeight="1" thickBot="1" x14ac:dyDescent="0.3">
      <c r="A215" s="179" t="s">
        <v>644</v>
      </c>
      <c r="B215" s="179">
        <v>151</v>
      </c>
      <c r="C215" s="179">
        <v>255</v>
      </c>
      <c r="D215" s="179">
        <v>255</v>
      </c>
      <c r="E215" s="9">
        <f t="shared" si="3"/>
        <v>16777111</v>
      </c>
      <c r="F215" s="179" t="s">
        <v>645</v>
      </c>
      <c r="G215" s="319" t="s">
        <v>26</v>
      </c>
    </row>
    <row r="216" spans="1:7" ht="14.4" customHeight="1" thickBot="1" x14ac:dyDescent="0.3">
      <c r="A216" s="179" t="s">
        <v>646</v>
      </c>
      <c r="B216" s="179">
        <v>193</v>
      </c>
      <c r="C216" s="179">
        <v>205</v>
      </c>
      <c r="D216" s="179">
        <v>205</v>
      </c>
      <c r="E216" s="9">
        <f t="shared" si="3"/>
        <v>13487553</v>
      </c>
      <c r="F216" s="179" t="s">
        <v>647</v>
      </c>
      <c r="G216" s="320" t="s">
        <v>26</v>
      </c>
    </row>
    <row r="217" spans="1:7" ht="14.4" customHeight="1" thickBot="1" x14ac:dyDescent="0.3">
      <c r="A217" s="179" t="s">
        <v>648</v>
      </c>
      <c r="B217" s="179">
        <v>180</v>
      </c>
      <c r="C217" s="179">
        <v>205</v>
      </c>
      <c r="D217" s="179">
        <v>205</v>
      </c>
      <c r="E217" s="9">
        <f t="shared" si="3"/>
        <v>13487540</v>
      </c>
      <c r="F217" s="179" t="s">
        <v>649</v>
      </c>
      <c r="G217" s="321" t="s">
        <v>26</v>
      </c>
    </row>
    <row r="218" spans="1:7" ht="14.4" customHeight="1" thickBot="1" x14ac:dyDescent="0.3">
      <c r="A218" s="179" t="s">
        <v>650</v>
      </c>
      <c r="B218" s="179">
        <v>141</v>
      </c>
      <c r="C218" s="179">
        <v>238</v>
      </c>
      <c r="D218" s="179">
        <v>238</v>
      </c>
      <c r="E218" s="9">
        <f t="shared" si="3"/>
        <v>15658637</v>
      </c>
      <c r="F218" s="179" t="s">
        <v>651</v>
      </c>
      <c r="G218" s="322" t="s">
        <v>26</v>
      </c>
    </row>
    <row r="219" spans="1:7" ht="14.4" customHeight="1" thickBot="1" x14ac:dyDescent="0.3">
      <c r="A219" s="179" t="s">
        <v>652</v>
      </c>
      <c r="B219" s="179">
        <v>150</v>
      </c>
      <c r="C219" s="179">
        <v>205</v>
      </c>
      <c r="D219" s="179">
        <v>205</v>
      </c>
      <c r="E219" s="9">
        <f t="shared" si="3"/>
        <v>13487510</v>
      </c>
      <c r="F219" s="179" t="s">
        <v>653</v>
      </c>
      <c r="G219" s="323" t="s">
        <v>26</v>
      </c>
    </row>
    <row r="220" spans="1:7" ht="14.4" customHeight="1" thickBot="1" x14ac:dyDescent="0.3">
      <c r="A220" s="179" t="s">
        <v>654</v>
      </c>
      <c r="B220" s="179">
        <v>121</v>
      </c>
      <c r="C220" s="179">
        <v>205</v>
      </c>
      <c r="D220" s="179">
        <v>205</v>
      </c>
      <c r="E220" s="9">
        <f t="shared" si="3"/>
        <v>13487481</v>
      </c>
      <c r="F220" s="179" t="s">
        <v>655</v>
      </c>
      <c r="G220" s="324" t="s">
        <v>26</v>
      </c>
    </row>
    <row r="221" spans="1:7" ht="14.4" customHeight="1" thickBot="1" x14ac:dyDescent="0.3">
      <c r="A221" s="179" t="s">
        <v>656</v>
      </c>
      <c r="B221" s="179">
        <v>131</v>
      </c>
      <c r="C221" s="179">
        <v>139</v>
      </c>
      <c r="D221" s="179">
        <v>139</v>
      </c>
      <c r="E221" s="9">
        <f t="shared" si="3"/>
        <v>9145219</v>
      </c>
      <c r="F221" s="179" t="s">
        <v>657</v>
      </c>
      <c r="G221" s="325" t="s">
        <v>26</v>
      </c>
    </row>
    <row r="222" spans="1:7" ht="14.4" customHeight="1" thickBot="1" x14ac:dyDescent="0.3">
      <c r="A222" s="179" t="s">
        <v>658</v>
      </c>
      <c r="B222" s="179">
        <v>122</v>
      </c>
      <c r="C222" s="179">
        <v>139</v>
      </c>
      <c r="D222" s="179">
        <v>139</v>
      </c>
      <c r="E222" s="9">
        <f t="shared" si="3"/>
        <v>9145210</v>
      </c>
      <c r="F222" s="179" t="s">
        <v>659</v>
      </c>
      <c r="G222" s="326" t="s">
        <v>26</v>
      </c>
    </row>
    <row r="223" spans="1:7" ht="14.4" customHeight="1" thickBot="1" x14ac:dyDescent="0.3">
      <c r="A223" s="179" t="s">
        <v>660</v>
      </c>
      <c r="B223" s="179">
        <v>0</v>
      </c>
      <c r="C223" s="179">
        <v>255</v>
      </c>
      <c r="D223" s="179">
        <v>255</v>
      </c>
      <c r="E223" s="9">
        <f t="shared" si="3"/>
        <v>16776960</v>
      </c>
      <c r="F223" s="179" t="s">
        <v>661</v>
      </c>
      <c r="G223" s="12" t="s">
        <v>26</v>
      </c>
    </row>
    <row r="224" spans="1:7" ht="14.4" customHeight="1" thickBot="1" x14ac:dyDescent="0.3">
      <c r="A224" s="179" t="s">
        <v>662</v>
      </c>
      <c r="B224" s="179">
        <v>0</v>
      </c>
      <c r="C224" s="179">
        <v>255</v>
      </c>
      <c r="D224" s="179">
        <v>255</v>
      </c>
      <c r="E224" s="9">
        <f t="shared" si="3"/>
        <v>16776960</v>
      </c>
      <c r="F224" s="179" t="s">
        <v>661</v>
      </c>
      <c r="G224" s="12" t="s">
        <v>26</v>
      </c>
    </row>
    <row r="225" spans="1:7" ht="14.4" customHeight="1" thickBot="1" x14ac:dyDescent="0.3">
      <c r="A225" s="179" t="s">
        <v>663</v>
      </c>
      <c r="B225" s="179">
        <v>0</v>
      </c>
      <c r="C225" s="179">
        <v>255</v>
      </c>
      <c r="D225" s="179">
        <v>255</v>
      </c>
      <c r="E225" s="9">
        <f t="shared" si="3"/>
        <v>16776960</v>
      </c>
      <c r="F225" s="179" t="s">
        <v>661</v>
      </c>
      <c r="G225" s="12" t="s">
        <v>26</v>
      </c>
    </row>
    <row r="226" spans="1:7" ht="14.4" customHeight="1" thickBot="1" x14ac:dyDescent="0.3">
      <c r="A226" s="179" t="s">
        <v>664</v>
      </c>
      <c r="B226" s="179">
        <v>102</v>
      </c>
      <c r="C226" s="179">
        <v>139</v>
      </c>
      <c r="D226" s="179">
        <v>139</v>
      </c>
      <c r="E226" s="9">
        <f t="shared" si="3"/>
        <v>9145190</v>
      </c>
      <c r="F226" s="179" t="s">
        <v>665</v>
      </c>
      <c r="G226" s="327" t="s">
        <v>26</v>
      </c>
    </row>
    <row r="227" spans="1:7" ht="14.4" customHeight="1" thickBot="1" x14ac:dyDescent="0.3">
      <c r="A227" s="179" t="s">
        <v>666</v>
      </c>
      <c r="B227" s="179">
        <v>0</v>
      </c>
      <c r="C227" s="179">
        <v>238</v>
      </c>
      <c r="D227" s="179">
        <v>238</v>
      </c>
      <c r="E227" s="9">
        <f t="shared" si="3"/>
        <v>15658496</v>
      </c>
      <c r="F227" s="179" t="s">
        <v>667</v>
      </c>
      <c r="G227" s="328" t="s">
        <v>26</v>
      </c>
    </row>
    <row r="228" spans="1:7" ht="14.4" customHeight="1" thickBot="1" x14ac:dyDescent="0.3">
      <c r="A228" s="179" t="s">
        <v>668</v>
      </c>
      <c r="B228" s="179">
        <v>82</v>
      </c>
      <c r="C228" s="179">
        <v>139</v>
      </c>
      <c r="D228" s="179">
        <v>139</v>
      </c>
      <c r="E228" s="9">
        <f t="shared" si="3"/>
        <v>9145170</v>
      </c>
      <c r="F228" s="179" t="s">
        <v>669</v>
      </c>
      <c r="G228" s="329" t="s">
        <v>26</v>
      </c>
    </row>
    <row r="229" spans="1:7" ht="14.4" customHeight="1" thickBot="1" x14ac:dyDescent="0.3">
      <c r="A229" s="179" t="s">
        <v>670</v>
      </c>
      <c r="B229" s="179">
        <v>0</v>
      </c>
      <c r="C229" s="179">
        <v>205</v>
      </c>
      <c r="D229" s="179">
        <v>205</v>
      </c>
      <c r="E229" s="9">
        <f t="shared" si="3"/>
        <v>13487360</v>
      </c>
      <c r="F229" s="179" t="s">
        <v>671</v>
      </c>
      <c r="G229" s="330" t="s">
        <v>26</v>
      </c>
    </row>
    <row r="230" spans="1:7" ht="14.4" customHeight="1" thickBot="1" x14ac:dyDescent="0.3">
      <c r="A230" s="179" t="s">
        <v>672</v>
      </c>
      <c r="B230" s="179">
        <v>0</v>
      </c>
      <c r="C230" s="179">
        <v>139</v>
      </c>
      <c r="D230" s="179">
        <v>139</v>
      </c>
      <c r="E230" s="9">
        <f t="shared" si="3"/>
        <v>9145088</v>
      </c>
      <c r="F230" s="179" t="s">
        <v>673</v>
      </c>
      <c r="G230" s="120" t="s">
        <v>26</v>
      </c>
    </row>
    <row r="231" spans="1:7" ht="14.4" customHeight="1" thickBot="1" x14ac:dyDescent="0.3">
      <c r="A231" s="179" t="s">
        <v>59</v>
      </c>
      <c r="B231" s="179">
        <v>0</v>
      </c>
      <c r="C231" s="179">
        <v>139</v>
      </c>
      <c r="D231" s="179">
        <v>139</v>
      </c>
      <c r="E231" s="9">
        <f t="shared" si="3"/>
        <v>9145088</v>
      </c>
      <c r="F231" s="179" t="s">
        <v>673</v>
      </c>
      <c r="G231" s="120" t="s">
        <v>26</v>
      </c>
    </row>
    <row r="232" spans="1:7" ht="14.4" customHeight="1" thickBot="1" x14ac:dyDescent="0.3">
      <c r="A232" s="179" t="s">
        <v>674</v>
      </c>
      <c r="B232" s="179">
        <v>0</v>
      </c>
      <c r="C232" s="179">
        <v>128</v>
      </c>
      <c r="D232" s="179">
        <v>128</v>
      </c>
      <c r="E232" s="9">
        <f t="shared" si="3"/>
        <v>8421376</v>
      </c>
      <c r="F232" s="179" t="s">
        <v>675</v>
      </c>
      <c r="G232" s="166" t="s">
        <v>26</v>
      </c>
    </row>
    <row r="233" spans="1:7" ht="14.4" customHeight="1" thickBot="1" x14ac:dyDescent="0.3">
      <c r="A233" s="179" t="s">
        <v>71</v>
      </c>
      <c r="B233" s="179">
        <v>47</v>
      </c>
      <c r="C233" s="179">
        <v>79</v>
      </c>
      <c r="D233" s="179">
        <v>79</v>
      </c>
      <c r="E233" s="9">
        <f t="shared" si="3"/>
        <v>5197615</v>
      </c>
      <c r="F233" s="179" t="s">
        <v>676</v>
      </c>
      <c r="G233" s="128" t="s">
        <v>26</v>
      </c>
    </row>
    <row r="234" spans="1:7" ht="14.4" customHeight="1" thickBot="1" x14ac:dyDescent="0.3">
      <c r="A234" s="179" t="s">
        <v>72</v>
      </c>
      <c r="B234" s="179">
        <v>47</v>
      </c>
      <c r="C234" s="179">
        <v>79</v>
      </c>
      <c r="D234" s="179">
        <v>79</v>
      </c>
      <c r="E234" s="9">
        <f t="shared" si="3"/>
        <v>5197615</v>
      </c>
      <c r="F234" s="179" t="s">
        <v>676</v>
      </c>
      <c r="G234" s="128" t="s">
        <v>26</v>
      </c>
    </row>
    <row r="235" spans="1:7" ht="14.4" customHeight="1" thickBot="1" x14ac:dyDescent="0.3">
      <c r="A235" s="179" t="s">
        <v>124</v>
      </c>
      <c r="B235" s="179">
        <v>72</v>
      </c>
      <c r="C235" s="179">
        <v>209</v>
      </c>
      <c r="D235" s="179">
        <v>204</v>
      </c>
      <c r="E235" s="9">
        <f t="shared" si="3"/>
        <v>13422920</v>
      </c>
      <c r="F235" s="179" t="s">
        <v>677</v>
      </c>
      <c r="G235" s="67" t="s">
        <v>26</v>
      </c>
    </row>
    <row r="236" spans="1:7" ht="14.4" customHeight="1" thickBot="1" x14ac:dyDescent="0.3">
      <c r="A236" s="179" t="s">
        <v>107</v>
      </c>
      <c r="B236" s="179">
        <v>32</v>
      </c>
      <c r="C236" s="179">
        <v>178</v>
      </c>
      <c r="D236" s="179">
        <v>170</v>
      </c>
      <c r="E236" s="9">
        <f t="shared" si="3"/>
        <v>11186720</v>
      </c>
      <c r="F236" s="179" t="s">
        <v>678</v>
      </c>
      <c r="G236" s="57" t="s">
        <v>26</v>
      </c>
    </row>
    <row r="237" spans="1:7" ht="14.4" customHeight="1" thickBot="1" x14ac:dyDescent="0.3">
      <c r="A237" s="179" t="s">
        <v>679</v>
      </c>
      <c r="B237" s="179">
        <v>64</v>
      </c>
      <c r="C237" s="179">
        <v>224</v>
      </c>
      <c r="D237" s="179">
        <v>208</v>
      </c>
      <c r="E237" s="9">
        <f t="shared" si="3"/>
        <v>13688896</v>
      </c>
      <c r="F237" s="179" t="s">
        <v>680</v>
      </c>
      <c r="G237" s="94" t="s">
        <v>26</v>
      </c>
    </row>
    <row r="238" spans="1:7" ht="14.4" customHeight="1" thickBot="1" x14ac:dyDescent="0.3">
      <c r="A238" s="179" t="s">
        <v>681</v>
      </c>
      <c r="B238" s="179">
        <v>69</v>
      </c>
      <c r="C238" s="179">
        <v>139</v>
      </c>
      <c r="D238" s="179">
        <v>116</v>
      </c>
      <c r="E238" s="9">
        <f t="shared" si="3"/>
        <v>7637829</v>
      </c>
      <c r="F238" s="179" t="s">
        <v>682</v>
      </c>
      <c r="G238" s="331" t="s">
        <v>26</v>
      </c>
    </row>
    <row r="239" spans="1:7" ht="14.4" customHeight="1" thickBot="1" x14ac:dyDescent="0.3">
      <c r="A239" s="179" t="s">
        <v>683</v>
      </c>
      <c r="B239" s="179">
        <v>127</v>
      </c>
      <c r="C239" s="179">
        <v>255</v>
      </c>
      <c r="D239" s="179">
        <v>212</v>
      </c>
      <c r="E239" s="9">
        <f t="shared" si="3"/>
        <v>13959039</v>
      </c>
      <c r="F239" s="179" t="s">
        <v>684</v>
      </c>
      <c r="G239" s="13" t="s">
        <v>26</v>
      </c>
    </row>
    <row r="240" spans="1:7" ht="14.4" customHeight="1" thickBot="1" x14ac:dyDescent="0.3">
      <c r="A240" s="179" t="s">
        <v>685</v>
      </c>
      <c r="B240" s="179">
        <v>127</v>
      </c>
      <c r="C240" s="179">
        <v>255</v>
      </c>
      <c r="D240" s="179">
        <v>212</v>
      </c>
      <c r="E240" s="9">
        <f t="shared" si="3"/>
        <v>13959039</v>
      </c>
      <c r="F240" s="179" t="s">
        <v>684</v>
      </c>
      <c r="G240" s="13" t="s">
        <v>26</v>
      </c>
    </row>
    <row r="241" spans="1:7" ht="14.4" customHeight="1" thickBot="1" x14ac:dyDescent="0.3">
      <c r="A241" s="179" t="s">
        <v>686</v>
      </c>
      <c r="B241" s="179">
        <v>118</v>
      </c>
      <c r="C241" s="179">
        <v>238</v>
      </c>
      <c r="D241" s="179">
        <v>198</v>
      </c>
      <c r="E241" s="9">
        <f t="shared" si="3"/>
        <v>13037174</v>
      </c>
      <c r="F241" s="179" t="s">
        <v>687</v>
      </c>
      <c r="G241" s="332" t="s">
        <v>26</v>
      </c>
    </row>
    <row r="242" spans="1:7" ht="14.4" customHeight="1" thickBot="1" x14ac:dyDescent="0.3">
      <c r="A242" s="179" t="s">
        <v>688</v>
      </c>
      <c r="B242" s="179">
        <v>102</v>
      </c>
      <c r="C242" s="179">
        <v>205</v>
      </c>
      <c r="D242" s="179">
        <v>170</v>
      </c>
      <c r="E242" s="9">
        <f t="shared" si="3"/>
        <v>11193702</v>
      </c>
      <c r="F242" s="179" t="s">
        <v>689</v>
      </c>
      <c r="G242" s="64" t="s">
        <v>26</v>
      </c>
    </row>
    <row r="243" spans="1:7" ht="14.4" customHeight="1" thickBot="1" x14ac:dyDescent="0.3">
      <c r="A243" s="179" t="s">
        <v>176</v>
      </c>
      <c r="B243" s="179">
        <v>102</v>
      </c>
      <c r="C243" s="179">
        <v>205</v>
      </c>
      <c r="D243" s="179">
        <v>170</v>
      </c>
      <c r="E243" s="9">
        <f t="shared" si="3"/>
        <v>11193702</v>
      </c>
      <c r="F243" s="179" t="s">
        <v>689</v>
      </c>
      <c r="G243" s="64" t="s">
        <v>26</v>
      </c>
    </row>
    <row r="244" spans="1:7" ht="14.4" customHeight="1" thickBot="1" x14ac:dyDescent="0.3">
      <c r="A244" s="179" t="s">
        <v>123</v>
      </c>
      <c r="B244" s="179">
        <v>0</v>
      </c>
      <c r="C244" s="179">
        <v>250</v>
      </c>
      <c r="D244" s="179">
        <v>154</v>
      </c>
      <c r="E244" s="9">
        <f t="shared" si="3"/>
        <v>10156544</v>
      </c>
      <c r="F244" s="179" t="s">
        <v>690</v>
      </c>
      <c r="G244" s="66" t="s">
        <v>26</v>
      </c>
    </row>
    <row r="245" spans="1:7" ht="14.4" customHeight="1" thickBot="1" x14ac:dyDescent="0.3">
      <c r="A245" s="179" t="s">
        <v>127</v>
      </c>
      <c r="B245" s="179">
        <v>245</v>
      </c>
      <c r="C245" s="179">
        <v>255</v>
      </c>
      <c r="D245" s="179">
        <v>250</v>
      </c>
      <c r="E245" s="9">
        <f t="shared" si="3"/>
        <v>16449525</v>
      </c>
      <c r="F245" s="179" t="s">
        <v>691</v>
      </c>
      <c r="G245" s="68" t="s">
        <v>26</v>
      </c>
    </row>
    <row r="246" spans="1:7" ht="14.4" customHeight="1" thickBot="1" x14ac:dyDescent="0.3">
      <c r="A246" s="179" t="s">
        <v>160</v>
      </c>
      <c r="B246" s="179">
        <v>0</v>
      </c>
      <c r="C246" s="179">
        <v>255</v>
      </c>
      <c r="D246" s="179">
        <v>127</v>
      </c>
      <c r="E246" s="9">
        <f t="shared" si="3"/>
        <v>8388352</v>
      </c>
      <c r="F246" s="179" t="s">
        <v>692</v>
      </c>
      <c r="G246" s="91" t="s">
        <v>26</v>
      </c>
    </row>
    <row r="247" spans="1:7" ht="14.4" customHeight="1" thickBot="1" x14ac:dyDescent="0.3">
      <c r="A247" s="179" t="s">
        <v>693</v>
      </c>
      <c r="B247" s="179">
        <v>0</v>
      </c>
      <c r="C247" s="179">
        <v>255</v>
      </c>
      <c r="D247" s="179">
        <v>127</v>
      </c>
      <c r="E247" s="9">
        <f t="shared" si="3"/>
        <v>8388352</v>
      </c>
      <c r="F247" s="179" t="s">
        <v>692</v>
      </c>
      <c r="G247" s="91" t="s">
        <v>26</v>
      </c>
    </row>
    <row r="248" spans="1:7" ht="14.4" customHeight="1" thickBot="1" x14ac:dyDescent="0.3">
      <c r="A248" s="179" t="s">
        <v>694</v>
      </c>
      <c r="B248" s="179">
        <v>0</v>
      </c>
      <c r="C248" s="179">
        <v>238</v>
      </c>
      <c r="D248" s="179">
        <v>118</v>
      </c>
      <c r="E248" s="9">
        <f t="shared" si="3"/>
        <v>7794176</v>
      </c>
      <c r="F248" s="179" t="s">
        <v>695</v>
      </c>
      <c r="G248" s="333" t="s">
        <v>26</v>
      </c>
    </row>
    <row r="249" spans="1:7" ht="14.4" customHeight="1" thickBot="1" x14ac:dyDescent="0.3">
      <c r="A249" s="179" t="s">
        <v>696</v>
      </c>
      <c r="B249" s="179">
        <v>0</v>
      </c>
      <c r="C249" s="179">
        <v>205</v>
      </c>
      <c r="D249" s="179">
        <v>102</v>
      </c>
      <c r="E249" s="9">
        <f t="shared" si="3"/>
        <v>6737152</v>
      </c>
      <c r="F249" s="179" t="s">
        <v>697</v>
      </c>
      <c r="G249" s="334" t="s">
        <v>26</v>
      </c>
    </row>
    <row r="250" spans="1:7" ht="14.4" customHeight="1" thickBot="1" x14ac:dyDescent="0.3">
      <c r="A250" s="179" t="s">
        <v>698</v>
      </c>
      <c r="B250" s="179">
        <v>0</v>
      </c>
      <c r="C250" s="179">
        <v>139</v>
      </c>
      <c r="D250" s="179">
        <v>69</v>
      </c>
      <c r="E250" s="9">
        <f t="shared" si="3"/>
        <v>4557568</v>
      </c>
      <c r="F250" s="179" t="s">
        <v>699</v>
      </c>
      <c r="G250" s="335" t="s">
        <v>26</v>
      </c>
    </row>
    <row r="251" spans="1:7" ht="14.4" customHeight="1" thickBot="1" x14ac:dyDescent="0.3">
      <c r="A251" s="179" t="s">
        <v>121</v>
      </c>
      <c r="B251" s="179">
        <v>60</v>
      </c>
      <c r="C251" s="179">
        <v>179</v>
      </c>
      <c r="D251" s="179">
        <v>113</v>
      </c>
      <c r="E251" s="9">
        <f t="shared" si="3"/>
        <v>7451452</v>
      </c>
      <c r="F251" s="179" t="s">
        <v>700</v>
      </c>
      <c r="G251" s="65" t="s">
        <v>26</v>
      </c>
    </row>
    <row r="252" spans="1:7" ht="14.4" customHeight="1" thickBot="1" x14ac:dyDescent="0.3">
      <c r="A252" s="179" t="s">
        <v>152</v>
      </c>
      <c r="B252" s="179">
        <v>46</v>
      </c>
      <c r="C252" s="179">
        <v>139</v>
      </c>
      <c r="D252" s="179">
        <v>87</v>
      </c>
      <c r="E252" s="9">
        <f t="shared" si="3"/>
        <v>5737262</v>
      </c>
      <c r="F252" s="179" t="s">
        <v>701</v>
      </c>
      <c r="G252" s="161" t="s">
        <v>26</v>
      </c>
    </row>
    <row r="253" spans="1:7" ht="14.4" customHeight="1" thickBot="1" x14ac:dyDescent="0.3">
      <c r="A253" s="179" t="s">
        <v>702</v>
      </c>
      <c r="B253" s="179">
        <v>67</v>
      </c>
      <c r="C253" s="179">
        <v>205</v>
      </c>
      <c r="D253" s="179">
        <v>128</v>
      </c>
      <c r="E253" s="9">
        <f t="shared" si="3"/>
        <v>8441155</v>
      </c>
      <c r="F253" s="179" t="s">
        <v>703</v>
      </c>
      <c r="G253" s="336" t="s">
        <v>26</v>
      </c>
    </row>
    <row r="254" spans="1:7" ht="14.4" customHeight="1" thickBot="1" x14ac:dyDescent="0.3">
      <c r="A254" s="179" t="s">
        <v>704</v>
      </c>
      <c r="B254" s="179">
        <v>84</v>
      </c>
      <c r="C254" s="179">
        <v>255</v>
      </c>
      <c r="D254" s="179">
        <v>159</v>
      </c>
      <c r="E254" s="9">
        <f t="shared" si="3"/>
        <v>10485588</v>
      </c>
      <c r="F254" s="179" t="s">
        <v>705</v>
      </c>
      <c r="G254" s="337" t="s">
        <v>26</v>
      </c>
    </row>
    <row r="255" spans="1:7" ht="14.4" customHeight="1" thickBot="1" x14ac:dyDescent="0.3">
      <c r="A255" s="179" t="s">
        <v>706</v>
      </c>
      <c r="B255" s="179">
        <v>46</v>
      </c>
      <c r="C255" s="179">
        <v>139</v>
      </c>
      <c r="D255" s="179">
        <v>87</v>
      </c>
      <c r="E255" s="9">
        <f t="shared" si="3"/>
        <v>5737262</v>
      </c>
      <c r="F255" s="179" t="s">
        <v>701</v>
      </c>
      <c r="G255" s="161" t="s">
        <v>26</v>
      </c>
    </row>
    <row r="256" spans="1:7" ht="14.4" customHeight="1" thickBot="1" x14ac:dyDescent="0.3">
      <c r="A256" s="179" t="s">
        <v>707</v>
      </c>
      <c r="B256" s="179">
        <v>78</v>
      </c>
      <c r="C256" s="179">
        <v>238</v>
      </c>
      <c r="D256" s="179">
        <v>148</v>
      </c>
      <c r="E256" s="9">
        <f t="shared" si="3"/>
        <v>9760334</v>
      </c>
      <c r="F256" s="179" t="s">
        <v>708</v>
      </c>
      <c r="G256" s="338" t="s">
        <v>26</v>
      </c>
    </row>
    <row r="257" spans="1:7" ht="14.4" customHeight="1" thickBot="1" x14ac:dyDescent="0.3">
      <c r="A257" s="179" t="s">
        <v>709</v>
      </c>
      <c r="B257" s="179">
        <v>50</v>
      </c>
      <c r="C257" s="179">
        <v>129</v>
      </c>
      <c r="D257" s="179">
        <v>75</v>
      </c>
      <c r="E257" s="9">
        <f t="shared" si="3"/>
        <v>4948274</v>
      </c>
      <c r="F257" s="179" t="s">
        <v>710</v>
      </c>
      <c r="G257" s="339" t="s">
        <v>26</v>
      </c>
    </row>
    <row r="258" spans="1:7" ht="14.4" customHeight="1" thickBot="1" x14ac:dyDescent="0.3">
      <c r="A258" s="179" t="s">
        <v>711</v>
      </c>
      <c r="B258" s="179">
        <v>240</v>
      </c>
      <c r="C258" s="179">
        <v>255</v>
      </c>
      <c r="D258" s="179">
        <v>240</v>
      </c>
      <c r="E258" s="9">
        <f t="shared" ref="E258:E321" si="4">B258+256*C258+256*256*D258</f>
        <v>15794160</v>
      </c>
      <c r="F258" s="179" t="s">
        <v>712</v>
      </c>
      <c r="G258" s="41" t="s">
        <v>26</v>
      </c>
    </row>
    <row r="259" spans="1:7" ht="14.4" customHeight="1" thickBot="1" x14ac:dyDescent="0.3">
      <c r="A259" s="179" t="s">
        <v>713</v>
      </c>
      <c r="B259" s="179">
        <v>240</v>
      </c>
      <c r="C259" s="179">
        <v>255</v>
      </c>
      <c r="D259" s="179">
        <v>240</v>
      </c>
      <c r="E259" s="9">
        <f t="shared" si="4"/>
        <v>15794160</v>
      </c>
      <c r="F259" s="179" t="s">
        <v>712</v>
      </c>
      <c r="G259" s="41" t="s">
        <v>26</v>
      </c>
    </row>
    <row r="260" spans="1:7" ht="14.4" customHeight="1" thickBot="1" x14ac:dyDescent="0.3">
      <c r="A260" s="179" t="s">
        <v>714</v>
      </c>
      <c r="B260" s="179">
        <v>224</v>
      </c>
      <c r="C260" s="179">
        <v>238</v>
      </c>
      <c r="D260" s="179">
        <v>224</v>
      </c>
      <c r="E260" s="9">
        <f t="shared" si="4"/>
        <v>14741216</v>
      </c>
      <c r="F260" s="179" t="s">
        <v>715</v>
      </c>
      <c r="G260" s="340" t="s">
        <v>26</v>
      </c>
    </row>
    <row r="261" spans="1:7" ht="14.4" customHeight="1" thickBot="1" x14ac:dyDescent="0.3">
      <c r="A261" s="179" t="s">
        <v>716</v>
      </c>
      <c r="B261" s="179">
        <v>193</v>
      </c>
      <c r="C261" s="179">
        <v>255</v>
      </c>
      <c r="D261" s="179">
        <v>193</v>
      </c>
      <c r="E261" s="9">
        <f t="shared" si="4"/>
        <v>12713921</v>
      </c>
      <c r="F261" s="179" t="s">
        <v>717</v>
      </c>
      <c r="G261" s="341" t="s">
        <v>26</v>
      </c>
    </row>
    <row r="262" spans="1:7" ht="14.4" customHeight="1" thickBot="1" x14ac:dyDescent="0.3">
      <c r="A262" s="179" t="s">
        <v>718</v>
      </c>
      <c r="B262" s="179">
        <v>180</v>
      </c>
      <c r="C262" s="179">
        <v>238</v>
      </c>
      <c r="D262" s="179">
        <v>180</v>
      </c>
      <c r="E262" s="9">
        <f t="shared" si="4"/>
        <v>11857588</v>
      </c>
      <c r="F262" s="179" t="s">
        <v>719</v>
      </c>
      <c r="G262" s="342" t="s">
        <v>26</v>
      </c>
    </row>
    <row r="263" spans="1:7" ht="14.4" customHeight="1" thickBot="1" x14ac:dyDescent="0.3">
      <c r="A263" s="179" t="s">
        <v>720</v>
      </c>
      <c r="B263" s="179">
        <v>154</v>
      </c>
      <c r="C263" s="179">
        <v>255</v>
      </c>
      <c r="D263" s="179">
        <v>154</v>
      </c>
      <c r="E263" s="9">
        <f t="shared" si="4"/>
        <v>10157978</v>
      </c>
      <c r="F263" s="179" t="s">
        <v>721</v>
      </c>
      <c r="G263" s="343" t="s">
        <v>26</v>
      </c>
    </row>
    <row r="264" spans="1:7" ht="14.4" customHeight="1" thickBot="1" x14ac:dyDescent="0.3">
      <c r="A264" s="179" t="s">
        <v>37</v>
      </c>
      <c r="B264" s="179">
        <v>152</v>
      </c>
      <c r="C264" s="179">
        <v>251</v>
      </c>
      <c r="D264" s="179">
        <v>152</v>
      </c>
      <c r="E264" s="9">
        <f t="shared" si="4"/>
        <v>10025880</v>
      </c>
      <c r="F264" s="179" t="s">
        <v>722</v>
      </c>
      <c r="G264" s="76" t="s">
        <v>26</v>
      </c>
    </row>
    <row r="265" spans="1:7" ht="14.4" customHeight="1" thickBot="1" x14ac:dyDescent="0.3">
      <c r="A265" s="179" t="s">
        <v>723</v>
      </c>
      <c r="B265" s="179">
        <v>193</v>
      </c>
      <c r="C265" s="179">
        <v>205</v>
      </c>
      <c r="D265" s="179">
        <v>193</v>
      </c>
      <c r="E265" s="9">
        <f t="shared" si="4"/>
        <v>12701121</v>
      </c>
      <c r="F265" s="179" t="s">
        <v>724</v>
      </c>
      <c r="G265" s="344" t="s">
        <v>26</v>
      </c>
    </row>
    <row r="266" spans="1:7" ht="14.4" customHeight="1" thickBot="1" x14ac:dyDescent="0.3">
      <c r="A266" s="179" t="s">
        <v>103</v>
      </c>
      <c r="B266" s="179">
        <v>144</v>
      </c>
      <c r="C266" s="179">
        <v>238</v>
      </c>
      <c r="D266" s="179">
        <v>144</v>
      </c>
      <c r="E266" s="9">
        <f t="shared" si="4"/>
        <v>9498256</v>
      </c>
      <c r="F266" s="179" t="s">
        <v>725</v>
      </c>
      <c r="G266" s="54" t="s">
        <v>26</v>
      </c>
    </row>
    <row r="267" spans="1:7" ht="14.4" customHeight="1" thickBot="1" x14ac:dyDescent="0.3">
      <c r="A267" s="179" t="s">
        <v>726</v>
      </c>
      <c r="B267" s="179">
        <v>144</v>
      </c>
      <c r="C267" s="179">
        <v>238</v>
      </c>
      <c r="D267" s="179">
        <v>144</v>
      </c>
      <c r="E267" s="9">
        <f t="shared" si="4"/>
        <v>9498256</v>
      </c>
      <c r="F267" s="179" t="s">
        <v>725</v>
      </c>
      <c r="G267" s="54" t="s">
        <v>26</v>
      </c>
    </row>
    <row r="268" spans="1:7" ht="14.4" customHeight="1" thickBot="1" x14ac:dyDescent="0.3">
      <c r="A268" s="179" t="s">
        <v>727</v>
      </c>
      <c r="B268" s="179">
        <v>155</v>
      </c>
      <c r="C268" s="179">
        <v>205</v>
      </c>
      <c r="D268" s="179">
        <v>155</v>
      </c>
      <c r="E268" s="9">
        <f t="shared" si="4"/>
        <v>10210715</v>
      </c>
      <c r="F268" s="179" t="s">
        <v>728</v>
      </c>
      <c r="G268" s="345" t="s">
        <v>26</v>
      </c>
    </row>
    <row r="269" spans="1:7" ht="14.4" customHeight="1" thickBot="1" x14ac:dyDescent="0.3">
      <c r="A269" s="179" t="s">
        <v>69</v>
      </c>
      <c r="B269" s="179">
        <v>143</v>
      </c>
      <c r="C269" s="179">
        <v>188</v>
      </c>
      <c r="D269" s="179">
        <v>143</v>
      </c>
      <c r="E269" s="9">
        <f t="shared" si="4"/>
        <v>9419919</v>
      </c>
      <c r="F269" s="179" t="s">
        <v>729</v>
      </c>
      <c r="G269" s="28" t="s">
        <v>26</v>
      </c>
    </row>
    <row r="270" spans="1:7" ht="14.4" customHeight="1" thickBot="1" x14ac:dyDescent="0.3">
      <c r="A270" s="179" t="s">
        <v>730</v>
      </c>
      <c r="B270" s="179">
        <v>124</v>
      </c>
      <c r="C270" s="179">
        <v>205</v>
      </c>
      <c r="D270" s="179">
        <v>124</v>
      </c>
      <c r="E270" s="9">
        <f t="shared" si="4"/>
        <v>8179068</v>
      </c>
      <c r="F270" s="179" t="s">
        <v>731</v>
      </c>
      <c r="G270" s="346" t="s">
        <v>26</v>
      </c>
    </row>
    <row r="271" spans="1:7" ht="14.4" customHeight="1" thickBot="1" x14ac:dyDescent="0.3">
      <c r="A271" s="179" t="s">
        <v>732</v>
      </c>
      <c r="B271" s="179">
        <v>131</v>
      </c>
      <c r="C271" s="179">
        <v>139</v>
      </c>
      <c r="D271" s="179">
        <v>131</v>
      </c>
      <c r="E271" s="9">
        <f t="shared" si="4"/>
        <v>8620931</v>
      </c>
      <c r="F271" s="179" t="s">
        <v>733</v>
      </c>
      <c r="G271" s="347" t="s">
        <v>26</v>
      </c>
    </row>
    <row r="272" spans="1:7" ht="14.4" customHeight="1" thickBot="1" x14ac:dyDescent="0.3">
      <c r="A272" s="179" t="s">
        <v>734</v>
      </c>
      <c r="B272" s="179">
        <v>0</v>
      </c>
      <c r="C272" s="179">
        <v>255</v>
      </c>
      <c r="D272" s="179">
        <v>0</v>
      </c>
      <c r="E272" s="9">
        <f t="shared" si="4"/>
        <v>65280</v>
      </c>
      <c r="F272" s="179" t="s">
        <v>735</v>
      </c>
      <c r="G272" s="61" t="s">
        <v>26</v>
      </c>
    </row>
    <row r="273" spans="1:7" ht="14.4" customHeight="1" thickBot="1" x14ac:dyDescent="0.3">
      <c r="A273" s="179" t="s">
        <v>736</v>
      </c>
      <c r="B273" s="179">
        <v>0</v>
      </c>
      <c r="C273" s="179">
        <v>255</v>
      </c>
      <c r="D273" s="179">
        <v>0</v>
      </c>
      <c r="E273" s="9">
        <f t="shared" si="4"/>
        <v>65280</v>
      </c>
      <c r="F273" s="179" t="s">
        <v>735</v>
      </c>
      <c r="G273" s="61" t="s">
        <v>26</v>
      </c>
    </row>
    <row r="274" spans="1:7" ht="14.4" customHeight="1" thickBot="1" x14ac:dyDescent="0.3">
      <c r="A274" s="179" t="s">
        <v>114</v>
      </c>
      <c r="B274" s="179">
        <v>50</v>
      </c>
      <c r="C274" s="179">
        <v>205</v>
      </c>
      <c r="D274" s="179">
        <v>50</v>
      </c>
      <c r="E274" s="9">
        <f t="shared" si="4"/>
        <v>3329330</v>
      </c>
      <c r="F274" s="179" t="s">
        <v>737</v>
      </c>
      <c r="G274" s="62" t="s">
        <v>26</v>
      </c>
    </row>
    <row r="275" spans="1:7" ht="14.4" customHeight="1" thickBot="1" x14ac:dyDescent="0.3">
      <c r="A275" s="179" t="s">
        <v>738</v>
      </c>
      <c r="B275" s="179">
        <v>105</v>
      </c>
      <c r="C275" s="179">
        <v>139</v>
      </c>
      <c r="D275" s="179">
        <v>105</v>
      </c>
      <c r="E275" s="9">
        <f t="shared" si="4"/>
        <v>6916969</v>
      </c>
      <c r="F275" s="179" t="s">
        <v>739</v>
      </c>
      <c r="G275" s="348" t="s">
        <v>26</v>
      </c>
    </row>
    <row r="276" spans="1:7" ht="14.4" customHeight="1" thickBot="1" x14ac:dyDescent="0.3">
      <c r="A276" s="179" t="s">
        <v>740</v>
      </c>
      <c r="B276" s="179">
        <v>0</v>
      </c>
      <c r="C276" s="179">
        <v>238</v>
      </c>
      <c r="D276" s="179">
        <v>0</v>
      </c>
      <c r="E276" s="9">
        <f t="shared" si="4"/>
        <v>60928</v>
      </c>
      <c r="F276" s="179" t="s">
        <v>741</v>
      </c>
      <c r="G276" s="349" t="s">
        <v>26</v>
      </c>
    </row>
    <row r="277" spans="1:7" ht="14.4" customHeight="1" thickBot="1" x14ac:dyDescent="0.3">
      <c r="A277" s="179" t="s">
        <v>742</v>
      </c>
      <c r="B277" s="179">
        <v>84</v>
      </c>
      <c r="C277" s="179">
        <v>139</v>
      </c>
      <c r="D277" s="179">
        <v>84</v>
      </c>
      <c r="E277" s="9">
        <f t="shared" si="4"/>
        <v>5540692</v>
      </c>
      <c r="F277" s="179" t="s">
        <v>743</v>
      </c>
      <c r="G277" s="350" t="s">
        <v>26</v>
      </c>
    </row>
    <row r="278" spans="1:7" ht="14.4" customHeight="1" thickBot="1" x14ac:dyDescent="0.3">
      <c r="A278" s="179" t="s">
        <v>744</v>
      </c>
      <c r="B278" s="179">
        <v>0</v>
      </c>
      <c r="C278" s="179">
        <v>205</v>
      </c>
      <c r="D278" s="179">
        <v>0</v>
      </c>
      <c r="E278" s="9">
        <f t="shared" si="4"/>
        <v>52480</v>
      </c>
      <c r="F278" s="179" t="s">
        <v>745</v>
      </c>
      <c r="G278" s="351" t="s">
        <v>26</v>
      </c>
    </row>
    <row r="279" spans="1:7" ht="14.4" customHeight="1" thickBot="1" x14ac:dyDescent="0.3">
      <c r="A279" s="179" t="s">
        <v>82</v>
      </c>
      <c r="B279" s="179">
        <v>34</v>
      </c>
      <c r="C279" s="179">
        <v>139</v>
      </c>
      <c r="D279" s="179">
        <v>34</v>
      </c>
      <c r="E279" s="9">
        <f t="shared" si="4"/>
        <v>2263842</v>
      </c>
      <c r="F279" s="179" t="s">
        <v>746</v>
      </c>
      <c r="G279" s="134" t="s">
        <v>26</v>
      </c>
    </row>
    <row r="280" spans="1:7" ht="14.4" customHeight="1" thickBot="1" x14ac:dyDescent="0.3">
      <c r="A280" s="179" t="s">
        <v>747</v>
      </c>
      <c r="B280" s="179">
        <v>0</v>
      </c>
      <c r="C280" s="179">
        <v>139</v>
      </c>
      <c r="D280" s="179">
        <v>0</v>
      </c>
      <c r="E280" s="9">
        <f t="shared" si="4"/>
        <v>35584</v>
      </c>
      <c r="F280" s="179" t="s">
        <v>748</v>
      </c>
      <c r="G280" s="352" t="s">
        <v>26</v>
      </c>
    </row>
    <row r="281" spans="1:7" ht="14.4" customHeight="1" thickBot="1" x14ac:dyDescent="0.3">
      <c r="A281" s="179" t="s">
        <v>749</v>
      </c>
      <c r="B281" s="179">
        <v>0</v>
      </c>
      <c r="C281" s="179">
        <v>128</v>
      </c>
      <c r="D281" s="179">
        <v>0</v>
      </c>
      <c r="E281" s="9">
        <f t="shared" si="4"/>
        <v>32768</v>
      </c>
      <c r="F281" s="179" t="s">
        <v>750</v>
      </c>
      <c r="G281" s="141" t="s">
        <v>26</v>
      </c>
    </row>
    <row r="282" spans="1:7" ht="14.4" customHeight="1" thickBot="1" x14ac:dyDescent="0.3">
      <c r="A282" s="179" t="s">
        <v>175</v>
      </c>
      <c r="B282" s="179">
        <v>0</v>
      </c>
      <c r="C282" s="179">
        <v>100</v>
      </c>
      <c r="D282" s="179">
        <v>0</v>
      </c>
      <c r="E282" s="9">
        <f t="shared" si="4"/>
        <v>25600</v>
      </c>
      <c r="F282" s="179" t="s">
        <v>751</v>
      </c>
      <c r="G282" s="122" t="s">
        <v>26</v>
      </c>
    </row>
    <row r="283" spans="1:7" ht="14.4" customHeight="1" thickBot="1" x14ac:dyDescent="0.3">
      <c r="A283" s="179" t="s">
        <v>97</v>
      </c>
      <c r="B283" s="179">
        <v>124</v>
      </c>
      <c r="C283" s="179">
        <v>252</v>
      </c>
      <c r="D283" s="179">
        <v>0</v>
      </c>
      <c r="E283" s="9">
        <f t="shared" si="4"/>
        <v>64636</v>
      </c>
      <c r="F283" s="179" t="s">
        <v>752</v>
      </c>
      <c r="G283" s="47" t="s">
        <v>26</v>
      </c>
    </row>
    <row r="284" spans="1:7" ht="14.4" customHeight="1" thickBot="1" x14ac:dyDescent="0.3">
      <c r="A284" s="179" t="s">
        <v>753</v>
      </c>
      <c r="B284" s="179">
        <v>127</v>
      </c>
      <c r="C284" s="179">
        <v>255</v>
      </c>
      <c r="D284" s="179">
        <v>0</v>
      </c>
      <c r="E284" s="9">
        <f t="shared" si="4"/>
        <v>65407</v>
      </c>
      <c r="F284" s="179" t="s">
        <v>754</v>
      </c>
      <c r="G284" s="20" t="s">
        <v>26</v>
      </c>
    </row>
    <row r="285" spans="1:7" ht="14.4" customHeight="1" thickBot="1" x14ac:dyDescent="0.3">
      <c r="A285" s="179" t="s">
        <v>755</v>
      </c>
      <c r="B285" s="179">
        <v>127</v>
      </c>
      <c r="C285" s="179">
        <v>255</v>
      </c>
      <c r="D285" s="179">
        <v>0</v>
      </c>
      <c r="E285" s="9">
        <f t="shared" si="4"/>
        <v>65407</v>
      </c>
      <c r="F285" s="179" t="s">
        <v>754</v>
      </c>
      <c r="G285" s="20" t="s">
        <v>26</v>
      </c>
    </row>
    <row r="286" spans="1:7" ht="14.4" customHeight="1" thickBot="1" x14ac:dyDescent="0.3">
      <c r="A286" s="179" t="s">
        <v>756</v>
      </c>
      <c r="B286" s="179">
        <v>118</v>
      </c>
      <c r="C286" s="179">
        <v>238</v>
      </c>
      <c r="D286" s="179">
        <v>0</v>
      </c>
      <c r="E286" s="9">
        <f t="shared" si="4"/>
        <v>61046</v>
      </c>
      <c r="F286" s="179" t="s">
        <v>757</v>
      </c>
      <c r="G286" s="353" t="s">
        <v>26</v>
      </c>
    </row>
    <row r="287" spans="1:7" ht="14.4" customHeight="1" thickBot="1" x14ac:dyDescent="0.3">
      <c r="A287" s="179" t="s">
        <v>758</v>
      </c>
      <c r="B287" s="179">
        <v>102</v>
      </c>
      <c r="C287" s="179">
        <v>205</v>
      </c>
      <c r="D287" s="179">
        <v>0</v>
      </c>
      <c r="E287" s="9">
        <f t="shared" si="4"/>
        <v>52582</v>
      </c>
      <c r="F287" s="179" t="s">
        <v>759</v>
      </c>
      <c r="G287" s="354" t="s">
        <v>26</v>
      </c>
    </row>
    <row r="288" spans="1:7" ht="14.4" customHeight="1" thickBot="1" x14ac:dyDescent="0.3">
      <c r="A288" s="179" t="s">
        <v>760</v>
      </c>
      <c r="B288" s="179">
        <v>69</v>
      </c>
      <c r="C288" s="179">
        <v>139</v>
      </c>
      <c r="D288" s="179">
        <v>0</v>
      </c>
      <c r="E288" s="9">
        <f t="shared" si="4"/>
        <v>35653</v>
      </c>
      <c r="F288" s="179" t="s">
        <v>761</v>
      </c>
      <c r="G288" s="355" t="s">
        <v>26</v>
      </c>
    </row>
    <row r="289" spans="1:7" ht="14.4" customHeight="1" thickBot="1" x14ac:dyDescent="0.3">
      <c r="A289" s="179" t="s">
        <v>89</v>
      </c>
      <c r="B289" s="179">
        <v>173</v>
      </c>
      <c r="C289" s="179">
        <v>255</v>
      </c>
      <c r="D289" s="179">
        <v>47</v>
      </c>
      <c r="E289" s="9">
        <f t="shared" si="4"/>
        <v>3145645</v>
      </c>
      <c r="F289" s="179" t="s">
        <v>762</v>
      </c>
      <c r="G289" s="40" t="s">
        <v>26</v>
      </c>
    </row>
    <row r="290" spans="1:7" ht="14.4" customHeight="1" thickBot="1" x14ac:dyDescent="0.3">
      <c r="A290" s="179" t="s">
        <v>763</v>
      </c>
      <c r="B290" s="179">
        <v>162</v>
      </c>
      <c r="C290" s="179">
        <v>205</v>
      </c>
      <c r="D290" s="179">
        <v>90</v>
      </c>
      <c r="E290" s="9">
        <f t="shared" si="4"/>
        <v>5950882</v>
      </c>
      <c r="F290" s="179" t="s">
        <v>764</v>
      </c>
      <c r="G290" s="356" t="s">
        <v>26</v>
      </c>
    </row>
    <row r="291" spans="1:7" ht="14.4" customHeight="1" thickBot="1" x14ac:dyDescent="0.3">
      <c r="A291" s="179" t="s">
        <v>765</v>
      </c>
      <c r="B291" s="179">
        <v>202</v>
      </c>
      <c r="C291" s="179">
        <v>255</v>
      </c>
      <c r="D291" s="179">
        <v>112</v>
      </c>
      <c r="E291" s="9">
        <f t="shared" si="4"/>
        <v>7405514</v>
      </c>
      <c r="F291" s="179" t="s">
        <v>766</v>
      </c>
      <c r="G291" s="357" t="s">
        <v>26</v>
      </c>
    </row>
    <row r="292" spans="1:7" ht="14.4" customHeight="1" thickBot="1" x14ac:dyDescent="0.3">
      <c r="A292" s="179" t="s">
        <v>767</v>
      </c>
      <c r="B292" s="179">
        <v>188</v>
      </c>
      <c r="C292" s="179">
        <v>238</v>
      </c>
      <c r="D292" s="179">
        <v>104</v>
      </c>
      <c r="E292" s="9">
        <f t="shared" si="4"/>
        <v>6876860</v>
      </c>
      <c r="F292" s="179" t="s">
        <v>768</v>
      </c>
      <c r="G292" s="358" t="s">
        <v>26</v>
      </c>
    </row>
    <row r="293" spans="1:7" ht="14.4" customHeight="1" thickBot="1" x14ac:dyDescent="0.3">
      <c r="A293" s="179" t="s">
        <v>769</v>
      </c>
      <c r="B293" s="179">
        <v>110</v>
      </c>
      <c r="C293" s="179">
        <v>139</v>
      </c>
      <c r="D293" s="179">
        <v>61</v>
      </c>
      <c r="E293" s="9">
        <f t="shared" si="4"/>
        <v>4033390</v>
      </c>
      <c r="F293" s="179" t="s">
        <v>770</v>
      </c>
      <c r="G293" s="359" t="s">
        <v>26</v>
      </c>
    </row>
    <row r="294" spans="1:7" ht="14.4" customHeight="1" thickBot="1" x14ac:dyDescent="0.3">
      <c r="A294" s="179" t="s">
        <v>64</v>
      </c>
      <c r="B294" s="179">
        <v>85</v>
      </c>
      <c r="C294" s="179">
        <v>107</v>
      </c>
      <c r="D294" s="179">
        <v>47</v>
      </c>
      <c r="E294" s="9">
        <f t="shared" si="4"/>
        <v>3107669</v>
      </c>
      <c r="F294" s="179" t="s">
        <v>771</v>
      </c>
      <c r="G294" s="124" t="s">
        <v>26</v>
      </c>
    </row>
    <row r="295" spans="1:7" ht="14.4" customHeight="1" thickBot="1" x14ac:dyDescent="0.3">
      <c r="A295" s="179" t="s">
        <v>134</v>
      </c>
      <c r="B295" s="179">
        <v>107</v>
      </c>
      <c r="C295" s="179">
        <v>142</v>
      </c>
      <c r="D295" s="179">
        <v>35</v>
      </c>
      <c r="E295" s="9">
        <f t="shared" si="4"/>
        <v>2330219</v>
      </c>
      <c r="F295" s="179" t="s">
        <v>772</v>
      </c>
      <c r="G295" s="154" t="s">
        <v>26</v>
      </c>
    </row>
    <row r="296" spans="1:7" ht="14.4" customHeight="1" thickBot="1" x14ac:dyDescent="0.3">
      <c r="A296" s="179" t="s">
        <v>773</v>
      </c>
      <c r="B296" s="179">
        <v>192</v>
      </c>
      <c r="C296" s="179">
        <v>255</v>
      </c>
      <c r="D296" s="179">
        <v>62</v>
      </c>
      <c r="E296" s="9">
        <f t="shared" si="4"/>
        <v>4128704</v>
      </c>
      <c r="F296" s="179" t="s">
        <v>774</v>
      </c>
      <c r="G296" s="360" t="s">
        <v>26</v>
      </c>
    </row>
    <row r="297" spans="1:7" ht="14.4" customHeight="1" thickBot="1" x14ac:dyDescent="0.3">
      <c r="A297" s="179" t="s">
        <v>775</v>
      </c>
      <c r="B297" s="179">
        <v>179</v>
      </c>
      <c r="C297" s="179">
        <v>238</v>
      </c>
      <c r="D297" s="179">
        <v>58</v>
      </c>
      <c r="E297" s="9">
        <f t="shared" si="4"/>
        <v>3862195</v>
      </c>
      <c r="F297" s="179" t="s">
        <v>776</v>
      </c>
      <c r="G297" s="361" t="s">
        <v>26</v>
      </c>
    </row>
    <row r="298" spans="1:7" ht="14.4" customHeight="1" thickBot="1" x14ac:dyDescent="0.3">
      <c r="A298" s="179" t="s">
        <v>777</v>
      </c>
      <c r="B298" s="179">
        <v>154</v>
      </c>
      <c r="C298" s="179">
        <v>205</v>
      </c>
      <c r="D298" s="179">
        <v>50</v>
      </c>
      <c r="E298" s="9">
        <f t="shared" si="4"/>
        <v>3329434</v>
      </c>
      <c r="F298" s="179" t="s">
        <v>778</v>
      </c>
      <c r="G298" s="100" t="s">
        <v>26</v>
      </c>
    </row>
    <row r="299" spans="1:7" ht="14.4" customHeight="1" thickBot="1" x14ac:dyDescent="0.3">
      <c r="A299" s="179" t="s">
        <v>172</v>
      </c>
      <c r="B299" s="179">
        <v>154</v>
      </c>
      <c r="C299" s="179">
        <v>205</v>
      </c>
      <c r="D299" s="179">
        <v>50</v>
      </c>
      <c r="E299" s="9">
        <f t="shared" si="4"/>
        <v>3329434</v>
      </c>
      <c r="F299" s="179" t="s">
        <v>778</v>
      </c>
      <c r="G299" s="100" t="s">
        <v>26</v>
      </c>
    </row>
    <row r="300" spans="1:7" ht="14.4" customHeight="1" thickBot="1" x14ac:dyDescent="0.3">
      <c r="A300" s="179" t="s">
        <v>779</v>
      </c>
      <c r="B300" s="179">
        <v>105</v>
      </c>
      <c r="C300" s="179">
        <v>139</v>
      </c>
      <c r="D300" s="179">
        <v>34</v>
      </c>
      <c r="E300" s="9">
        <f t="shared" si="4"/>
        <v>2263913</v>
      </c>
      <c r="F300" s="179" t="s">
        <v>780</v>
      </c>
      <c r="G300" s="362" t="s">
        <v>26</v>
      </c>
    </row>
    <row r="301" spans="1:7" ht="14.4" customHeight="1" thickBot="1" x14ac:dyDescent="0.3">
      <c r="A301" s="179" t="s">
        <v>781</v>
      </c>
      <c r="B301" s="179">
        <v>255</v>
      </c>
      <c r="C301" s="179">
        <v>255</v>
      </c>
      <c r="D301" s="179">
        <v>240</v>
      </c>
      <c r="E301" s="9">
        <f t="shared" si="4"/>
        <v>15794175</v>
      </c>
      <c r="F301" s="179" t="s">
        <v>782</v>
      </c>
      <c r="G301" s="43" t="s">
        <v>26</v>
      </c>
    </row>
    <row r="302" spans="1:7" ht="14.4" customHeight="1" thickBot="1" x14ac:dyDescent="0.3">
      <c r="A302" s="179" t="s">
        <v>783</v>
      </c>
      <c r="B302" s="179">
        <v>255</v>
      </c>
      <c r="C302" s="179">
        <v>255</v>
      </c>
      <c r="D302" s="179">
        <v>240</v>
      </c>
      <c r="E302" s="9">
        <f t="shared" si="4"/>
        <v>15794175</v>
      </c>
      <c r="F302" s="179" t="s">
        <v>782</v>
      </c>
      <c r="G302" s="43" t="s">
        <v>26</v>
      </c>
    </row>
    <row r="303" spans="1:7" ht="14.4" customHeight="1" thickBot="1" x14ac:dyDescent="0.3">
      <c r="A303" s="179" t="s">
        <v>112</v>
      </c>
      <c r="B303" s="179">
        <v>255</v>
      </c>
      <c r="C303" s="179">
        <v>255</v>
      </c>
      <c r="D303" s="179">
        <v>224</v>
      </c>
      <c r="E303" s="9">
        <f t="shared" si="4"/>
        <v>14745599</v>
      </c>
      <c r="F303" s="179" t="s">
        <v>784</v>
      </c>
      <c r="G303" s="60" t="s">
        <v>26</v>
      </c>
    </row>
    <row r="304" spans="1:7" ht="14.4" customHeight="1" thickBot="1" x14ac:dyDescent="0.3">
      <c r="A304" s="179" t="s">
        <v>785</v>
      </c>
      <c r="B304" s="179">
        <v>255</v>
      </c>
      <c r="C304" s="179">
        <v>255</v>
      </c>
      <c r="D304" s="179">
        <v>224</v>
      </c>
      <c r="E304" s="9">
        <f t="shared" si="4"/>
        <v>14745599</v>
      </c>
      <c r="F304" s="179" t="s">
        <v>784</v>
      </c>
      <c r="G304" s="60" t="s">
        <v>26</v>
      </c>
    </row>
    <row r="305" spans="1:7" ht="14.4" customHeight="1" thickBot="1" x14ac:dyDescent="0.3">
      <c r="A305" s="179" t="s">
        <v>786</v>
      </c>
      <c r="B305" s="179">
        <v>245</v>
      </c>
      <c r="C305" s="179">
        <v>245</v>
      </c>
      <c r="D305" s="179">
        <v>220</v>
      </c>
      <c r="E305" s="9">
        <f t="shared" si="4"/>
        <v>14480885</v>
      </c>
      <c r="F305" s="179" t="s">
        <v>787</v>
      </c>
      <c r="G305" s="15" t="s">
        <v>26</v>
      </c>
    </row>
    <row r="306" spans="1:7" ht="14.4" customHeight="1" thickBot="1" x14ac:dyDescent="0.3">
      <c r="A306" s="179" t="s">
        <v>788</v>
      </c>
      <c r="B306" s="179">
        <v>238</v>
      </c>
      <c r="C306" s="179">
        <v>238</v>
      </c>
      <c r="D306" s="179">
        <v>224</v>
      </c>
      <c r="E306" s="9">
        <f t="shared" si="4"/>
        <v>14741230</v>
      </c>
      <c r="F306" s="179" t="s">
        <v>789</v>
      </c>
      <c r="G306" s="363" t="s">
        <v>26</v>
      </c>
    </row>
    <row r="307" spans="1:7" ht="14.4" customHeight="1" thickBot="1" x14ac:dyDescent="0.3">
      <c r="A307" s="179" t="s">
        <v>173</v>
      </c>
      <c r="B307" s="179">
        <v>250</v>
      </c>
      <c r="C307" s="179">
        <v>250</v>
      </c>
      <c r="D307" s="179">
        <v>210</v>
      </c>
      <c r="E307" s="9">
        <f t="shared" si="4"/>
        <v>13826810</v>
      </c>
      <c r="F307" s="179" t="s">
        <v>790</v>
      </c>
      <c r="G307" s="52" t="s">
        <v>26</v>
      </c>
    </row>
    <row r="308" spans="1:7" ht="14.4" customHeight="1" thickBot="1" x14ac:dyDescent="0.3">
      <c r="A308" s="179" t="s">
        <v>791</v>
      </c>
      <c r="B308" s="179">
        <v>238</v>
      </c>
      <c r="C308" s="179">
        <v>238</v>
      </c>
      <c r="D308" s="179">
        <v>209</v>
      </c>
      <c r="E308" s="9">
        <f t="shared" si="4"/>
        <v>13758190</v>
      </c>
      <c r="F308" s="179" t="s">
        <v>792</v>
      </c>
      <c r="G308" s="364" t="s">
        <v>26</v>
      </c>
    </row>
    <row r="309" spans="1:7" ht="14.4" customHeight="1" thickBot="1" x14ac:dyDescent="0.3">
      <c r="A309" s="179" t="s">
        <v>793</v>
      </c>
      <c r="B309" s="179">
        <v>205</v>
      </c>
      <c r="C309" s="179">
        <v>205</v>
      </c>
      <c r="D309" s="179">
        <v>193</v>
      </c>
      <c r="E309" s="9">
        <f t="shared" si="4"/>
        <v>12701133</v>
      </c>
      <c r="F309" s="179" t="s">
        <v>794</v>
      </c>
      <c r="G309" s="365" t="s">
        <v>26</v>
      </c>
    </row>
    <row r="310" spans="1:7" ht="14.4" customHeight="1" thickBot="1" x14ac:dyDescent="0.3">
      <c r="A310" s="179" t="s">
        <v>795</v>
      </c>
      <c r="B310" s="179">
        <v>205</v>
      </c>
      <c r="C310" s="179">
        <v>205</v>
      </c>
      <c r="D310" s="179">
        <v>180</v>
      </c>
      <c r="E310" s="9">
        <f t="shared" si="4"/>
        <v>11849165</v>
      </c>
      <c r="F310" s="179" t="s">
        <v>796</v>
      </c>
      <c r="G310" s="366" t="s">
        <v>26</v>
      </c>
    </row>
    <row r="311" spans="1:7" ht="14.4" customHeight="1" thickBot="1" x14ac:dyDescent="0.3">
      <c r="A311" s="179" t="s">
        <v>797</v>
      </c>
      <c r="B311" s="179">
        <v>139</v>
      </c>
      <c r="C311" s="179">
        <v>139</v>
      </c>
      <c r="D311" s="179">
        <v>131</v>
      </c>
      <c r="E311" s="9">
        <f t="shared" si="4"/>
        <v>8620939</v>
      </c>
      <c r="F311" s="179" t="s">
        <v>798</v>
      </c>
      <c r="G311" s="367" t="s">
        <v>26</v>
      </c>
    </row>
    <row r="312" spans="1:7" ht="14.4" customHeight="1" thickBot="1" x14ac:dyDescent="0.3">
      <c r="A312" s="179" t="s">
        <v>799</v>
      </c>
      <c r="B312" s="179">
        <v>139</v>
      </c>
      <c r="C312" s="179">
        <v>139</v>
      </c>
      <c r="D312" s="179">
        <v>122</v>
      </c>
      <c r="E312" s="9">
        <f t="shared" si="4"/>
        <v>8031115</v>
      </c>
      <c r="F312" s="179" t="s">
        <v>800</v>
      </c>
      <c r="G312" s="368" t="s">
        <v>26</v>
      </c>
    </row>
    <row r="313" spans="1:7" ht="14.4" customHeight="1" thickBot="1" x14ac:dyDescent="0.3">
      <c r="A313" s="179" t="s">
        <v>801</v>
      </c>
      <c r="B313" s="179">
        <v>255</v>
      </c>
      <c r="C313" s="179">
        <v>255</v>
      </c>
      <c r="D313" s="179">
        <v>0</v>
      </c>
      <c r="E313" s="9">
        <f t="shared" si="4"/>
        <v>65535</v>
      </c>
      <c r="F313" s="179" t="s">
        <v>802</v>
      </c>
      <c r="G313" s="99" t="s">
        <v>26</v>
      </c>
    </row>
    <row r="314" spans="1:7" ht="14.4" customHeight="1" thickBot="1" x14ac:dyDescent="0.3">
      <c r="A314" s="179" t="s">
        <v>803</v>
      </c>
      <c r="B314" s="179">
        <v>255</v>
      </c>
      <c r="C314" s="179">
        <v>255</v>
      </c>
      <c r="D314" s="179">
        <v>0</v>
      </c>
      <c r="E314" s="9">
        <f t="shared" si="4"/>
        <v>65535</v>
      </c>
      <c r="F314" s="179" t="s">
        <v>802</v>
      </c>
      <c r="G314" s="99" t="s">
        <v>26</v>
      </c>
    </row>
    <row r="315" spans="1:7" ht="14.4" customHeight="1" thickBot="1" x14ac:dyDescent="0.3">
      <c r="A315" s="179" t="s">
        <v>804</v>
      </c>
      <c r="B315" s="179">
        <v>238</v>
      </c>
      <c r="C315" s="179">
        <v>238</v>
      </c>
      <c r="D315" s="179">
        <v>0</v>
      </c>
      <c r="E315" s="9">
        <f t="shared" si="4"/>
        <v>61166</v>
      </c>
      <c r="F315" s="179" t="s">
        <v>805</v>
      </c>
      <c r="G315" s="369" t="s">
        <v>26</v>
      </c>
    </row>
    <row r="316" spans="1:7" ht="14.4" customHeight="1" thickBot="1" x14ac:dyDescent="0.3">
      <c r="A316" s="179" t="s">
        <v>806</v>
      </c>
      <c r="B316" s="179">
        <v>205</v>
      </c>
      <c r="C316" s="179">
        <v>205</v>
      </c>
      <c r="D316" s="179">
        <v>0</v>
      </c>
      <c r="E316" s="9">
        <f t="shared" si="4"/>
        <v>52685</v>
      </c>
      <c r="F316" s="179" t="s">
        <v>807</v>
      </c>
      <c r="G316" s="370" t="s">
        <v>26</v>
      </c>
    </row>
    <row r="317" spans="1:7" ht="14.4" customHeight="1" thickBot="1" x14ac:dyDescent="0.3">
      <c r="A317" s="179" t="s">
        <v>808</v>
      </c>
      <c r="B317" s="179">
        <v>139</v>
      </c>
      <c r="C317" s="179">
        <v>139</v>
      </c>
      <c r="D317" s="179">
        <v>0</v>
      </c>
      <c r="E317" s="9">
        <f t="shared" si="4"/>
        <v>35723</v>
      </c>
      <c r="F317" s="179" t="s">
        <v>809</v>
      </c>
      <c r="G317" s="371" t="s">
        <v>26</v>
      </c>
    </row>
    <row r="318" spans="1:7" ht="14.4" customHeight="1" thickBot="1" x14ac:dyDescent="0.3">
      <c r="A318" s="179" t="s">
        <v>810</v>
      </c>
      <c r="B318" s="179">
        <v>128</v>
      </c>
      <c r="C318" s="179">
        <v>128</v>
      </c>
      <c r="D318" s="179">
        <v>0</v>
      </c>
      <c r="E318" s="9">
        <f t="shared" si="4"/>
        <v>32896</v>
      </c>
      <c r="F318" s="179" t="s">
        <v>811</v>
      </c>
      <c r="G318" s="153" t="s">
        <v>26</v>
      </c>
    </row>
    <row r="319" spans="1:7" ht="14.4" customHeight="1" thickBot="1" x14ac:dyDescent="0.3">
      <c r="A319" s="179" t="s">
        <v>62</v>
      </c>
      <c r="B319" s="179">
        <v>189</v>
      </c>
      <c r="C319" s="179">
        <v>183</v>
      </c>
      <c r="D319" s="179">
        <v>107</v>
      </c>
      <c r="E319" s="9">
        <f t="shared" si="4"/>
        <v>7059389</v>
      </c>
      <c r="F319" s="179" t="s">
        <v>812</v>
      </c>
      <c r="G319" s="25" t="s">
        <v>26</v>
      </c>
    </row>
    <row r="320" spans="1:7" ht="14.4" customHeight="1" thickBot="1" x14ac:dyDescent="0.3">
      <c r="A320" s="179" t="s">
        <v>813</v>
      </c>
      <c r="B320" s="179">
        <v>238</v>
      </c>
      <c r="C320" s="179">
        <v>230</v>
      </c>
      <c r="D320" s="179">
        <v>133</v>
      </c>
      <c r="E320" s="9">
        <f t="shared" si="4"/>
        <v>8775406</v>
      </c>
      <c r="F320" s="179" t="s">
        <v>814</v>
      </c>
      <c r="G320" s="372" t="s">
        <v>26</v>
      </c>
    </row>
    <row r="321" spans="1:7" ht="14.4" customHeight="1" thickBot="1" x14ac:dyDescent="0.3">
      <c r="A321" s="179" t="s">
        <v>815</v>
      </c>
      <c r="B321" s="179">
        <v>139</v>
      </c>
      <c r="C321" s="179">
        <v>137</v>
      </c>
      <c r="D321" s="179">
        <v>112</v>
      </c>
      <c r="E321" s="9">
        <f t="shared" si="4"/>
        <v>7375243</v>
      </c>
      <c r="F321" s="179" t="s">
        <v>816</v>
      </c>
      <c r="G321" s="373" t="s">
        <v>26</v>
      </c>
    </row>
    <row r="322" spans="1:7" ht="14.4" customHeight="1" thickBot="1" x14ac:dyDescent="0.3">
      <c r="A322" s="179" t="s">
        <v>817</v>
      </c>
      <c r="B322" s="179">
        <v>255</v>
      </c>
      <c r="C322" s="179">
        <v>246</v>
      </c>
      <c r="D322" s="179">
        <v>143</v>
      </c>
      <c r="E322" s="9">
        <f t="shared" ref="E322:E385" si="5">B322+256*C322+256*256*D322</f>
        <v>9434879</v>
      </c>
      <c r="F322" s="179" t="s">
        <v>818</v>
      </c>
      <c r="G322" s="374" t="s">
        <v>26</v>
      </c>
    </row>
    <row r="323" spans="1:7" ht="14.4" customHeight="1" thickBot="1" x14ac:dyDescent="0.3">
      <c r="A323" s="179" t="s">
        <v>819</v>
      </c>
      <c r="B323" s="179">
        <v>205</v>
      </c>
      <c r="C323" s="179">
        <v>198</v>
      </c>
      <c r="D323" s="179">
        <v>115</v>
      </c>
      <c r="E323" s="9">
        <f t="shared" si="5"/>
        <v>7587533</v>
      </c>
      <c r="F323" s="179" t="s">
        <v>820</v>
      </c>
      <c r="G323" s="375" t="s">
        <v>26</v>
      </c>
    </row>
    <row r="324" spans="1:7" ht="14.4" customHeight="1" thickBot="1" x14ac:dyDescent="0.3">
      <c r="A324" s="179" t="s">
        <v>821</v>
      </c>
      <c r="B324" s="179">
        <v>139</v>
      </c>
      <c r="C324" s="179">
        <v>134</v>
      </c>
      <c r="D324" s="179">
        <v>78</v>
      </c>
      <c r="E324" s="9">
        <f t="shared" si="5"/>
        <v>5146251</v>
      </c>
      <c r="F324" s="179" t="s">
        <v>822</v>
      </c>
      <c r="G324" s="376" t="s">
        <v>26</v>
      </c>
    </row>
    <row r="325" spans="1:7" ht="14.4" customHeight="1" thickBot="1" x14ac:dyDescent="0.3">
      <c r="A325" s="179" t="s">
        <v>174</v>
      </c>
      <c r="B325" s="179">
        <v>238</v>
      </c>
      <c r="C325" s="179">
        <v>232</v>
      </c>
      <c r="D325" s="179">
        <v>170</v>
      </c>
      <c r="E325" s="9">
        <f t="shared" si="5"/>
        <v>11200750</v>
      </c>
      <c r="F325" s="179" t="s">
        <v>823</v>
      </c>
      <c r="G325" s="75" t="s">
        <v>26</v>
      </c>
    </row>
    <row r="326" spans="1:7" ht="14.4" customHeight="1" thickBot="1" x14ac:dyDescent="0.3">
      <c r="A326" s="179" t="s">
        <v>98</v>
      </c>
      <c r="B326" s="179">
        <v>255</v>
      </c>
      <c r="C326" s="179">
        <v>250</v>
      </c>
      <c r="D326" s="179">
        <v>205</v>
      </c>
      <c r="E326" s="9">
        <f t="shared" si="5"/>
        <v>13499135</v>
      </c>
      <c r="F326" s="179" t="s">
        <v>824</v>
      </c>
      <c r="G326" s="48" t="s">
        <v>26</v>
      </c>
    </row>
    <row r="327" spans="1:7" ht="14.4" customHeight="1" thickBot="1" x14ac:dyDescent="0.3">
      <c r="A327" s="179" t="s">
        <v>825</v>
      </c>
      <c r="B327" s="179">
        <v>255</v>
      </c>
      <c r="C327" s="179">
        <v>250</v>
      </c>
      <c r="D327" s="179">
        <v>205</v>
      </c>
      <c r="E327" s="9">
        <f t="shared" si="5"/>
        <v>13499135</v>
      </c>
      <c r="F327" s="179" t="s">
        <v>824</v>
      </c>
      <c r="G327" s="48" t="s">
        <v>26</v>
      </c>
    </row>
    <row r="328" spans="1:7" ht="14.4" customHeight="1" thickBot="1" x14ac:dyDescent="0.3">
      <c r="A328" s="179" t="s">
        <v>826</v>
      </c>
      <c r="B328" s="179">
        <v>240</v>
      </c>
      <c r="C328" s="179">
        <v>230</v>
      </c>
      <c r="D328" s="179">
        <v>140</v>
      </c>
      <c r="E328" s="9">
        <f t="shared" si="5"/>
        <v>9234160</v>
      </c>
      <c r="F328" s="179" t="s">
        <v>827</v>
      </c>
      <c r="G328" s="44" t="s">
        <v>26</v>
      </c>
    </row>
    <row r="329" spans="1:7" ht="14.4" customHeight="1" thickBot="1" x14ac:dyDescent="0.3">
      <c r="A329" s="179" t="s">
        <v>828</v>
      </c>
      <c r="B329" s="179">
        <v>205</v>
      </c>
      <c r="C329" s="179">
        <v>201</v>
      </c>
      <c r="D329" s="179">
        <v>165</v>
      </c>
      <c r="E329" s="9">
        <f t="shared" si="5"/>
        <v>10865101</v>
      </c>
      <c r="F329" s="179" t="s">
        <v>829</v>
      </c>
      <c r="G329" s="377" t="s">
        <v>26</v>
      </c>
    </row>
    <row r="330" spans="1:7" ht="14.4" customHeight="1" thickBot="1" x14ac:dyDescent="0.3">
      <c r="A330" s="179" t="s">
        <v>830</v>
      </c>
      <c r="B330" s="179">
        <v>238</v>
      </c>
      <c r="C330" s="179">
        <v>233</v>
      </c>
      <c r="D330" s="179">
        <v>191</v>
      </c>
      <c r="E330" s="9">
        <f t="shared" si="5"/>
        <v>12577262</v>
      </c>
      <c r="F330" s="179" t="s">
        <v>831</v>
      </c>
      <c r="G330" s="378" t="s">
        <v>26</v>
      </c>
    </row>
    <row r="331" spans="1:7" ht="14.4" customHeight="1" thickBot="1" x14ac:dyDescent="0.3">
      <c r="A331" s="179" t="s">
        <v>832</v>
      </c>
      <c r="B331" s="179">
        <v>209</v>
      </c>
      <c r="C331" s="179">
        <v>193</v>
      </c>
      <c r="D331" s="179">
        <v>102</v>
      </c>
      <c r="E331" s="9">
        <f t="shared" si="5"/>
        <v>6734289</v>
      </c>
      <c r="F331" s="179" t="s">
        <v>833</v>
      </c>
      <c r="G331" s="379" t="s">
        <v>26</v>
      </c>
    </row>
    <row r="332" spans="1:7" ht="14.4" customHeight="1" thickBot="1" x14ac:dyDescent="0.3">
      <c r="A332" s="179" t="s">
        <v>834</v>
      </c>
      <c r="B332" s="179">
        <v>139</v>
      </c>
      <c r="C332" s="179">
        <v>136</v>
      </c>
      <c r="D332" s="179">
        <v>120</v>
      </c>
      <c r="E332" s="9">
        <f t="shared" si="5"/>
        <v>7899275</v>
      </c>
      <c r="F332" s="179" t="s">
        <v>835</v>
      </c>
      <c r="G332" s="380" t="s">
        <v>26</v>
      </c>
    </row>
    <row r="333" spans="1:7" ht="14.4" customHeight="1" thickBot="1" x14ac:dyDescent="0.3">
      <c r="A333" s="179" t="s">
        <v>836</v>
      </c>
      <c r="B333" s="179">
        <v>255</v>
      </c>
      <c r="C333" s="179">
        <v>215</v>
      </c>
      <c r="D333" s="179">
        <v>0</v>
      </c>
      <c r="E333" s="9">
        <f t="shared" si="5"/>
        <v>55295</v>
      </c>
      <c r="F333" s="179" t="s">
        <v>837</v>
      </c>
      <c r="G333" s="34" t="s">
        <v>26</v>
      </c>
    </row>
    <row r="334" spans="1:7" ht="14.4" customHeight="1" thickBot="1" x14ac:dyDescent="0.3">
      <c r="A334" s="179" t="s">
        <v>838</v>
      </c>
      <c r="B334" s="179">
        <v>255</v>
      </c>
      <c r="C334" s="179">
        <v>215</v>
      </c>
      <c r="D334" s="179">
        <v>0</v>
      </c>
      <c r="E334" s="9">
        <f t="shared" si="5"/>
        <v>55295</v>
      </c>
      <c r="F334" s="179" t="s">
        <v>837</v>
      </c>
      <c r="G334" s="34" t="s">
        <v>26</v>
      </c>
    </row>
    <row r="335" spans="1:7" ht="14.4" customHeight="1" thickBot="1" x14ac:dyDescent="0.3">
      <c r="A335" s="179" t="s">
        <v>839</v>
      </c>
      <c r="B335" s="179">
        <v>238</v>
      </c>
      <c r="C335" s="179">
        <v>201</v>
      </c>
      <c r="D335" s="179">
        <v>0</v>
      </c>
      <c r="E335" s="9">
        <f t="shared" si="5"/>
        <v>51694</v>
      </c>
      <c r="F335" s="179" t="s">
        <v>840</v>
      </c>
      <c r="G335" s="381" t="s">
        <v>26</v>
      </c>
    </row>
    <row r="336" spans="1:7" ht="14.4" customHeight="1" thickBot="1" x14ac:dyDescent="0.3">
      <c r="A336" s="179" t="s">
        <v>841</v>
      </c>
      <c r="B336" s="179">
        <v>205</v>
      </c>
      <c r="C336" s="179">
        <v>173</v>
      </c>
      <c r="D336" s="179">
        <v>0</v>
      </c>
      <c r="E336" s="9">
        <f t="shared" si="5"/>
        <v>44493</v>
      </c>
      <c r="F336" s="179" t="s">
        <v>842</v>
      </c>
      <c r="G336" s="382" t="s">
        <v>26</v>
      </c>
    </row>
    <row r="337" spans="1:7" ht="14.4" customHeight="1" thickBot="1" x14ac:dyDescent="0.3">
      <c r="A337" s="179" t="s">
        <v>843</v>
      </c>
      <c r="B337" s="179">
        <v>139</v>
      </c>
      <c r="C337" s="179">
        <v>117</v>
      </c>
      <c r="D337" s="179">
        <v>0</v>
      </c>
      <c r="E337" s="9">
        <f t="shared" si="5"/>
        <v>30091</v>
      </c>
      <c r="F337" s="179" t="s">
        <v>844</v>
      </c>
      <c r="G337" s="383" t="s">
        <v>26</v>
      </c>
    </row>
    <row r="338" spans="1:7" ht="14.4" customHeight="1" thickBot="1" x14ac:dyDescent="0.3">
      <c r="A338" s="179" t="s">
        <v>845</v>
      </c>
      <c r="B338" s="179">
        <v>238</v>
      </c>
      <c r="C338" s="179">
        <v>221</v>
      </c>
      <c r="D338" s="179">
        <v>130</v>
      </c>
      <c r="E338" s="9">
        <f t="shared" si="5"/>
        <v>8576494</v>
      </c>
      <c r="F338" s="179" t="s">
        <v>846</v>
      </c>
      <c r="G338" s="384" t="s">
        <v>26</v>
      </c>
    </row>
    <row r="339" spans="1:7" ht="14.4" customHeight="1" thickBot="1" x14ac:dyDescent="0.3">
      <c r="A339" s="179" t="s">
        <v>847</v>
      </c>
      <c r="B339" s="179">
        <v>139</v>
      </c>
      <c r="C339" s="179">
        <v>129</v>
      </c>
      <c r="D339" s="179">
        <v>76</v>
      </c>
      <c r="E339" s="9">
        <f t="shared" si="5"/>
        <v>5013899</v>
      </c>
      <c r="F339" s="179" t="s">
        <v>848</v>
      </c>
      <c r="G339" s="385" t="s">
        <v>26</v>
      </c>
    </row>
    <row r="340" spans="1:7" ht="14.4" customHeight="1" thickBot="1" x14ac:dyDescent="0.3">
      <c r="A340" s="179" t="s">
        <v>849</v>
      </c>
      <c r="B340" s="179">
        <v>255</v>
      </c>
      <c r="C340" s="179">
        <v>236</v>
      </c>
      <c r="D340" s="179">
        <v>139</v>
      </c>
      <c r="E340" s="9">
        <f t="shared" si="5"/>
        <v>9170175</v>
      </c>
      <c r="F340" s="179" t="s">
        <v>850</v>
      </c>
      <c r="G340" s="386" t="s">
        <v>26</v>
      </c>
    </row>
    <row r="341" spans="1:7" ht="14.4" customHeight="1" thickBot="1" x14ac:dyDescent="0.3">
      <c r="A341" s="179" t="s">
        <v>851</v>
      </c>
      <c r="B341" s="179">
        <v>205</v>
      </c>
      <c r="C341" s="179">
        <v>190</v>
      </c>
      <c r="D341" s="179">
        <v>112</v>
      </c>
      <c r="E341" s="9">
        <f t="shared" si="5"/>
        <v>7388877</v>
      </c>
      <c r="F341" s="179" t="s">
        <v>852</v>
      </c>
      <c r="G341" s="387" t="s">
        <v>26</v>
      </c>
    </row>
    <row r="342" spans="1:7" ht="14.4" customHeight="1" thickBot="1" x14ac:dyDescent="0.3">
      <c r="A342" s="179" t="s">
        <v>853</v>
      </c>
      <c r="B342" s="179">
        <v>238</v>
      </c>
      <c r="C342" s="179">
        <v>220</v>
      </c>
      <c r="D342" s="179">
        <v>130</v>
      </c>
      <c r="E342" s="9">
        <f t="shared" si="5"/>
        <v>8576238</v>
      </c>
      <c r="F342" s="179" t="s">
        <v>854</v>
      </c>
      <c r="G342" s="388" t="s">
        <v>26</v>
      </c>
    </row>
    <row r="343" spans="1:7" ht="14.4" customHeight="1" thickBot="1" x14ac:dyDescent="0.3">
      <c r="A343" s="179" t="s">
        <v>855</v>
      </c>
      <c r="B343" s="179">
        <v>205</v>
      </c>
      <c r="C343" s="179">
        <v>200</v>
      </c>
      <c r="D343" s="179">
        <v>177</v>
      </c>
      <c r="E343" s="9">
        <f t="shared" si="5"/>
        <v>11651277</v>
      </c>
      <c r="F343" s="179" t="s">
        <v>856</v>
      </c>
      <c r="G343" s="389" t="s">
        <v>26</v>
      </c>
    </row>
    <row r="344" spans="1:7" ht="14.4" customHeight="1" thickBot="1" x14ac:dyDescent="0.3">
      <c r="A344" s="179" t="s">
        <v>857</v>
      </c>
      <c r="B344" s="179">
        <v>238</v>
      </c>
      <c r="C344" s="179">
        <v>232</v>
      </c>
      <c r="D344" s="179">
        <v>205</v>
      </c>
      <c r="E344" s="9">
        <f t="shared" si="5"/>
        <v>13494510</v>
      </c>
      <c r="F344" s="179" t="s">
        <v>858</v>
      </c>
      <c r="G344" s="390" t="s">
        <v>26</v>
      </c>
    </row>
    <row r="345" spans="1:7" ht="14.4" customHeight="1" thickBot="1" x14ac:dyDescent="0.3">
      <c r="A345" s="179" t="s">
        <v>859</v>
      </c>
      <c r="B345" s="179">
        <v>255</v>
      </c>
      <c r="C345" s="179">
        <v>248</v>
      </c>
      <c r="D345" s="179">
        <v>220</v>
      </c>
      <c r="E345" s="9">
        <f t="shared" si="5"/>
        <v>14481663</v>
      </c>
      <c r="F345" s="179" t="s">
        <v>860</v>
      </c>
      <c r="G345" s="23" t="s">
        <v>26</v>
      </c>
    </row>
    <row r="346" spans="1:7" ht="14.4" customHeight="1" thickBot="1" x14ac:dyDescent="0.3">
      <c r="A346" s="179" t="s">
        <v>861</v>
      </c>
      <c r="B346" s="179">
        <v>255</v>
      </c>
      <c r="C346" s="179">
        <v>248</v>
      </c>
      <c r="D346" s="179">
        <v>220</v>
      </c>
      <c r="E346" s="9">
        <f t="shared" si="5"/>
        <v>14481663</v>
      </c>
      <c r="F346" s="179" t="s">
        <v>860</v>
      </c>
      <c r="G346" s="23" t="s">
        <v>26</v>
      </c>
    </row>
    <row r="347" spans="1:7" ht="14.4" customHeight="1" thickBot="1" x14ac:dyDescent="0.3">
      <c r="A347" s="179" t="s">
        <v>862</v>
      </c>
      <c r="B347" s="179">
        <v>218</v>
      </c>
      <c r="C347" s="179">
        <v>165</v>
      </c>
      <c r="D347" s="179">
        <v>32</v>
      </c>
      <c r="E347" s="9">
        <f t="shared" si="5"/>
        <v>2139610</v>
      </c>
      <c r="F347" s="179" t="s">
        <v>863</v>
      </c>
      <c r="G347" s="35" t="s">
        <v>26</v>
      </c>
    </row>
    <row r="348" spans="1:7" ht="14.4" customHeight="1" thickBot="1" x14ac:dyDescent="0.3">
      <c r="A348" s="179" t="s">
        <v>864</v>
      </c>
      <c r="B348" s="179">
        <v>255</v>
      </c>
      <c r="C348" s="179">
        <v>193</v>
      </c>
      <c r="D348" s="179">
        <v>37</v>
      </c>
      <c r="E348" s="9">
        <f t="shared" si="5"/>
        <v>2474495</v>
      </c>
      <c r="F348" s="179" t="s">
        <v>865</v>
      </c>
      <c r="G348" s="391" t="s">
        <v>26</v>
      </c>
    </row>
    <row r="349" spans="1:7" ht="14.4" customHeight="1" thickBot="1" x14ac:dyDescent="0.3">
      <c r="A349" s="179" t="s">
        <v>866</v>
      </c>
      <c r="B349" s="179">
        <v>238</v>
      </c>
      <c r="C349" s="179">
        <v>180</v>
      </c>
      <c r="D349" s="179">
        <v>34</v>
      </c>
      <c r="E349" s="9">
        <f t="shared" si="5"/>
        <v>2274542</v>
      </c>
      <c r="F349" s="179" t="s">
        <v>867</v>
      </c>
      <c r="G349" s="392" t="s">
        <v>26</v>
      </c>
    </row>
    <row r="350" spans="1:7" ht="14.4" customHeight="1" thickBot="1" x14ac:dyDescent="0.3">
      <c r="A350" s="179" t="s">
        <v>868</v>
      </c>
      <c r="B350" s="179">
        <v>205</v>
      </c>
      <c r="C350" s="179">
        <v>155</v>
      </c>
      <c r="D350" s="179">
        <v>29</v>
      </c>
      <c r="E350" s="9">
        <f t="shared" si="5"/>
        <v>1940429</v>
      </c>
      <c r="F350" s="179" t="s">
        <v>869</v>
      </c>
      <c r="G350" s="393" t="s">
        <v>26</v>
      </c>
    </row>
    <row r="351" spans="1:7" ht="14.4" customHeight="1" thickBot="1" x14ac:dyDescent="0.3">
      <c r="A351" s="179" t="s">
        <v>870</v>
      </c>
      <c r="B351" s="179">
        <v>139</v>
      </c>
      <c r="C351" s="179">
        <v>105</v>
      </c>
      <c r="D351" s="179">
        <v>20</v>
      </c>
      <c r="E351" s="9">
        <f t="shared" si="5"/>
        <v>1337739</v>
      </c>
      <c r="F351" s="179" t="s">
        <v>871</v>
      </c>
      <c r="G351" s="394" t="s">
        <v>26</v>
      </c>
    </row>
    <row r="352" spans="1:7" ht="14.4" customHeight="1" thickBot="1" x14ac:dyDescent="0.3">
      <c r="A352" s="179" t="s">
        <v>178</v>
      </c>
      <c r="B352" s="179">
        <v>184</v>
      </c>
      <c r="C352" s="179">
        <v>134</v>
      </c>
      <c r="D352" s="179">
        <v>11</v>
      </c>
      <c r="E352" s="9">
        <f t="shared" si="5"/>
        <v>755384</v>
      </c>
      <c r="F352" s="179" t="s">
        <v>872</v>
      </c>
      <c r="G352" s="121" t="s">
        <v>26</v>
      </c>
    </row>
    <row r="353" spans="1:7" ht="14.4" customHeight="1" thickBot="1" x14ac:dyDescent="0.3">
      <c r="A353" s="179" t="s">
        <v>873</v>
      </c>
      <c r="B353" s="179">
        <v>255</v>
      </c>
      <c r="C353" s="179">
        <v>185</v>
      </c>
      <c r="D353" s="179">
        <v>15</v>
      </c>
      <c r="E353" s="9">
        <f t="shared" si="5"/>
        <v>1030655</v>
      </c>
      <c r="F353" s="179" t="s">
        <v>874</v>
      </c>
      <c r="G353" s="395" t="s">
        <v>26</v>
      </c>
    </row>
    <row r="354" spans="1:7" ht="14.4" customHeight="1" thickBot="1" x14ac:dyDescent="0.3">
      <c r="A354" s="179" t="s">
        <v>875</v>
      </c>
      <c r="B354" s="179">
        <v>238</v>
      </c>
      <c r="C354" s="179">
        <v>173</v>
      </c>
      <c r="D354" s="179">
        <v>14</v>
      </c>
      <c r="E354" s="9">
        <f t="shared" si="5"/>
        <v>962030</v>
      </c>
      <c r="F354" s="179" t="s">
        <v>876</v>
      </c>
      <c r="G354" s="396" t="s">
        <v>26</v>
      </c>
    </row>
    <row r="355" spans="1:7" ht="14.4" customHeight="1" thickBot="1" x14ac:dyDescent="0.3">
      <c r="A355" s="179" t="s">
        <v>877</v>
      </c>
      <c r="B355" s="179">
        <v>205</v>
      </c>
      <c r="C355" s="179">
        <v>149</v>
      </c>
      <c r="D355" s="179">
        <v>12</v>
      </c>
      <c r="E355" s="9">
        <f t="shared" si="5"/>
        <v>824781</v>
      </c>
      <c r="F355" s="179" t="s">
        <v>878</v>
      </c>
      <c r="G355" s="397" t="s">
        <v>26</v>
      </c>
    </row>
    <row r="356" spans="1:7" ht="14.4" customHeight="1" thickBot="1" x14ac:dyDescent="0.3">
      <c r="A356" s="179" t="s">
        <v>879</v>
      </c>
      <c r="B356" s="179">
        <v>139</v>
      </c>
      <c r="C356" s="179">
        <v>101</v>
      </c>
      <c r="D356" s="179">
        <v>8</v>
      </c>
      <c r="E356" s="9">
        <f t="shared" si="5"/>
        <v>550283</v>
      </c>
      <c r="F356" s="179" t="s">
        <v>880</v>
      </c>
      <c r="G356" s="398" t="s">
        <v>26</v>
      </c>
    </row>
    <row r="357" spans="1:7" ht="14.4" customHeight="1" thickBot="1" x14ac:dyDescent="0.3">
      <c r="A357" s="179" t="s">
        <v>81</v>
      </c>
      <c r="B357" s="179">
        <v>255</v>
      </c>
      <c r="C357" s="179">
        <v>250</v>
      </c>
      <c r="D357" s="179">
        <v>240</v>
      </c>
      <c r="E357" s="9">
        <f t="shared" si="5"/>
        <v>15792895</v>
      </c>
      <c r="F357" s="179" t="s">
        <v>881</v>
      </c>
      <c r="G357" s="31" t="s">
        <v>26</v>
      </c>
    </row>
    <row r="358" spans="1:7" ht="14.4" customHeight="1" thickBot="1" x14ac:dyDescent="0.3">
      <c r="A358" s="179" t="s">
        <v>882</v>
      </c>
      <c r="B358" s="179">
        <v>238</v>
      </c>
      <c r="C358" s="179">
        <v>216</v>
      </c>
      <c r="D358" s="179">
        <v>174</v>
      </c>
      <c r="E358" s="9">
        <f t="shared" si="5"/>
        <v>11458798</v>
      </c>
      <c r="F358" s="179" t="s">
        <v>883</v>
      </c>
      <c r="G358" s="399" t="s">
        <v>26</v>
      </c>
    </row>
    <row r="359" spans="1:7" ht="14.4" customHeight="1" thickBot="1" x14ac:dyDescent="0.3">
      <c r="A359" s="179" t="s">
        <v>132</v>
      </c>
      <c r="B359" s="179">
        <v>253</v>
      </c>
      <c r="C359" s="179">
        <v>245</v>
      </c>
      <c r="D359" s="179">
        <v>230</v>
      </c>
      <c r="E359" s="9">
        <f t="shared" si="5"/>
        <v>15136253</v>
      </c>
      <c r="F359" s="179" t="s">
        <v>884</v>
      </c>
      <c r="G359" s="72" t="s">
        <v>26</v>
      </c>
    </row>
    <row r="360" spans="1:7" ht="14.4" customHeight="1" thickBot="1" x14ac:dyDescent="0.3">
      <c r="A360" s="179" t="s">
        <v>885</v>
      </c>
      <c r="B360" s="179">
        <v>245</v>
      </c>
      <c r="C360" s="179">
        <v>222</v>
      </c>
      <c r="D360" s="179">
        <v>179</v>
      </c>
      <c r="E360" s="9">
        <f t="shared" si="5"/>
        <v>11788021</v>
      </c>
      <c r="F360" s="179" t="s">
        <v>886</v>
      </c>
      <c r="G360" s="96" t="s">
        <v>26</v>
      </c>
    </row>
    <row r="361" spans="1:7" ht="14.4" customHeight="1" thickBot="1" x14ac:dyDescent="0.3">
      <c r="A361" s="179" t="s">
        <v>887</v>
      </c>
      <c r="B361" s="179">
        <v>255</v>
      </c>
      <c r="C361" s="179">
        <v>231</v>
      </c>
      <c r="D361" s="179">
        <v>186</v>
      </c>
      <c r="E361" s="9">
        <f t="shared" si="5"/>
        <v>12249087</v>
      </c>
      <c r="F361" s="179" t="s">
        <v>888</v>
      </c>
      <c r="G361" s="400" t="s">
        <v>26</v>
      </c>
    </row>
    <row r="362" spans="1:7" ht="14.4" customHeight="1" thickBot="1" x14ac:dyDescent="0.3">
      <c r="A362" s="179" t="s">
        <v>889</v>
      </c>
      <c r="B362" s="179">
        <v>205</v>
      </c>
      <c r="C362" s="179">
        <v>186</v>
      </c>
      <c r="D362" s="179">
        <v>150</v>
      </c>
      <c r="E362" s="9">
        <f t="shared" si="5"/>
        <v>9878221</v>
      </c>
      <c r="F362" s="179" t="s">
        <v>890</v>
      </c>
      <c r="G362" s="401" t="s">
        <v>26</v>
      </c>
    </row>
    <row r="363" spans="1:7" ht="14.4" customHeight="1" thickBot="1" x14ac:dyDescent="0.3">
      <c r="A363" s="179" t="s">
        <v>891</v>
      </c>
      <c r="B363" s="179">
        <v>255</v>
      </c>
      <c r="C363" s="179">
        <v>165</v>
      </c>
      <c r="D363" s="179">
        <v>0</v>
      </c>
      <c r="E363" s="9">
        <f t="shared" si="5"/>
        <v>42495</v>
      </c>
      <c r="F363" s="179" t="s">
        <v>892</v>
      </c>
      <c r="G363" s="73" t="s">
        <v>26</v>
      </c>
    </row>
    <row r="364" spans="1:7" ht="14.4" customHeight="1" thickBot="1" x14ac:dyDescent="0.3">
      <c r="A364" s="179" t="s">
        <v>194</v>
      </c>
      <c r="B364" s="179">
        <v>255</v>
      </c>
      <c r="C364" s="179">
        <v>165</v>
      </c>
      <c r="D364" s="179">
        <v>0</v>
      </c>
      <c r="E364" s="9">
        <f t="shared" si="5"/>
        <v>42495</v>
      </c>
      <c r="F364" s="179" t="s">
        <v>892</v>
      </c>
      <c r="G364" s="73" t="s">
        <v>26</v>
      </c>
    </row>
    <row r="365" spans="1:7" ht="14.4" customHeight="1" thickBot="1" x14ac:dyDescent="0.3">
      <c r="A365" s="179" t="s">
        <v>195</v>
      </c>
      <c r="B365" s="179">
        <v>238</v>
      </c>
      <c r="C365" s="179">
        <v>154</v>
      </c>
      <c r="D365" s="179">
        <v>0</v>
      </c>
      <c r="E365" s="9">
        <f t="shared" si="5"/>
        <v>39662</v>
      </c>
      <c r="F365" s="179" t="s">
        <v>893</v>
      </c>
      <c r="G365" s="402" t="s">
        <v>26</v>
      </c>
    </row>
    <row r="366" spans="1:7" ht="14.4" customHeight="1" thickBot="1" x14ac:dyDescent="0.3">
      <c r="A366" s="179" t="s">
        <v>196</v>
      </c>
      <c r="B366" s="179">
        <v>205</v>
      </c>
      <c r="C366" s="179">
        <v>133</v>
      </c>
      <c r="D366" s="179">
        <v>0</v>
      </c>
      <c r="E366" s="9">
        <f t="shared" si="5"/>
        <v>34253</v>
      </c>
      <c r="F366" s="179" t="s">
        <v>894</v>
      </c>
      <c r="G366" s="403" t="s">
        <v>26</v>
      </c>
    </row>
    <row r="367" spans="1:7" ht="14.4" customHeight="1" thickBot="1" x14ac:dyDescent="0.3">
      <c r="A367" s="179" t="s">
        <v>197</v>
      </c>
      <c r="B367" s="179">
        <v>139</v>
      </c>
      <c r="C367" s="179">
        <v>90</v>
      </c>
      <c r="D367" s="179">
        <v>0</v>
      </c>
      <c r="E367" s="9">
        <f t="shared" si="5"/>
        <v>23179</v>
      </c>
      <c r="F367" s="179" t="s">
        <v>895</v>
      </c>
      <c r="G367" s="404" t="s">
        <v>26</v>
      </c>
    </row>
    <row r="368" spans="1:7" ht="14.4" customHeight="1" thickBot="1" x14ac:dyDescent="0.3">
      <c r="A368" s="179" t="s">
        <v>896</v>
      </c>
      <c r="B368" s="179">
        <v>139</v>
      </c>
      <c r="C368" s="179">
        <v>126</v>
      </c>
      <c r="D368" s="179">
        <v>102</v>
      </c>
      <c r="E368" s="9">
        <f t="shared" si="5"/>
        <v>6717067</v>
      </c>
      <c r="F368" s="179" t="s">
        <v>897</v>
      </c>
      <c r="G368" s="405" t="s">
        <v>26</v>
      </c>
    </row>
    <row r="369" spans="1:7" ht="14.4" customHeight="1" thickBot="1" x14ac:dyDescent="0.3">
      <c r="A369" s="179" t="s">
        <v>898</v>
      </c>
      <c r="B369" s="179">
        <v>255</v>
      </c>
      <c r="C369" s="179">
        <v>228</v>
      </c>
      <c r="D369" s="179">
        <v>181</v>
      </c>
      <c r="E369" s="9">
        <f t="shared" si="5"/>
        <v>11920639</v>
      </c>
      <c r="F369" s="179" t="s">
        <v>899</v>
      </c>
      <c r="G369" s="70" t="s">
        <v>26</v>
      </c>
    </row>
    <row r="370" spans="1:7" ht="14.4" customHeight="1" thickBot="1" x14ac:dyDescent="0.3">
      <c r="A370" s="179" t="s">
        <v>140</v>
      </c>
      <c r="B370" s="179">
        <v>255</v>
      </c>
      <c r="C370" s="179">
        <v>239</v>
      </c>
      <c r="D370" s="179">
        <v>213</v>
      </c>
      <c r="E370" s="9">
        <f t="shared" si="5"/>
        <v>14020607</v>
      </c>
      <c r="F370" s="179" t="s">
        <v>900</v>
      </c>
      <c r="G370" s="78" t="s">
        <v>26</v>
      </c>
    </row>
    <row r="371" spans="1:7" ht="14.4" customHeight="1" thickBot="1" x14ac:dyDescent="0.3">
      <c r="A371" s="179" t="s">
        <v>901</v>
      </c>
      <c r="B371" s="179">
        <v>205</v>
      </c>
      <c r="C371" s="179">
        <v>179</v>
      </c>
      <c r="D371" s="179">
        <v>139</v>
      </c>
      <c r="E371" s="9">
        <f t="shared" si="5"/>
        <v>9155533</v>
      </c>
      <c r="F371" s="179" t="s">
        <v>902</v>
      </c>
      <c r="G371" s="406" t="s">
        <v>26</v>
      </c>
    </row>
    <row r="372" spans="1:7" ht="14.4" customHeight="1" thickBot="1" x14ac:dyDescent="0.3">
      <c r="A372" s="179" t="s">
        <v>46</v>
      </c>
      <c r="B372" s="179">
        <v>255</v>
      </c>
      <c r="C372" s="179">
        <v>235</v>
      </c>
      <c r="D372" s="179">
        <v>205</v>
      </c>
      <c r="E372" s="9">
        <f t="shared" si="5"/>
        <v>13495295</v>
      </c>
      <c r="F372" s="179" t="s">
        <v>903</v>
      </c>
      <c r="G372" s="17" t="s">
        <v>26</v>
      </c>
    </row>
    <row r="373" spans="1:7" ht="14.4" customHeight="1" thickBot="1" x14ac:dyDescent="0.3">
      <c r="A373" s="179" t="s">
        <v>130</v>
      </c>
      <c r="B373" s="179">
        <v>255</v>
      </c>
      <c r="C373" s="179">
        <v>222</v>
      </c>
      <c r="D373" s="179">
        <v>173</v>
      </c>
      <c r="E373" s="9">
        <f t="shared" si="5"/>
        <v>11394815</v>
      </c>
      <c r="F373" s="179" t="s">
        <v>904</v>
      </c>
      <c r="G373" s="71" t="s">
        <v>26</v>
      </c>
    </row>
    <row r="374" spans="1:7" ht="14.4" customHeight="1" thickBot="1" x14ac:dyDescent="0.3">
      <c r="A374" s="179" t="s">
        <v>905</v>
      </c>
      <c r="B374" s="179">
        <v>255</v>
      </c>
      <c r="C374" s="179">
        <v>222</v>
      </c>
      <c r="D374" s="179">
        <v>173</v>
      </c>
      <c r="E374" s="9">
        <f t="shared" si="5"/>
        <v>11394815</v>
      </c>
      <c r="F374" s="179" t="s">
        <v>904</v>
      </c>
      <c r="G374" s="71" t="s">
        <v>26</v>
      </c>
    </row>
    <row r="375" spans="1:7" ht="14.4" customHeight="1" thickBot="1" x14ac:dyDescent="0.3">
      <c r="A375" s="179" t="s">
        <v>906</v>
      </c>
      <c r="B375" s="179">
        <v>238</v>
      </c>
      <c r="C375" s="179">
        <v>207</v>
      </c>
      <c r="D375" s="179">
        <v>161</v>
      </c>
      <c r="E375" s="9">
        <f t="shared" si="5"/>
        <v>10604526</v>
      </c>
      <c r="F375" s="179" t="s">
        <v>907</v>
      </c>
      <c r="G375" s="407" t="s">
        <v>26</v>
      </c>
    </row>
    <row r="376" spans="1:7" ht="14.4" customHeight="1" thickBot="1" x14ac:dyDescent="0.3">
      <c r="A376" s="179" t="s">
        <v>908</v>
      </c>
      <c r="B376" s="179">
        <v>139</v>
      </c>
      <c r="C376" s="179">
        <v>121</v>
      </c>
      <c r="D376" s="179">
        <v>94</v>
      </c>
      <c r="E376" s="9">
        <f t="shared" si="5"/>
        <v>6191499</v>
      </c>
      <c r="F376" s="179" t="s">
        <v>909</v>
      </c>
      <c r="G376" s="408" t="s">
        <v>26</v>
      </c>
    </row>
    <row r="377" spans="1:7" ht="14.4" customHeight="1" thickBot="1" x14ac:dyDescent="0.3">
      <c r="A377" s="179" t="s">
        <v>910</v>
      </c>
      <c r="B377" s="179">
        <v>139</v>
      </c>
      <c r="C377" s="179">
        <v>131</v>
      </c>
      <c r="D377" s="179">
        <v>120</v>
      </c>
      <c r="E377" s="9">
        <f t="shared" si="5"/>
        <v>7897995</v>
      </c>
      <c r="F377" s="179" t="s">
        <v>911</v>
      </c>
      <c r="G377" s="409" t="s">
        <v>26</v>
      </c>
    </row>
    <row r="378" spans="1:7" ht="14.4" customHeight="1" thickBot="1" x14ac:dyDescent="0.3">
      <c r="A378" s="179" t="s">
        <v>39</v>
      </c>
      <c r="B378" s="179">
        <v>250</v>
      </c>
      <c r="C378" s="179">
        <v>235</v>
      </c>
      <c r="D378" s="179">
        <v>215</v>
      </c>
      <c r="E378" s="9">
        <f t="shared" si="5"/>
        <v>14150650</v>
      </c>
      <c r="F378" s="179" t="s">
        <v>912</v>
      </c>
      <c r="G378" s="11" t="s">
        <v>26</v>
      </c>
    </row>
    <row r="379" spans="1:7" ht="14.4" customHeight="1" thickBot="1" x14ac:dyDescent="0.3">
      <c r="A379" s="179" t="s">
        <v>913</v>
      </c>
      <c r="B379" s="179">
        <v>210</v>
      </c>
      <c r="C379" s="179">
        <v>180</v>
      </c>
      <c r="D379" s="179">
        <v>140</v>
      </c>
      <c r="E379" s="9">
        <f t="shared" si="5"/>
        <v>9221330</v>
      </c>
      <c r="F379" s="179" t="s">
        <v>914</v>
      </c>
      <c r="G379" s="92" t="s">
        <v>26</v>
      </c>
    </row>
    <row r="380" spans="1:7" ht="14.4" customHeight="1" thickBot="1" x14ac:dyDescent="0.3">
      <c r="A380" s="179" t="s">
        <v>915</v>
      </c>
      <c r="B380" s="179">
        <v>139</v>
      </c>
      <c r="C380" s="179">
        <v>125</v>
      </c>
      <c r="D380" s="179">
        <v>107</v>
      </c>
      <c r="E380" s="9">
        <f t="shared" si="5"/>
        <v>7044491</v>
      </c>
      <c r="F380" s="179" t="s">
        <v>916</v>
      </c>
      <c r="G380" s="410" t="s">
        <v>26</v>
      </c>
    </row>
    <row r="381" spans="1:7" ht="14.4" customHeight="1" thickBot="1" x14ac:dyDescent="0.3">
      <c r="A381" s="179" t="s">
        <v>917</v>
      </c>
      <c r="B381" s="179">
        <v>222</v>
      </c>
      <c r="C381" s="179">
        <v>184</v>
      </c>
      <c r="D381" s="179">
        <v>135</v>
      </c>
      <c r="E381" s="9">
        <f t="shared" si="5"/>
        <v>8894686</v>
      </c>
      <c r="F381" s="179" t="s">
        <v>918</v>
      </c>
      <c r="G381" s="18" t="s">
        <v>26</v>
      </c>
    </row>
    <row r="382" spans="1:7" ht="14.4" customHeight="1" thickBot="1" x14ac:dyDescent="0.3">
      <c r="A382" s="179" t="s">
        <v>919</v>
      </c>
      <c r="B382" s="179">
        <v>238</v>
      </c>
      <c r="C382" s="179">
        <v>223</v>
      </c>
      <c r="D382" s="179">
        <v>204</v>
      </c>
      <c r="E382" s="9">
        <f t="shared" si="5"/>
        <v>13426670</v>
      </c>
      <c r="F382" s="179" t="s">
        <v>920</v>
      </c>
      <c r="G382" s="411" t="s">
        <v>26</v>
      </c>
    </row>
    <row r="383" spans="1:7" ht="14.4" customHeight="1" thickBot="1" x14ac:dyDescent="0.3">
      <c r="A383" s="179" t="s">
        <v>921</v>
      </c>
      <c r="B383" s="179">
        <v>255</v>
      </c>
      <c r="C383" s="179">
        <v>211</v>
      </c>
      <c r="D383" s="179">
        <v>155</v>
      </c>
      <c r="E383" s="9">
        <f t="shared" si="5"/>
        <v>10212351</v>
      </c>
      <c r="F383" s="179" t="s">
        <v>922</v>
      </c>
      <c r="G383" s="412" t="s">
        <v>26</v>
      </c>
    </row>
    <row r="384" spans="1:7" ht="14.4" customHeight="1" thickBot="1" x14ac:dyDescent="0.3">
      <c r="A384" s="179" t="s">
        <v>923</v>
      </c>
      <c r="B384" s="179">
        <v>205</v>
      </c>
      <c r="C384" s="179">
        <v>170</v>
      </c>
      <c r="D384" s="179">
        <v>125</v>
      </c>
      <c r="E384" s="9">
        <f t="shared" si="5"/>
        <v>8235725</v>
      </c>
      <c r="F384" s="179" t="s">
        <v>924</v>
      </c>
      <c r="G384" s="413" t="s">
        <v>26</v>
      </c>
    </row>
    <row r="385" spans="1:7" ht="14.4" customHeight="1" thickBot="1" x14ac:dyDescent="0.3">
      <c r="A385" s="179" t="s">
        <v>925</v>
      </c>
      <c r="B385" s="179">
        <v>238</v>
      </c>
      <c r="C385" s="179">
        <v>197</v>
      </c>
      <c r="D385" s="179">
        <v>145</v>
      </c>
      <c r="E385" s="9">
        <f t="shared" si="5"/>
        <v>9553390</v>
      </c>
      <c r="F385" s="179" t="s">
        <v>926</v>
      </c>
      <c r="G385" s="414" t="s">
        <v>26</v>
      </c>
    </row>
    <row r="386" spans="1:7" ht="14.4" customHeight="1" thickBot="1" x14ac:dyDescent="0.3">
      <c r="A386" s="179" t="s">
        <v>927</v>
      </c>
      <c r="B386" s="179">
        <v>255</v>
      </c>
      <c r="C386" s="179">
        <v>239</v>
      </c>
      <c r="D386" s="179">
        <v>219</v>
      </c>
      <c r="E386" s="9">
        <f t="shared" ref="E386:E449" si="6">B386+256*C386+256*256*D386</f>
        <v>14413823</v>
      </c>
      <c r="F386" s="179" t="s">
        <v>928</v>
      </c>
      <c r="G386" s="415" t="s">
        <v>26</v>
      </c>
    </row>
    <row r="387" spans="1:7" ht="14.4" customHeight="1" thickBot="1" x14ac:dyDescent="0.3">
      <c r="A387" s="179" t="s">
        <v>929</v>
      </c>
      <c r="B387" s="179">
        <v>139</v>
      </c>
      <c r="C387" s="179">
        <v>115</v>
      </c>
      <c r="D387" s="179">
        <v>85</v>
      </c>
      <c r="E387" s="9">
        <f t="shared" si="6"/>
        <v>5600139</v>
      </c>
      <c r="F387" s="179" t="s">
        <v>930</v>
      </c>
      <c r="G387" s="416" t="s">
        <v>26</v>
      </c>
    </row>
    <row r="388" spans="1:7" ht="14.4" customHeight="1" thickBot="1" x14ac:dyDescent="0.3">
      <c r="A388" s="179" t="s">
        <v>931</v>
      </c>
      <c r="B388" s="179">
        <v>205</v>
      </c>
      <c r="C388" s="179">
        <v>192</v>
      </c>
      <c r="D388" s="179">
        <v>176</v>
      </c>
      <c r="E388" s="9">
        <f t="shared" si="6"/>
        <v>11583693</v>
      </c>
      <c r="F388" s="179" t="s">
        <v>932</v>
      </c>
      <c r="G388" s="417" t="s">
        <v>26</v>
      </c>
    </row>
    <row r="389" spans="1:7" ht="14.4" customHeight="1" thickBot="1" x14ac:dyDescent="0.3">
      <c r="A389" s="179" t="s">
        <v>65</v>
      </c>
      <c r="B389" s="179">
        <v>255</v>
      </c>
      <c r="C389" s="179">
        <v>140</v>
      </c>
      <c r="D389" s="179">
        <v>0</v>
      </c>
      <c r="E389" s="9">
        <f t="shared" si="6"/>
        <v>36095</v>
      </c>
      <c r="F389" s="179" t="s">
        <v>933</v>
      </c>
      <c r="G389" s="26" t="s">
        <v>26</v>
      </c>
    </row>
    <row r="390" spans="1:7" ht="14.4" customHeight="1" thickBot="1" x14ac:dyDescent="0.3">
      <c r="A390" s="179" t="s">
        <v>934</v>
      </c>
      <c r="B390" s="179">
        <v>238</v>
      </c>
      <c r="C390" s="179">
        <v>213</v>
      </c>
      <c r="D390" s="179">
        <v>183</v>
      </c>
      <c r="E390" s="9">
        <f t="shared" si="6"/>
        <v>12047854</v>
      </c>
      <c r="F390" s="179" t="s">
        <v>935</v>
      </c>
      <c r="G390" s="418" t="s">
        <v>26</v>
      </c>
    </row>
    <row r="391" spans="1:7" ht="14.4" customHeight="1" thickBot="1" x14ac:dyDescent="0.3">
      <c r="A391" s="179" t="s">
        <v>936</v>
      </c>
      <c r="B391" s="179">
        <v>255</v>
      </c>
      <c r="C391" s="179">
        <v>228</v>
      </c>
      <c r="D391" s="179">
        <v>196</v>
      </c>
      <c r="E391" s="9">
        <f t="shared" si="6"/>
        <v>12903679</v>
      </c>
      <c r="F391" s="179" t="s">
        <v>937</v>
      </c>
      <c r="G391" s="16" t="s">
        <v>26</v>
      </c>
    </row>
    <row r="392" spans="1:7" ht="14.4" customHeight="1" thickBot="1" x14ac:dyDescent="0.3">
      <c r="A392" s="179" t="s">
        <v>938</v>
      </c>
      <c r="B392" s="179">
        <v>255</v>
      </c>
      <c r="C392" s="179">
        <v>228</v>
      </c>
      <c r="D392" s="179">
        <v>196</v>
      </c>
      <c r="E392" s="9">
        <f t="shared" si="6"/>
        <v>12903679</v>
      </c>
      <c r="F392" s="179" t="s">
        <v>937</v>
      </c>
      <c r="G392" s="16" t="s">
        <v>26</v>
      </c>
    </row>
    <row r="393" spans="1:7" ht="14.4" customHeight="1" thickBot="1" x14ac:dyDescent="0.3">
      <c r="A393" s="179" t="s">
        <v>939</v>
      </c>
      <c r="B393" s="179">
        <v>205</v>
      </c>
      <c r="C393" s="179">
        <v>183</v>
      </c>
      <c r="D393" s="179">
        <v>158</v>
      </c>
      <c r="E393" s="9">
        <f t="shared" si="6"/>
        <v>10401741</v>
      </c>
      <c r="F393" s="179" t="s">
        <v>940</v>
      </c>
      <c r="G393" s="419" t="s">
        <v>26</v>
      </c>
    </row>
    <row r="394" spans="1:7" ht="14.4" customHeight="1" thickBot="1" x14ac:dyDescent="0.3">
      <c r="A394" s="179" t="s">
        <v>941</v>
      </c>
      <c r="B394" s="179">
        <v>255</v>
      </c>
      <c r="C394" s="179">
        <v>127</v>
      </c>
      <c r="D394" s="179">
        <v>0</v>
      </c>
      <c r="E394" s="9">
        <f t="shared" si="6"/>
        <v>32767</v>
      </c>
      <c r="F394" s="179" t="s">
        <v>942</v>
      </c>
      <c r="G394" s="105" t="s">
        <v>26</v>
      </c>
    </row>
    <row r="395" spans="1:7" ht="14.4" customHeight="1" thickBot="1" x14ac:dyDescent="0.3">
      <c r="A395" s="179" t="s">
        <v>943</v>
      </c>
      <c r="B395" s="179">
        <v>250</v>
      </c>
      <c r="C395" s="179">
        <v>240</v>
      </c>
      <c r="D395" s="179">
        <v>230</v>
      </c>
      <c r="E395" s="9">
        <f t="shared" si="6"/>
        <v>15134970</v>
      </c>
      <c r="F395" s="179" t="s">
        <v>944</v>
      </c>
      <c r="G395" s="63" t="s">
        <v>26</v>
      </c>
    </row>
    <row r="396" spans="1:7" ht="14.4" customHeight="1" thickBot="1" x14ac:dyDescent="0.3">
      <c r="A396" s="179" t="s">
        <v>945</v>
      </c>
      <c r="B396" s="179">
        <v>238</v>
      </c>
      <c r="C396" s="179">
        <v>118</v>
      </c>
      <c r="D396" s="179">
        <v>0</v>
      </c>
      <c r="E396" s="9">
        <f t="shared" si="6"/>
        <v>30446</v>
      </c>
      <c r="F396" s="179" t="s">
        <v>946</v>
      </c>
      <c r="G396" s="420" t="s">
        <v>26</v>
      </c>
    </row>
    <row r="397" spans="1:7" ht="14.4" customHeight="1" thickBot="1" x14ac:dyDescent="0.3">
      <c r="A397" s="179" t="s">
        <v>947</v>
      </c>
      <c r="B397" s="179">
        <v>205</v>
      </c>
      <c r="C397" s="179">
        <v>102</v>
      </c>
      <c r="D397" s="179">
        <v>0</v>
      </c>
      <c r="E397" s="9">
        <f t="shared" si="6"/>
        <v>26317</v>
      </c>
      <c r="F397" s="179" t="s">
        <v>948</v>
      </c>
      <c r="G397" s="421" t="s">
        <v>26</v>
      </c>
    </row>
    <row r="398" spans="1:7" ht="14.4" customHeight="1" thickBot="1" x14ac:dyDescent="0.3">
      <c r="A398" s="179" t="s">
        <v>949</v>
      </c>
      <c r="B398" s="179">
        <v>139</v>
      </c>
      <c r="C398" s="179">
        <v>69</v>
      </c>
      <c r="D398" s="179">
        <v>0</v>
      </c>
      <c r="E398" s="9">
        <f t="shared" si="6"/>
        <v>17803</v>
      </c>
      <c r="F398" s="179" t="s">
        <v>950</v>
      </c>
      <c r="G398" s="422" t="s">
        <v>26</v>
      </c>
    </row>
    <row r="399" spans="1:7" ht="14.4" customHeight="1" thickBot="1" x14ac:dyDescent="0.3">
      <c r="A399" s="179" t="s">
        <v>951</v>
      </c>
      <c r="B399" s="179">
        <v>205</v>
      </c>
      <c r="C399" s="179">
        <v>133</v>
      </c>
      <c r="D399" s="179">
        <v>63</v>
      </c>
      <c r="E399" s="9">
        <f t="shared" si="6"/>
        <v>4163021</v>
      </c>
      <c r="F399" s="179" t="s">
        <v>952</v>
      </c>
      <c r="G399" s="80" t="s">
        <v>26</v>
      </c>
    </row>
    <row r="400" spans="1:7" ht="14.4" customHeight="1" thickBot="1" x14ac:dyDescent="0.3">
      <c r="A400" s="179" t="s">
        <v>953</v>
      </c>
      <c r="B400" s="179">
        <v>255</v>
      </c>
      <c r="C400" s="179">
        <v>165</v>
      </c>
      <c r="D400" s="179">
        <v>79</v>
      </c>
      <c r="E400" s="9">
        <f t="shared" si="6"/>
        <v>5219839</v>
      </c>
      <c r="F400" s="179" t="s">
        <v>954</v>
      </c>
      <c r="G400" s="423" t="s">
        <v>26</v>
      </c>
    </row>
    <row r="401" spans="1:7" ht="14.4" customHeight="1" thickBot="1" x14ac:dyDescent="0.3">
      <c r="A401" s="179" t="s">
        <v>955</v>
      </c>
      <c r="B401" s="179">
        <v>238</v>
      </c>
      <c r="C401" s="179">
        <v>154</v>
      </c>
      <c r="D401" s="179">
        <v>73</v>
      </c>
      <c r="E401" s="9">
        <f t="shared" si="6"/>
        <v>4823790</v>
      </c>
      <c r="F401" s="179" t="s">
        <v>956</v>
      </c>
      <c r="G401" s="424" t="s">
        <v>26</v>
      </c>
    </row>
    <row r="402" spans="1:7" ht="14.4" customHeight="1" thickBot="1" x14ac:dyDescent="0.3">
      <c r="A402" s="179" t="s">
        <v>957</v>
      </c>
      <c r="B402" s="179">
        <v>205</v>
      </c>
      <c r="C402" s="179">
        <v>133</v>
      </c>
      <c r="D402" s="179">
        <v>63</v>
      </c>
      <c r="E402" s="9">
        <f t="shared" si="6"/>
        <v>4163021</v>
      </c>
      <c r="F402" s="179" t="s">
        <v>952</v>
      </c>
      <c r="G402" s="80" t="s">
        <v>26</v>
      </c>
    </row>
    <row r="403" spans="1:7" ht="14.4" customHeight="1" thickBot="1" x14ac:dyDescent="0.3">
      <c r="A403" s="179" t="s">
        <v>958</v>
      </c>
      <c r="B403" s="179">
        <v>139</v>
      </c>
      <c r="C403" s="179">
        <v>90</v>
      </c>
      <c r="D403" s="179">
        <v>43</v>
      </c>
      <c r="E403" s="9">
        <f t="shared" si="6"/>
        <v>2841227</v>
      </c>
      <c r="F403" s="179" t="s">
        <v>959</v>
      </c>
      <c r="G403" s="425" t="s">
        <v>26</v>
      </c>
    </row>
    <row r="404" spans="1:7" ht="14.4" customHeight="1" thickBot="1" x14ac:dyDescent="0.3">
      <c r="A404" s="179" t="s">
        <v>141</v>
      </c>
      <c r="B404" s="179">
        <v>255</v>
      </c>
      <c r="C404" s="179">
        <v>218</v>
      </c>
      <c r="D404" s="179">
        <v>185</v>
      </c>
      <c r="E404" s="9">
        <f t="shared" si="6"/>
        <v>12180223</v>
      </c>
      <c r="F404" s="179" t="s">
        <v>960</v>
      </c>
      <c r="G404" s="79" t="s">
        <v>26</v>
      </c>
    </row>
    <row r="405" spans="1:7" ht="14.4" customHeight="1" thickBot="1" x14ac:dyDescent="0.3">
      <c r="A405" s="179" t="s">
        <v>961</v>
      </c>
      <c r="B405" s="179">
        <v>255</v>
      </c>
      <c r="C405" s="179">
        <v>218</v>
      </c>
      <c r="D405" s="179">
        <v>185</v>
      </c>
      <c r="E405" s="9">
        <f t="shared" si="6"/>
        <v>12180223</v>
      </c>
      <c r="F405" s="179" t="s">
        <v>960</v>
      </c>
      <c r="G405" s="79" t="s">
        <v>26</v>
      </c>
    </row>
    <row r="406" spans="1:7" ht="14.4" customHeight="1" thickBot="1" x14ac:dyDescent="0.3">
      <c r="A406" s="179" t="s">
        <v>962</v>
      </c>
      <c r="B406" s="179">
        <v>139</v>
      </c>
      <c r="C406" s="179">
        <v>119</v>
      </c>
      <c r="D406" s="179">
        <v>101</v>
      </c>
      <c r="E406" s="9">
        <f t="shared" si="6"/>
        <v>6649739</v>
      </c>
      <c r="F406" s="179" t="s">
        <v>963</v>
      </c>
      <c r="G406" s="426" t="s">
        <v>26</v>
      </c>
    </row>
    <row r="407" spans="1:7" ht="14.4" customHeight="1" thickBot="1" x14ac:dyDescent="0.3">
      <c r="A407" s="179" t="s">
        <v>964</v>
      </c>
      <c r="B407" s="179">
        <v>238</v>
      </c>
      <c r="C407" s="179">
        <v>203</v>
      </c>
      <c r="D407" s="179">
        <v>173</v>
      </c>
      <c r="E407" s="9">
        <f t="shared" si="6"/>
        <v>11389934</v>
      </c>
      <c r="F407" s="179" t="s">
        <v>965</v>
      </c>
      <c r="G407" s="427" t="s">
        <v>26</v>
      </c>
    </row>
    <row r="408" spans="1:7" ht="14.4" customHeight="1" thickBot="1" x14ac:dyDescent="0.3">
      <c r="A408" s="179" t="s">
        <v>966</v>
      </c>
      <c r="B408" s="179">
        <v>205</v>
      </c>
      <c r="C408" s="179">
        <v>175</v>
      </c>
      <c r="D408" s="179">
        <v>149</v>
      </c>
      <c r="E408" s="9">
        <f t="shared" si="6"/>
        <v>9809869</v>
      </c>
      <c r="F408" s="179" t="s">
        <v>967</v>
      </c>
      <c r="G408" s="428" t="s">
        <v>26</v>
      </c>
    </row>
    <row r="409" spans="1:7" ht="14.4" customHeight="1" thickBot="1" x14ac:dyDescent="0.3">
      <c r="A409" s="179" t="s">
        <v>151</v>
      </c>
      <c r="B409" s="179">
        <v>244</v>
      </c>
      <c r="C409" s="179">
        <v>164</v>
      </c>
      <c r="D409" s="179">
        <v>96</v>
      </c>
      <c r="E409" s="9">
        <f t="shared" si="6"/>
        <v>6333684</v>
      </c>
      <c r="F409" s="179" t="s">
        <v>968</v>
      </c>
      <c r="G409" s="86" t="s">
        <v>26</v>
      </c>
    </row>
    <row r="410" spans="1:7" ht="14.4" customHeight="1" thickBot="1" x14ac:dyDescent="0.3">
      <c r="A410" s="179" t="s">
        <v>969</v>
      </c>
      <c r="B410" s="179">
        <v>139</v>
      </c>
      <c r="C410" s="179">
        <v>134</v>
      </c>
      <c r="D410" s="179">
        <v>130</v>
      </c>
      <c r="E410" s="9">
        <f t="shared" si="6"/>
        <v>8554123</v>
      </c>
      <c r="F410" s="179" t="s">
        <v>970</v>
      </c>
      <c r="G410" s="429" t="s">
        <v>26</v>
      </c>
    </row>
    <row r="411" spans="1:7" ht="14.4" customHeight="1" thickBot="1" x14ac:dyDescent="0.3">
      <c r="A411" s="179" t="s">
        <v>971</v>
      </c>
      <c r="B411" s="179">
        <v>238</v>
      </c>
      <c r="C411" s="179">
        <v>229</v>
      </c>
      <c r="D411" s="179">
        <v>222</v>
      </c>
      <c r="E411" s="9">
        <f t="shared" si="6"/>
        <v>14607854</v>
      </c>
      <c r="F411" s="179" t="s">
        <v>972</v>
      </c>
      <c r="G411" s="430" t="s">
        <v>26</v>
      </c>
    </row>
    <row r="412" spans="1:7" ht="14.4" customHeight="1" thickBot="1" x14ac:dyDescent="0.3">
      <c r="A412" s="179" t="s">
        <v>973</v>
      </c>
      <c r="B412" s="179">
        <v>205</v>
      </c>
      <c r="C412" s="179">
        <v>197</v>
      </c>
      <c r="D412" s="179">
        <v>191</v>
      </c>
      <c r="E412" s="9">
        <f t="shared" si="6"/>
        <v>12568013</v>
      </c>
      <c r="F412" s="179" t="s">
        <v>974</v>
      </c>
      <c r="G412" s="431" t="s">
        <v>26</v>
      </c>
    </row>
    <row r="413" spans="1:7" ht="14.4" customHeight="1" thickBot="1" x14ac:dyDescent="0.3">
      <c r="A413" s="179" t="s">
        <v>975</v>
      </c>
      <c r="B413" s="179">
        <v>210</v>
      </c>
      <c r="C413" s="179">
        <v>105</v>
      </c>
      <c r="D413" s="179">
        <v>30</v>
      </c>
      <c r="E413" s="9">
        <f t="shared" si="6"/>
        <v>1993170</v>
      </c>
      <c r="F413" s="179" t="s">
        <v>976</v>
      </c>
      <c r="G413" s="117" t="s">
        <v>26</v>
      </c>
    </row>
    <row r="414" spans="1:7" ht="14.4" customHeight="1" thickBot="1" x14ac:dyDescent="0.3">
      <c r="A414" s="179" t="s">
        <v>977</v>
      </c>
      <c r="B414" s="179">
        <v>255</v>
      </c>
      <c r="C414" s="179">
        <v>127</v>
      </c>
      <c r="D414" s="179">
        <v>36</v>
      </c>
      <c r="E414" s="9">
        <f t="shared" si="6"/>
        <v>2392063</v>
      </c>
      <c r="F414" s="179" t="s">
        <v>978</v>
      </c>
      <c r="G414" s="432" t="s">
        <v>26</v>
      </c>
    </row>
    <row r="415" spans="1:7" ht="14.4" customHeight="1" thickBot="1" x14ac:dyDescent="0.3">
      <c r="A415" s="179" t="s">
        <v>979</v>
      </c>
      <c r="B415" s="179">
        <v>238</v>
      </c>
      <c r="C415" s="179">
        <v>118</v>
      </c>
      <c r="D415" s="179">
        <v>33</v>
      </c>
      <c r="E415" s="9">
        <f t="shared" si="6"/>
        <v>2193134</v>
      </c>
      <c r="F415" s="179" t="s">
        <v>980</v>
      </c>
      <c r="G415" s="433" t="s">
        <v>26</v>
      </c>
    </row>
    <row r="416" spans="1:7" ht="14.4" customHeight="1" thickBot="1" x14ac:dyDescent="0.3">
      <c r="A416" s="179" t="s">
        <v>981</v>
      </c>
      <c r="B416" s="179">
        <v>205</v>
      </c>
      <c r="C416" s="179">
        <v>102</v>
      </c>
      <c r="D416" s="179">
        <v>29</v>
      </c>
      <c r="E416" s="9">
        <f t="shared" si="6"/>
        <v>1926861</v>
      </c>
      <c r="F416" s="179" t="s">
        <v>982</v>
      </c>
      <c r="G416" s="434" t="s">
        <v>26</v>
      </c>
    </row>
    <row r="417" spans="1:7" ht="14.4" customHeight="1" thickBot="1" x14ac:dyDescent="0.3">
      <c r="A417" s="179" t="s">
        <v>983</v>
      </c>
      <c r="B417" s="179">
        <v>139</v>
      </c>
      <c r="C417" s="179">
        <v>69</v>
      </c>
      <c r="D417" s="179">
        <v>19</v>
      </c>
      <c r="E417" s="9">
        <f t="shared" si="6"/>
        <v>1262987</v>
      </c>
      <c r="F417" s="179" t="s">
        <v>984</v>
      </c>
      <c r="G417" s="160" t="s">
        <v>26</v>
      </c>
    </row>
    <row r="418" spans="1:7" ht="14.4" customHeight="1" thickBot="1" x14ac:dyDescent="0.3">
      <c r="A418" s="179" t="s">
        <v>149</v>
      </c>
      <c r="B418" s="179">
        <v>139</v>
      </c>
      <c r="C418" s="179">
        <v>69</v>
      </c>
      <c r="D418" s="179">
        <v>19</v>
      </c>
      <c r="E418" s="9">
        <f t="shared" si="6"/>
        <v>1262987</v>
      </c>
      <c r="F418" s="179" t="s">
        <v>984</v>
      </c>
      <c r="G418" s="160" t="s">
        <v>26</v>
      </c>
    </row>
    <row r="419" spans="1:7" ht="14.4" customHeight="1" thickBot="1" x14ac:dyDescent="0.3">
      <c r="A419" s="179" t="s">
        <v>985</v>
      </c>
      <c r="B419" s="179">
        <v>255</v>
      </c>
      <c r="C419" s="179">
        <v>245</v>
      </c>
      <c r="D419" s="179">
        <v>238</v>
      </c>
      <c r="E419" s="9">
        <f t="shared" si="6"/>
        <v>15660543</v>
      </c>
      <c r="F419" s="179" t="s">
        <v>986</v>
      </c>
      <c r="G419" s="87" t="s">
        <v>26</v>
      </c>
    </row>
    <row r="420" spans="1:7" ht="14.4" customHeight="1" thickBot="1" x14ac:dyDescent="0.3">
      <c r="A420" s="179" t="s">
        <v>987</v>
      </c>
      <c r="B420" s="179">
        <v>255</v>
      </c>
      <c r="C420" s="179">
        <v>245</v>
      </c>
      <c r="D420" s="179">
        <v>238</v>
      </c>
      <c r="E420" s="9">
        <f t="shared" si="6"/>
        <v>15660543</v>
      </c>
      <c r="F420" s="179" t="s">
        <v>986</v>
      </c>
      <c r="G420" s="87" t="s">
        <v>26</v>
      </c>
    </row>
    <row r="421" spans="1:7" ht="14.4" customHeight="1" thickBot="1" x14ac:dyDescent="0.3">
      <c r="A421" s="179" t="s">
        <v>988</v>
      </c>
      <c r="B421" s="179">
        <v>139</v>
      </c>
      <c r="C421" s="179">
        <v>71</v>
      </c>
      <c r="D421" s="179">
        <v>38</v>
      </c>
      <c r="E421" s="9">
        <f t="shared" si="6"/>
        <v>2508683</v>
      </c>
      <c r="F421" s="179" t="s">
        <v>989</v>
      </c>
      <c r="G421" s="435" t="s">
        <v>26</v>
      </c>
    </row>
    <row r="422" spans="1:7" ht="14.4" customHeight="1" thickBot="1" x14ac:dyDescent="0.3">
      <c r="A422" s="179" t="s">
        <v>990</v>
      </c>
      <c r="B422" s="179">
        <v>160</v>
      </c>
      <c r="C422" s="179">
        <v>82</v>
      </c>
      <c r="D422" s="179">
        <v>45</v>
      </c>
      <c r="E422" s="9">
        <f t="shared" si="6"/>
        <v>2970272</v>
      </c>
      <c r="F422" s="179" t="s">
        <v>991</v>
      </c>
      <c r="G422" s="162" t="s">
        <v>26</v>
      </c>
    </row>
    <row r="423" spans="1:7" ht="14.4" customHeight="1" thickBot="1" x14ac:dyDescent="0.3">
      <c r="A423" s="179" t="s">
        <v>992</v>
      </c>
      <c r="B423" s="179">
        <v>255</v>
      </c>
      <c r="C423" s="179">
        <v>130</v>
      </c>
      <c r="D423" s="179">
        <v>71</v>
      </c>
      <c r="E423" s="9">
        <f t="shared" si="6"/>
        <v>4686591</v>
      </c>
      <c r="F423" s="179" t="s">
        <v>993</v>
      </c>
      <c r="G423" s="436" t="s">
        <v>26</v>
      </c>
    </row>
    <row r="424" spans="1:7" ht="14.4" customHeight="1" thickBot="1" x14ac:dyDescent="0.3">
      <c r="A424" s="179" t="s">
        <v>994</v>
      </c>
      <c r="B424" s="179">
        <v>238</v>
      </c>
      <c r="C424" s="179">
        <v>121</v>
      </c>
      <c r="D424" s="179">
        <v>66</v>
      </c>
      <c r="E424" s="9">
        <f t="shared" si="6"/>
        <v>4356590</v>
      </c>
      <c r="F424" s="179" t="s">
        <v>995</v>
      </c>
      <c r="G424" s="437" t="s">
        <v>26</v>
      </c>
    </row>
    <row r="425" spans="1:7" ht="14.4" customHeight="1" thickBot="1" x14ac:dyDescent="0.3">
      <c r="A425" s="179" t="s">
        <v>996</v>
      </c>
      <c r="B425" s="179">
        <v>205</v>
      </c>
      <c r="C425" s="179">
        <v>104</v>
      </c>
      <c r="D425" s="179">
        <v>57</v>
      </c>
      <c r="E425" s="9">
        <f t="shared" si="6"/>
        <v>3762381</v>
      </c>
      <c r="F425" s="179" t="s">
        <v>997</v>
      </c>
      <c r="G425" s="438" t="s">
        <v>26</v>
      </c>
    </row>
    <row r="426" spans="1:7" ht="14.4" customHeight="1" thickBot="1" x14ac:dyDescent="0.3">
      <c r="A426" s="179" t="s">
        <v>998</v>
      </c>
      <c r="B426" s="179">
        <v>205</v>
      </c>
      <c r="C426" s="179">
        <v>129</v>
      </c>
      <c r="D426" s="179">
        <v>98</v>
      </c>
      <c r="E426" s="9">
        <f t="shared" si="6"/>
        <v>6455757</v>
      </c>
      <c r="F426" s="179" t="s">
        <v>999</v>
      </c>
      <c r="G426" s="439" t="s">
        <v>26</v>
      </c>
    </row>
    <row r="427" spans="1:7" ht="14.4" customHeight="1" thickBot="1" x14ac:dyDescent="0.3">
      <c r="A427" s="179" t="s">
        <v>106</v>
      </c>
      <c r="B427" s="179">
        <v>255</v>
      </c>
      <c r="C427" s="179">
        <v>160</v>
      </c>
      <c r="D427" s="179">
        <v>122</v>
      </c>
      <c r="E427" s="9">
        <f t="shared" si="6"/>
        <v>8036607</v>
      </c>
      <c r="F427" s="179" t="s">
        <v>1000</v>
      </c>
      <c r="G427" s="56" t="s">
        <v>26</v>
      </c>
    </row>
    <row r="428" spans="1:7" ht="14.4" customHeight="1" thickBot="1" x14ac:dyDescent="0.3">
      <c r="A428" s="179" t="s">
        <v>1001</v>
      </c>
      <c r="B428" s="179">
        <v>255</v>
      </c>
      <c r="C428" s="179">
        <v>160</v>
      </c>
      <c r="D428" s="179">
        <v>122</v>
      </c>
      <c r="E428" s="9">
        <f t="shared" si="6"/>
        <v>8036607</v>
      </c>
      <c r="F428" s="179" t="s">
        <v>1000</v>
      </c>
      <c r="G428" s="56" t="s">
        <v>26</v>
      </c>
    </row>
    <row r="429" spans="1:7" ht="14.4" customHeight="1" thickBot="1" x14ac:dyDescent="0.3">
      <c r="A429" s="179" t="s">
        <v>1002</v>
      </c>
      <c r="B429" s="179">
        <v>139</v>
      </c>
      <c r="C429" s="179">
        <v>87</v>
      </c>
      <c r="D429" s="179">
        <v>66</v>
      </c>
      <c r="E429" s="9">
        <f t="shared" si="6"/>
        <v>4347787</v>
      </c>
      <c r="F429" s="179" t="s">
        <v>1003</v>
      </c>
      <c r="G429" s="440" t="s">
        <v>26</v>
      </c>
    </row>
    <row r="430" spans="1:7" ht="14.4" customHeight="1" thickBot="1" x14ac:dyDescent="0.3">
      <c r="A430" s="179" t="s">
        <v>1004</v>
      </c>
      <c r="B430" s="179">
        <v>238</v>
      </c>
      <c r="C430" s="179">
        <v>149</v>
      </c>
      <c r="D430" s="179">
        <v>114</v>
      </c>
      <c r="E430" s="9">
        <f t="shared" si="6"/>
        <v>7509486</v>
      </c>
      <c r="F430" s="179" t="s">
        <v>1005</v>
      </c>
      <c r="G430" s="441" t="s">
        <v>26</v>
      </c>
    </row>
    <row r="431" spans="1:7" ht="14.4" customHeight="1" thickBot="1" x14ac:dyDescent="0.3">
      <c r="A431" s="179" t="s">
        <v>1006</v>
      </c>
      <c r="B431" s="179">
        <v>255</v>
      </c>
      <c r="C431" s="179">
        <v>127</v>
      </c>
      <c r="D431" s="179">
        <v>80</v>
      </c>
      <c r="E431" s="9">
        <f t="shared" si="6"/>
        <v>5275647</v>
      </c>
      <c r="F431" s="179" t="s">
        <v>1007</v>
      </c>
      <c r="G431" s="21" t="s">
        <v>26</v>
      </c>
    </row>
    <row r="432" spans="1:7" ht="14.4" customHeight="1" thickBot="1" x14ac:dyDescent="0.3">
      <c r="A432" s="179" t="s">
        <v>136</v>
      </c>
      <c r="B432" s="179">
        <v>255</v>
      </c>
      <c r="C432" s="179">
        <v>69</v>
      </c>
      <c r="D432" s="179">
        <v>0</v>
      </c>
      <c r="E432" s="9">
        <f t="shared" si="6"/>
        <v>17919</v>
      </c>
      <c r="F432" s="179" t="s">
        <v>1008</v>
      </c>
      <c r="G432" s="155" t="s">
        <v>26</v>
      </c>
    </row>
    <row r="433" spans="1:7" ht="14.4" customHeight="1" thickBot="1" x14ac:dyDescent="0.3">
      <c r="A433" s="179" t="s">
        <v>1009</v>
      </c>
      <c r="B433" s="179">
        <v>255</v>
      </c>
      <c r="C433" s="179">
        <v>69</v>
      </c>
      <c r="D433" s="179">
        <v>0</v>
      </c>
      <c r="E433" s="9">
        <f t="shared" si="6"/>
        <v>17919</v>
      </c>
      <c r="F433" s="179" t="s">
        <v>1008</v>
      </c>
      <c r="G433" s="155" t="s">
        <v>26</v>
      </c>
    </row>
    <row r="434" spans="1:7" ht="14.4" customHeight="1" thickBot="1" x14ac:dyDescent="0.3">
      <c r="A434" s="179" t="s">
        <v>1010</v>
      </c>
      <c r="B434" s="179">
        <v>238</v>
      </c>
      <c r="C434" s="179">
        <v>64</v>
      </c>
      <c r="D434" s="179">
        <v>0</v>
      </c>
      <c r="E434" s="9">
        <f t="shared" si="6"/>
        <v>16622</v>
      </c>
      <c r="F434" s="179" t="s">
        <v>1011</v>
      </c>
      <c r="G434" s="442" t="s">
        <v>26</v>
      </c>
    </row>
    <row r="435" spans="1:7" ht="14.4" customHeight="1" thickBot="1" x14ac:dyDescent="0.3">
      <c r="A435" s="179" t="s">
        <v>1012</v>
      </c>
      <c r="B435" s="179">
        <v>205</v>
      </c>
      <c r="C435" s="179">
        <v>55</v>
      </c>
      <c r="D435" s="179">
        <v>0</v>
      </c>
      <c r="E435" s="9">
        <f t="shared" si="6"/>
        <v>14285</v>
      </c>
      <c r="F435" s="179" t="s">
        <v>1013</v>
      </c>
      <c r="G435" s="443" t="s">
        <v>26</v>
      </c>
    </row>
    <row r="436" spans="1:7" ht="14.4" customHeight="1" thickBot="1" x14ac:dyDescent="0.3">
      <c r="A436" s="179" t="s">
        <v>1014</v>
      </c>
      <c r="B436" s="179">
        <v>139</v>
      </c>
      <c r="C436" s="179">
        <v>37</v>
      </c>
      <c r="D436" s="179">
        <v>0</v>
      </c>
      <c r="E436" s="9">
        <f t="shared" si="6"/>
        <v>9611</v>
      </c>
      <c r="F436" s="179" t="s">
        <v>1015</v>
      </c>
      <c r="G436" s="444" t="s">
        <v>26</v>
      </c>
    </row>
    <row r="437" spans="1:7" ht="14.4" customHeight="1" thickBot="1" x14ac:dyDescent="0.3">
      <c r="A437" s="179" t="s">
        <v>68</v>
      </c>
      <c r="B437" s="179">
        <v>233</v>
      </c>
      <c r="C437" s="179">
        <v>150</v>
      </c>
      <c r="D437" s="179">
        <v>122</v>
      </c>
      <c r="E437" s="9">
        <f t="shared" si="6"/>
        <v>8034025</v>
      </c>
      <c r="F437" s="179" t="s">
        <v>1016</v>
      </c>
      <c r="G437" s="27" t="s">
        <v>26</v>
      </c>
    </row>
    <row r="438" spans="1:7" ht="14.4" customHeight="1" thickBot="1" x14ac:dyDescent="0.3">
      <c r="A438" s="179" t="s">
        <v>1017</v>
      </c>
      <c r="B438" s="179">
        <v>255</v>
      </c>
      <c r="C438" s="179">
        <v>140</v>
      </c>
      <c r="D438" s="179">
        <v>105</v>
      </c>
      <c r="E438" s="9">
        <f t="shared" si="6"/>
        <v>6917375</v>
      </c>
      <c r="F438" s="179" t="s">
        <v>1018</v>
      </c>
      <c r="G438" s="445" t="s">
        <v>26</v>
      </c>
    </row>
    <row r="439" spans="1:7" ht="14.4" customHeight="1" thickBot="1" x14ac:dyDescent="0.3">
      <c r="A439" s="179" t="s">
        <v>1019</v>
      </c>
      <c r="B439" s="179">
        <v>238</v>
      </c>
      <c r="C439" s="179">
        <v>130</v>
      </c>
      <c r="D439" s="179">
        <v>98</v>
      </c>
      <c r="E439" s="9">
        <f t="shared" si="6"/>
        <v>6456046</v>
      </c>
      <c r="F439" s="179" t="s">
        <v>1020</v>
      </c>
      <c r="G439" s="446" t="s">
        <v>26</v>
      </c>
    </row>
    <row r="440" spans="1:7" ht="14.4" customHeight="1" thickBot="1" x14ac:dyDescent="0.3">
      <c r="A440" s="179" t="s">
        <v>1021</v>
      </c>
      <c r="B440" s="179">
        <v>205</v>
      </c>
      <c r="C440" s="179">
        <v>112</v>
      </c>
      <c r="D440" s="179">
        <v>84</v>
      </c>
      <c r="E440" s="9">
        <f t="shared" si="6"/>
        <v>5533901</v>
      </c>
      <c r="F440" s="179" t="s">
        <v>1022</v>
      </c>
      <c r="G440" s="447" t="s">
        <v>26</v>
      </c>
    </row>
    <row r="441" spans="1:7" ht="14.4" customHeight="1" thickBot="1" x14ac:dyDescent="0.3">
      <c r="A441" s="179" t="s">
        <v>1023</v>
      </c>
      <c r="B441" s="179">
        <v>139</v>
      </c>
      <c r="C441" s="179">
        <v>76</v>
      </c>
      <c r="D441" s="179">
        <v>57</v>
      </c>
      <c r="E441" s="9">
        <f t="shared" si="6"/>
        <v>3755147</v>
      </c>
      <c r="F441" s="179" t="s">
        <v>1024</v>
      </c>
      <c r="G441" s="448" t="s">
        <v>26</v>
      </c>
    </row>
    <row r="442" spans="1:7" ht="14.4" customHeight="1" thickBot="1" x14ac:dyDescent="0.3">
      <c r="A442" s="179" t="s">
        <v>1025</v>
      </c>
      <c r="B442" s="179">
        <v>255</v>
      </c>
      <c r="C442" s="179">
        <v>114</v>
      </c>
      <c r="D442" s="179">
        <v>86</v>
      </c>
      <c r="E442" s="9">
        <f t="shared" si="6"/>
        <v>5665535</v>
      </c>
      <c r="F442" s="179" t="s">
        <v>1026</v>
      </c>
      <c r="G442" s="449" t="s">
        <v>26</v>
      </c>
    </row>
    <row r="443" spans="1:7" ht="14.4" customHeight="1" thickBot="1" x14ac:dyDescent="0.3">
      <c r="A443" s="179" t="s">
        <v>1027</v>
      </c>
      <c r="B443" s="179">
        <v>238</v>
      </c>
      <c r="C443" s="179">
        <v>106</v>
      </c>
      <c r="D443" s="179">
        <v>80</v>
      </c>
      <c r="E443" s="9">
        <f t="shared" si="6"/>
        <v>5270254</v>
      </c>
      <c r="F443" s="179" t="s">
        <v>1028</v>
      </c>
      <c r="G443" s="450" t="s">
        <v>26</v>
      </c>
    </row>
    <row r="444" spans="1:7" ht="14.4" customHeight="1" thickBot="1" x14ac:dyDescent="0.3">
      <c r="A444" s="179" t="s">
        <v>1029</v>
      </c>
      <c r="B444" s="179">
        <v>205</v>
      </c>
      <c r="C444" s="179">
        <v>91</v>
      </c>
      <c r="D444" s="179">
        <v>69</v>
      </c>
      <c r="E444" s="9">
        <f t="shared" si="6"/>
        <v>4545485</v>
      </c>
      <c r="F444" s="179" t="s">
        <v>1030</v>
      </c>
      <c r="G444" s="451" t="s">
        <v>26</v>
      </c>
    </row>
    <row r="445" spans="1:7" ht="14.4" customHeight="1" thickBot="1" x14ac:dyDescent="0.3">
      <c r="A445" s="179" t="s">
        <v>1031</v>
      </c>
      <c r="B445" s="179">
        <v>139</v>
      </c>
      <c r="C445" s="179">
        <v>62</v>
      </c>
      <c r="D445" s="179">
        <v>47</v>
      </c>
      <c r="E445" s="9">
        <f t="shared" si="6"/>
        <v>3096203</v>
      </c>
      <c r="F445" s="179" t="s">
        <v>1032</v>
      </c>
      <c r="G445" s="452" t="s">
        <v>26</v>
      </c>
    </row>
    <row r="446" spans="1:7" ht="14.4" customHeight="1" thickBot="1" x14ac:dyDescent="0.3">
      <c r="A446" s="179" t="s">
        <v>1033</v>
      </c>
      <c r="B446" s="179">
        <v>139</v>
      </c>
      <c r="C446" s="179">
        <v>54</v>
      </c>
      <c r="D446" s="179">
        <v>38</v>
      </c>
      <c r="E446" s="9">
        <f t="shared" si="6"/>
        <v>2504331</v>
      </c>
      <c r="F446" s="179" t="s">
        <v>1034</v>
      </c>
      <c r="G446" s="453" t="s">
        <v>26</v>
      </c>
    </row>
    <row r="447" spans="1:7" ht="14.4" customHeight="1" thickBot="1" x14ac:dyDescent="0.3">
      <c r="A447" s="179" t="s">
        <v>1035</v>
      </c>
      <c r="B447" s="179">
        <v>255</v>
      </c>
      <c r="C447" s="179">
        <v>99</v>
      </c>
      <c r="D447" s="179">
        <v>71</v>
      </c>
      <c r="E447" s="9">
        <f t="shared" si="6"/>
        <v>4678655</v>
      </c>
      <c r="F447" s="179" t="s">
        <v>1036</v>
      </c>
      <c r="G447" s="167" t="s">
        <v>26</v>
      </c>
    </row>
    <row r="448" spans="1:7" ht="14.4" customHeight="1" thickBot="1" x14ac:dyDescent="0.3">
      <c r="A448" s="179" t="s">
        <v>1037</v>
      </c>
      <c r="B448" s="179">
        <v>255</v>
      </c>
      <c r="C448" s="179">
        <v>99</v>
      </c>
      <c r="D448" s="179">
        <v>71</v>
      </c>
      <c r="E448" s="9">
        <f t="shared" si="6"/>
        <v>4678655</v>
      </c>
      <c r="F448" s="179" t="s">
        <v>1036</v>
      </c>
      <c r="G448" s="167" t="s">
        <v>26</v>
      </c>
    </row>
    <row r="449" spans="1:7" ht="14.4" customHeight="1" thickBot="1" x14ac:dyDescent="0.3">
      <c r="A449" s="179" t="s">
        <v>1038</v>
      </c>
      <c r="B449" s="179">
        <v>238</v>
      </c>
      <c r="C449" s="179">
        <v>92</v>
      </c>
      <c r="D449" s="179">
        <v>66</v>
      </c>
      <c r="E449" s="9">
        <f t="shared" si="6"/>
        <v>4349166</v>
      </c>
      <c r="F449" s="179" t="s">
        <v>1039</v>
      </c>
      <c r="G449" s="454" t="s">
        <v>26</v>
      </c>
    </row>
    <row r="450" spans="1:7" ht="14.4" customHeight="1" thickBot="1" x14ac:dyDescent="0.3">
      <c r="A450" s="179" t="s">
        <v>1040</v>
      </c>
      <c r="B450" s="179">
        <v>205</v>
      </c>
      <c r="C450" s="179">
        <v>79</v>
      </c>
      <c r="D450" s="179">
        <v>57</v>
      </c>
      <c r="E450" s="9">
        <f t="shared" ref="E450:E513" si="7">B450+256*C450+256*256*D450</f>
        <v>3755981</v>
      </c>
      <c r="F450" s="179" t="s">
        <v>1041</v>
      </c>
      <c r="G450" s="455" t="s">
        <v>26</v>
      </c>
    </row>
    <row r="451" spans="1:7" ht="14.4" customHeight="1" thickBot="1" x14ac:dyDescent="0.3">
      <c r="A451" s="179" t="s">
        <v>1042</v>
      </c>
      <c r="B451" s="179">
        <v>139</v>
      </c>
      <c r="C451" s="179">
        <v>125</v>
      </c>
      <c r="D451" s="179">
        <v>123</v>
      </c>
      <c r="E451" s="9">
        <f t="shared" si="7"/>
        <v>8093067</v>
      </c>
      <c r="F451" s="179" t="s">
        <v>1043</v>
      </c>
      <c r="G451" s="456" t="s">
        <v>26</v>
      </c>
    </row>
    <row r="452" spans="1:7" ht="14.4" customHeight="1" thickBot="1" x14ac:dyDescent="0.3">
      <c r="A452" s="179" t="s">
        <v>1044</v>
      </c>
      <c r="B452" s="179">
        <v>238</v>
      </c>
      <c r="C452" s="179">
        <v>213</v>
      </c>
      <c r="D452" s="179">
        <v>210</v>
      </c>
      <c r="E452" s="9">
        <f t="shared" si="7"/>
        <v>13817326</v>
      </c>
      <c r="F452" s="179" t="s">
        <v>1045</v>
      </c>
      <c r="G452" s="457" t="s">
        <v>26</v>
      </c>
    </row>
    <row r="453" spans="1:7" ht="14.4" customHeight="1" thickBot="1" x14ac:dyDescent="0.3">
      <c r="A453" s="179" t="s">
        <v>128</v>
      </c>
      <c r="B453" s="179">
        <v>255</v>
      </c>
      <c r="C453" s="179">
        <v>228</v>
      </c>
      <c r="D453" s="179">
        <v>225</v>
      </c>
      <c r="E453" s="9">
        <f t="shared" si="7"/>
        <v>14804223</v>
      </c>
      <c r="F453" s="179" t="s">
        <v>1046</v>
      </c>
      <c r="G453" s="69" t="s">
        <v>26</v>
      </c>
    </row>
    <row r="454" spans="1:7" ht="14.4" customHeight="1" thickBot="1" x14ac:dyDescent="0.3">
      <c r="A454" s="179" t="s">
        <v>1047</v>
      </c>
      <c r="B454" s="179">
        <v>255</v>
      </c>
      <c r="C454" s="179">
        <v>228</v>
      </c>
      <c r="D454" s="179">
        <v>225</v>
      </c>
      <c r="E454" s="9">
        <f t="shared" si="7"/>
        <v>14804223</v>
      </c>
      <c r="F454" s="179" t="s">
        <v>1046</v>
      </c>
      <c r="G454" s="69" t="s">
        <v>26</v>
      </c>
    </row>
    <row r="455" spans="1:7" ht="14.4" customHeight="1" thickBot="1" x14ac:dyDescent="0.3">
      <c r="A455" s="179" t="s">
        <v>1048</v>
      </c>
      <c r="B455" s="179">
        <v>250</v>
      </c>
      <c r="C455" s="179">
        <v>128</v>
      </c>
      <c r="D455" s="179">
        <v>114</v>
      </c>
      <c r="E455" s="9">
        <f t="shared" si="7"/>
        <v>7504122</v>
      </c>
      <c r="F455" s="179" t="s">
        <v>1049</v>
      </c>
      <c r="G455" s="85" t="s">
        <v>26</v>
      </c>
    </row>
    <row r="456" spans="1:7" ht="14.4" customHeight="1" thickBot="1" x14ac:dyDescent="0.3">
      <c r="A456" s="179" t="s">
        <v>1050</v>
      </c>
      <c r="B456" s="179">
        <v>205</v>
      </c>
      <c r="C456" s="179">
        <v>183</v>
      </c>
      <c r="D456" s="179">
        <v>181</v>
      </c>
      <c r="E456" s="9">
        <f t="shared" si="7"/>
        <v>11909069</v>
      </c>
      <c r="F456" s="179" t="s">
        <v>1051</v>
      </c>
      <c r="G456" s="458" t="s">
        <v>26</v>
      </c>
    </row>
    <row r="457" spans="1:7" ht="14.4" customHeight="1" thickBot="1" x14ac:dyDescent="0.3">
      <c r="A457" s="179" t="s">
        <v>1052</v>
      </c>
      <c r="B457" s="179">
        <v>255</v>
      </c>
      <c r="C457" s="179">
        <v>255</v>
      </c>
      <c r="D457" s="179">
        <v>255</v>
      </c>
      <c r="E457" s="9">
        <f t="shared" si="7"/>
        <v>16777215</v>
      </c>
      <c r="F457" s="179" t="s">
        <v>1053</v>
      </c>
      <c r="G457" s="97" t="s">
        <v>26</v>
      </c>
    </row>
    <row r="458" spans="1:7" ht="14.4" customHeight="1" thickBot="1" x14ac:dyDescent="0.3">
      <c r="A458" s="179" t="s">
        <v>1054</v>
      </c>
      <c r="B458" s="179">
        <v>255</v>
      </c>
      <c r="C458" s="179">
        <v>255</v>
      </c>
      <c r="D458" s="179">
        <v>255</v>
      </c>
      <c r="E458" s="9">
        <f t="shared" si="7"/>
        <v>16777215</v>
      </c>
      <c r="F458" s="179" t="s">
        <v>1053</v>
      </c>
      <c r="G458" s="97" t="s">
        <v>26</v>
      </c>
    </row>
    <row r="459" spans="1:7" ht="14.4" customHeight="1" thickBot="1" x14ac:dyDescent="0.3">
      <c r="A459" s="179" t="s">
        <v>1055</v>
      </c>
      <c r="B459" s="179">
        <v>255</v>
      </c>
      <c r="C459" s="179">
        <v>255</v>
      </c>
      <c r="D459" s="179">
        <v>255</v>
      </c>
      <c r="E459" s="9">
        <f t="shared" si="7"/>
        <v>16777215</v>
      </c>
      <c r="F459" s="179" t="s">
        <v>1053</v>
      </c>
      <c r="G459" s="97" t="s">
        <v>26</v>
      </c>
    </row>
    <row r="460" spans="1:7" ht="14.4" customHeight="1" thickBot="1" x14ac:dyDescent="0.3">
      <c r="A460" s="179" t="s">
        <v>1055</v>
      </c>
      <c r="B460" s="179">
        <v>255</v>
      </c>
      <c r="C460" s="179">
        <v>255</v>
      </c>
      <c r="D460" s="179">
        <v>255</v>
      </c>
      <c r="E460" s="9">
        <f t="shared" si="7"/>
        <v>16777215</v>
      </c>
      <c r="F460" s="179" t="s">
        <v>1053</v>
      </c>
      <c r="G460" s="97" t="s">
        <v>26</v>
      </c>
    </row>
    <row r="461" spans="1:7" ht="14.4" customHeight="1" thickBot="1" x14ac:dyDescent="0.3">
      <c r="A461" s="179" t="s">
        <v>1056</v>
      </c>
      <c r="B461" s="179">
        <v>252</v>
      </c>
      <c r="C461" s="179">
        <v>252</v>
      </c>
      <c r="D461" s="179">
        <v>252</v>
      </c>
      <c r="E461" s="9">
        <f t="shared" si="7"/>
        <v>16579836</v>
      </c>
      <c r="F461" s="179" t="s">
        <v>1057</v>
      </c>
      <c r="G461" s="459" t="s">
        <v>26</v>
      </c>
    </row>
    <row r="462" spans="1:7" ht="14.4" customHeight="1" thickBot="1" x14ac:dyDescent="0.3">
      <c r="A462" s="179" t="s">
        <v>1058</v>
      </c>
      <c r="B462" s="179">
        <v>252</v>
      </c>
      <c r="C462" s="179">
        <v>252</v>
      </c>
      <c r="D462" s="179">
        <v>252</v>
      </c>
      <c r="E462" s="9">
        <f t="shared" si="7"/>
        <v>16579836</v>
      </c>
      <c r="F462" s="179" t="s">
        <v>1057</v>
      </c>
      <c r="G462" s="459" t="s">
        <v>26</v>
      </c>
    </row>
    <row r="463" spans="1:7" ht="14.4" customHeight="1" thickBot="1" x14ac:dyDescent="0.3">
      <c r="A463" s="179" t="s">
        <v>1059</v>
      </c>
      <c r="B463" s="179">
        <v>250</v>
      </c>
      <c r="C463" s="179">
        <v>250</v>
      </c>
      <c r="D463" s="179">
        <v>250</v>
      </c>
      <c r="E463" s="9">
        <f t="shared" si="7"/>
        <v>16448250</v>
      </c>
      <c r="F463" s="179" t="s">
        <v>1060</v>
      </c>
      <c r="G463" s="460" t="s">
        <v>26</v>
      </c>
    </row>
    <row r="464" spans="1:7" ht="14.4" customHeight="1" thickBot="1" x14ac:dyDescent="0.3">
      <c r="A464" s="179" t="s">
        <v>1061</v>
      </c>
      <c r="B464" s="179">
        <v>250</v>
      </c>
      <c r="C464" s="179">
        <v>250</v>
      </c>
      <c r="D464" s="179">
        <v>250</v>
      </c>
      <c r="E464" s="9">
        <f t="shared" si="7"/>
        <v>16448250</v>
      </c>
      <c r="F464" s="179" t="s">
        <v>1060</v>
      </c>
      <c r="G464" s="460" t="s">
        <v>26</v>
      </c>
    </row>
    <row r="465" spans="1:7" ht="14.4" customHeight="1" thickBot="1" x14ac:dyDescent="0.3">
      <c r="A465" s="179" t="s">
        <v>1062</v>
      </c>
      <c r="B465" s="179">
        <v>247</v>
      </c>
      <c r="C465" s="179">
        <v>247</v>
      </c>
      <c r="D465" s="179">
        <v>247</v>
      </c>
      <c r="E465" s="9">
        <f t="shared" si="7"/>
        <v>16250871</v>
      </c>
      <c r="F465" s="179" t="s">
        <v>1063</v>
      </c>
      <c r="G465" s="461" t="s">
        <v>26</v>
      </c>
    </row>
    <row r="466" spans="1:7" ht="14.4" customHeight="1" thickBot="1" x14ac:dyDescent="0.3">
      <c r="A466" s="179" t="s">
        <v>1064</v>
      </c>
      <c r="B466" s="179">
        <v>247</v>
      </c>
      <c r="C466" s="179">
        <v>247</v>
      </c>
      <c r="D466" s="179">
        <v>247</v>
      </c>
      <c r="E466" s="9">
        <f t="shared" si="7"/>
        <v>16250871</v>
      </c>
      <c r="F466" s="179" t="s">
        <v>1063</v>
      </c>
      <c r="G466" s="461" t="s">
        <v>26</v>
      </c>
    </row>
    <row r="467" spans="1:7" ht="14.4" customHeight="1" thickBot="1" x14ac:dyDescent="0.3">
      <c r="A467" s="179" t="s">
        <v>1065</v>
      </c>
      <c r="B467" s="179">
        <v>245</v>
      </c>
      <c r="C467" s="179">
        <v>245</v>
      </c>
      <c r="D467" s="179">
        <v>245</v>
      </c>
      <c r="E467" s="9">
        <f t="shared" si="7"/>
        <v>16119285</v>
      </c>
      <c r="F467" s="179" t="s">
        <v>1066</v>
      </c>
      <c r="G467" s="98" t="s">
        <v>26</v>
      </c>
    </row>
    <row r="468" spans="1:7" ht="14.4" customHeight="1" thickBot="1" x14ac:dyDescent="0.3">
      <c r="A468" s="179" t="s">
        <v>1067</v>
      </c>
      <c r="B468" s="179">
        <v>245</v>
      </c>
      <c r="C468" s="179">
        <v>245</v>
      </c>
      <c r="D468" s="179">
        <v>245</v>
      </c>
      <c r="E468" s="9">
        <f t="shared" si="7"/>
        <v>16119285</v>
      </c>
      <c r="F468" s="179" t="s">
        <v>1066</v>
      </c>
      <c r="G468" s="98" t="s">
        <v>26</v>
      </c>
    </row>
    <row r="469" spans="1:7" ht="14.4" customHeight="1" thickBot="1" x14ac:dyDescent="0.3">
      <c r="A469" s="179" t="s">
        <v>170</v>
      </c>
      <c r="B469" s="179">
        <v>245</v>
      </c>
      <c r="C469" s="179">
        <v>245</v>
      </c>
      <c r="D469" s="179">
        <v>245</v>
      </c>
      <c r="E469" s="9">
        <f t="shared" si="7"/>
        <v>16119285</v>
      </c>
      <c r="F469" s="179" t="s">
        <v>1066</v>
      </c>
      <c r="G469" s="98" t="s">
        <v>26</v>
      </c>
    </row>
    <row r="470" spans="1:7" ht="14.4" customHeight="1" thickBot="1" x14ac:dyDescent="0.3">
      <c r="A470" s="179" t="s">
        <v>1068</v>
      </c>
      <c r="B470" s="179">
        <v>242</v>
      </c>
      <c r="C470" s="179">
        <v>242</v>
      </c>
      <c r="D470" s="179">
        <v>242</v>
      </c>
      <c r="E470" s="9">
        <f t="shared" si="7"/>
        <v>15921906</v>
      </c>
      <c r="F470" s="179" t="s">
        <v>1069</v>
      </c>
      <c r="G470" s="462" t="s">
        <v>26</v>
      </c>
    </row>
    <row r="471" spans="1:7" ht="14.4" customHeight="1" thickBot="1" x14ac:dyDescent="0.3">
      <c r="A471" s="179" t="s">
        <v>1070</v>
      </c>
      <c r="B471" s="179">
        <v>242</v>
      </c>
      <c r="C471" s="179">
        <v>242</v>
      </c>
      <c r="D471" s="179">
        <v>242</v>
      </c>
      <c r="E471" s="9">
        <f t="shared" si="7"/>
        <v>15921906</v>
      </c>
      <c r="F471" s="179" t="s">
        <v>1069</v>
      </c>
      <c r="G471" s="462" t="s">
        <v>26</v>
      </c>
    </row>
    <row r="472" spans="1:7" ht="14.4" customHeight="1" thickBot="1" x14ac:dyDescent="0.3">
      <c r="A472" s="179" t="s">
        <v>1071</v>
      </c>
      <c r="B472" s="179">
        <v>240</v>
      </c>
      <c r="C472" s="179">
        <v>240</v>
      </c>
      <c r="D472" s="179">
        <v>240</v>
      </c>
      <c r="E472" s="9">
        <f t="shared" si="7"/>
        <v>15790320</v>
      </c>
      <c r="F472" s="179" t="s">
        <v>1072</v>
      </c>
      <c r="G472" s="463" t="s">
        <v>26</v>
      </c>
    </row>
    <row r="473" spans="1:7" ht="14.4" customHeight="1" thickBot="1" x14ac:dyDescent="0.3">
      <c r="A473" s="179" t="s">
        <v>1073</v>
      </c>
      <c r="B473" s="179">
        <v>240</v>
      </c>
      <c r="C473" s="179">
        <v>240</v>
      </c>
      <c r="D473" s="179">
        <v>240</v>
      </c>
      <c r="E473" s="9">
        <f t="shared" si="7"/>
        <v>15790320</v>
      </c>
      <c r="F473" s="179" t="s">
        <v>1072</v>
      </c>
      <c r="G473" s="463" t="s">
        <v>26</v>
      </c>
    </row>
    <row r="474" spans="1:7" ht="14.4" customHeight="1" thickBot="1" x14ac:dyDescent="0.3">
      <c r="A474" s="179" t="s">
        <v>1074</v>
      </c>
      <c r="B474" s="179">
        <v>237</v>
      </c>
      <c r="C474" s="179">
        <v>237</v>
      </c>
      <c r="D474" s="179">
        <v>237</v>
      </c>
      <c r="E474" s="9">
        <f t="shared" si="7"/>
        <v>15592941</v>
      </c>
      <c r="F474" s="179" t="s">
        <v>1075</v>
      </c>
      <c r="G474" s="464" t="s">
        <v>26</v>
      </c>
    </row>
    <row r="475" spans="1:7" ht="14.4" customHeight="1" thickBot="1" x14ac:dyDescent="0.3">
      <c r="A475" s="179" t="s">
        <v>1076</v>
      </c>
      <c r="B475" s="179">
        <v>237</v>
      </c>
      <c r="C475" s="179">
        <v>237</v>
      </c>
      <c r="D475" s="179">
        <v>237</v>
      </c>
      <c r="E475" s="9">
        <f t="shared" si="7"/>
        <v>15592941</v>
      </c>
      <c r="F475" s="179" t="s">
        <v>1075</v>
      </c>
      <c r="G475" s="464" t="s">
        <v>26</v>
      </c>
    </row>
    <row r="476" spans="1:7" ht="14.4" customHeight="1" thickBot="1" x14ac:dyDescent="0.3">
      <c r="A476" s="179" t="s">
        <v>1077</v>
      </c>
      <c r="B476" s="179">
        <v>235</v>
      </c>
      <c r="C476" s="179">
        <v>235</v>
      </c>
      <c r="D476" s="179">
        <v>235</v>
      </c>
      <c r="E476" s="9">
        <f t="shared" si="7"/>
        <v>15461355</v>
      </c>
      <c r="F476" s="179" t="s">
        <v>1078</v>
      </c>
      <c r="G476" s="465" t="s">
        <v>26</v>
      </c>
    </row>
    <row r="477" spans="1:7" ht="14.4" customHeight="1" thickBot="1" x14ac:dyDescent="0.3">
      <c r="A477" s="179" t="s">
        <v>1079</v>
      </c>
      <c r="B477" s="179">
        <v>235</v>
      </c>
      <c r="C477" s="179">
        <v>235</v>
      </c>
      <c r="D477" s="179">
        <v>235</v>
      </c>
      <c r="E477" s="9">
        <f t="shared" si="7"/>
        <v>15461355</v>
      </c>
      <c r="F477" s="179" t="s">
        <v>1078</v>
      </c>
      <c r="G477" s="465" t="s">
        <v>26</v>
      </c>
    </row>
    <row r="478" spans="1:7" ht="14.4" customHeight="1" thickBot="1" x14ac:dyDescent="0.3">
      <c r="A478" s="179" t="s">
        <v>1080</v>
      </c>
      <c r="B478" s="179">
        <v>232</v>
      </c>
      <c r="C478" s="179">
        <v>232</v>
      </c>
      <c r="D478" s="179">
        <v>232</v>
      </c>
      <c r="E478" s="9">
        <f t="shared" si="7"/>
        <v>15263976</v>
      </c>
      <c r="F478" s="179" t="s">
        <v>1081</v>
      </c>
      <c r="G478" s="466" t="s">
        <v>26</v>
      </c>
    </row>
    <row r="479" spans="1:7" ht="14.4" customHeight="1" thickBot="1" x14ac:dyDescent="0.3">
      <c r="A479" s="179" t="s">
        <v>1082</v>
      </c>
      <c r="B479" s="179">
        <v>232</v>
      </c>
      <c r="C479" s="179">
        <v>232</v>
      </c>
      <c r="D479" s="179">
        <v>232</v>
      </c>
      <c r="E479" s="9">
        <f t="shared" si="7"/>
        <v>15263976</v>
      </c>
      <c r="F479" s="179" t="s">
        <v>1081</v>
      </c>
      <c r="G479" s="466" t="s">
        <v>26</v>
      </c>
    </row>
    <row r="480" spans="1:7" ht="14.4" customHeight="1" thickBot="1" x14ac:dyDescent="0.3">
      <c r="A480" s="179" t="s">
        <v>1083</v>
      </c>
      <c r="B480" s="179">
        <v>229</v>
      </c>
      <c r="C480" s="179">
        <v>229</v>
      </c>
      <c r="D480" s="179">
        <v>229</v>
      </c>
      <c r="E480" s="9">
        <f t="shared" si="7"/>
        <v>15066597</v>
      </c>
      <c r="F480" s="179" t="s">
        <v>1084</v>
      </c>
      <c r="G480" s="36" t="s">
        <v>26</v>
      </c>
    </row>
    <row r="481" spans="1:7" ht="14.4" customHeight="1" thickBot="1" x14ac:dyDescent="0.3">
      <c r="A481" s="179" t="s">
        <v>1085</v>
      </c>
      <c r="B481" s="179">
        <v>229</v>
      </c>
      <c r="C481" s="179">
        <v>229</v>
      </c>
      <c r="D481" s="179">
        <v>229</v>
      </c>
      <c r="E481" s="9">
        <f t="shared" si="7"/>
        <v>15066597</v>
      </c>
      <c r="F481" s="179" t="s">
        <v>1084</v>
      </c>
      <c r="G481" s="36" t="s">
        <v>26</v>
      </c>
    </row>
    <row r="482" spans="1:7" ht="14.4" customHeight="1" thickBot="1" x14ac:dyDescent="0.3">
      <c r="A482" s="179" t="s">
        <v>1086</v>
      </c>
      <c r="B482" s="179">
        <v>227</v>
      </c>
      <c r="C482" s="179">
        <v>227</v>
      </c>
      <c r="D482" s="179">
        <v>227</v>
      </c>
      <c r="E482" s="9">
        <f t="shared" si="7"/>
        <v>14935011</v>
      </c>
      <c r="F482" s="179" t="s">
        <v>1087</v>
      </c>
      <c r="G482" s="467" t="s">
        <v>26</v>
      </c>
    </row>
    <row r="483" spans="1:7" ht="14.4" customHeight="1" thickBot="1" x14ac:dyDescent="0.3">
      <c r="A483" s="179" t="s">
        <v>1088</v>
      </c>
      <c r="B483" s="179">
        <v>227</v>
      </c>
      <c r="C483" s="179">
        <v>227</v>
      </c>
      <c r="D483" s="179">
        <v>227</v>
      </c>
      <c r="E483" s="9">
        <f t="shared" si="7"/>
        <v>14935011</v>
      </c>
      <c r="F483" s="179" t="s">
        <v>1087</v>
      </c>
      <c r="G483" s="467" t="s">
        <v>26</v>
      </c>
    </row>
    <row r="484" spans="1:7" ht="14.4" customHeight="1" thickBot="1" x14ac:dyDescent="0.3">
      <c r="A484" s="179" t="s">
        <v>1089</v>
      </c>
      <c r="B484" s="179">
        <v>224</v>
      </c>
      <c r="C484" s="179">
        <v>224</v>
      </c>
      <c r="D484" s="179">
        <v>224</v>
      </c>
      <c r="E484" s="9">
        <f t="shared" si="7"/>
        <v>14737632</v>
      </c>
      <c r="F484" s="179" t="s">
        <v>1090</v>
      </c>
      <c r="G484" s="468" t="s">
        <v>26</v>
      </c>
    </row>
    <row r="485" spans="1:7" ht="14.4" customHeight="1" thickBot="1" x14ac:dyDescent="0.3">
      <c r="A485" s="179" t="s">
        <v>1091</v>
      </c>
      <c r="B485" s="179">
        <v>224</v>
      </c>
      <c r="C485" s="179">
        <v>224</v>
      </c>
      <c r="D485" s="179">
        <v>224</v>
      </c>
      <c r="E485" s="9">
        <f t="shared" si="7"/>
        <v>14737632</v>
      </c>
      <c r="F485" s="179" t="s">
        <v>1090</v>
      </c>
      <c r="G485" s="468" t="s">
        <v>26</v>
      </c>
    </row>
    <row r="486" spans="1:7" ht="14.4" customHeight="1" thickBot="1" x14ac:dyDescent="0.3">
      <c r="A486" s="179" t="s">
        <v>1092</v>
      </c>
      <c r="B486" s="179">
        <v>222</v>
      </c>
      <c r="C486" s="179">
        <v>222</v>
      </c>
      <c r="D486" s="179">
        <v>222</v>
      </c>
      <c r="E486" s="9">
        <f t="shared" si="7"/>
        <v>14606046</v>
      </c>
      <c r="F486" s="179" t="s">
        <v>1093</v>
      </c>
      <c r="G486" s="469" t="s">
        <v>26</v>
      </c>
    </row>
    <row r="487" spans="1:7" ht="14.4" customHeight="1" thickBot="1" x14ac:dyDescent="0.3">
      <c r="A487" s="179" t="s">
        <v>1094</v>
      </c>
      <c r="B487" s="179">
        <v>222</v>
      </c>
      <c r="C487" s="179">
        <v>222</v>
      </c>
      <c r="D487" s="179">
        <v>222</v>
      </c>
      <c r="E487" s="9">
        <f t="shared" si="7"/>
        <v>14606046</v>
      </c>
      <c r="F487" s="179" t="s">
        <v>1093</v>
      </c>
      <c r="G487" s="469" t="s">
        <v>26</v>
      </c>
    </row>
    <row r="488" spans="1:7" ht="14.4" customHeight="1" thickBot="1" x14ac:dyDescent="0.3">
      <c r="A488" s="179" t="s">
        <v>1095</v>
      </c>
      <c r="B488" s="179">
        <v>220</v>
      </c>
      <c r="C488" s="179">
        <v>220</v>
      </c>
      <c r="D488" s="179">
        <v>220</v>
      </c>
      <c r="E488" s="9">
        <f t="shared" si="7"/>
        <v>14474460</v>
      </c>
      <c r="F488" s="179" t="s">
        <v>1096</v>
      </c>
      <c r="G488" s="32" t="s">
        <v>26</v>
      </c>
    </row>
    <row r="489" spans="1:7" ht="14.4" customHeight="1" thickBot="1" x14ac:dyDescent="0.3">
      <c r="A489" s="179" t="s">
        <v>1097</v>
      </c>
      <c r="B489" s="179">
        <v>219</v>
      </c>
      <c r="C489" s="179">
        <v>219</v>
      </c>
      <c r="D489" s="179">
        <v>219</v>
      </c>
      <c r="E489" s="9">
        <f t="shared" si="7"/>
        <v>14408667</v>
      </c>
      <c r="F489" s="179" t="s">
        <v>1098</v>
      </c>
      <c r="G489" s="470" t="s">
        <v>26</v>
      </c>
    </row>
    <row r="490" spans="1:7" ht="14.4" customHeight="1" thickBot="1" x14ac:dyDescent="0.3">
      <c r="A490" s="179" t="s">
        <v>1099</v>
      </c>
      <c r="B490" s="179">
        <v>219</v>
      </c>
      <c r="C490" s="179">
        <v>219</v>
      </c>
      <c r="D490" s="179">
        <v>219</v>
      </c>
      <c r="E490" s="9">
        <f t="shared" si="7"/>
        <v>14408667</v>
      </c>
      <c r="F490" s="179" t="s">
        <v>1098</v>
      </c>
      <c r="G490" s="470" t="s">
        <v>26</v>
      </c>
    </row>
    <row r="491" spans="1:7" ht="14.4" customHeight="1" thickBot="1" x14ac:dyDescent="0.3">
      <c r="A491" s="179" t="s">
        <v>1100</v>
      </c>
      <c r="B491" s="179">
        <v>217</v>
      </c>
      <c r="C491" s="179">
        <v>217</v>
      </c>
      <c r="D491" s="179">
        <v>217</v>
      </c>
      <c r="E491" s="9">
        <f t="shared" si="7"/>
        <v>14277081</v>
      </c>
      <c r="F491" s="179" t="s">
        <v>1101</v>
      </c>
      <c r="G491" s="471" t="s">
        <v>26</v>
      </c>
    </row>
    <row r="492" spans="1:7" ht="14.4" customHeight="1" thickBot="1" x14ac:dyDescent="0.3">
      <c r="A492" s="179" t="s">
        <v>1102</v>
      </c>
      <c r="B492" s="179">
        <v>217</v>
      </c>
      <c r="C492" s="179">
        <v>217</v>
      </c>
      <c r="D492" s="179">
        <v>217</v>
      </c>
      <c r="E492" s="9">
        <f t="shared" si="7"/>
        <v>14277081</v>
      </c>
      <c r="F492" s="179" t="s">
        <v>1101</v>
      </c>
      <c r="G492" s="471" t="s">
        <v>26</v>
      </c>
    </row>
    <row r="493" spans="1:7" ht="14.4" customHeight="1" thickBot="1" x14ac:dyDescent="0.3">
      <c r="A493" s="179" t="s">
        <v>1103</v>
      </c>
      <c r="B493" s="179">
        <v>214</v>
      </c>
      <c r="C493" s="179">
        <v>214</v>
      </c>
      <c r="D493" s="179">
        <v>214</v>
      </c>
      <c r="E493" s="9">
        <f t="shared" si="7"/>
        <v>14079702</v>
      </c>
      <c r="F493" s="179" t="s">
        <v>1104</v>
      </c>
      <c r="G493" s="472" t="s">
        <v>26</v>
      </c>
    </row>
    <row r="494" spans="1:7" ht="14.4" customHeight="1" thickBot="1" x14ac:dyDescent="0.3">
      <c r="A494" s="179" t="s">
        <v>1105</v>
      </c>
      <c r="B494" s="179">
        <v>214</v>
      </c>
      <c r="C494" s="179">
        <v>214</v>
      </c>
      <c r="D494" s="179">
        <v>214</v>
      </c>
      <c r="E494" s="9">
        <f t="shared" si="7"/>
        <v>14079702</v>
      </c>
      <c r="F494" s="179" t="s">
        <v>1104</v>
      </c>
      <c r="G494" s="472" t="s">
        <v>26</v>
      </c>
    </row>
    <row r="495" spans="1:7" ht="14.4" customHeight="1" thickBot="1" x14ac:dyDescent="0.3">
      <c r="A495" s="179" t="s">
        <v>1106</v>
      </c>
      <c r="B495" s="179">
        <v>212</v>
      </c>
      <c r="C495" s="179">
        <v>212</v>
      </c>
      <c r="D495" s="179">
        <v>212</v>
      </c>
      <c r="E495" s="9">
        <f t="shared" si="7"/>
        <v>13948116</v>
      </c>
      <c r="F495" s="179" t="s">
        <v>1107</v>
      </c>
      <c r="G495" s="473" t="s">
        <v>26</v>
      </c>
    </row>
    <row r="496" spans="1:7" ht="14.4" customHeight="1" thickBot="1" x14ac:dyDescent="0.3">
      <c r="A496" s="179" t="s">
        <v>1108</v>
      </c>
      <c r="B496" s="179">
        <v>212</v>
      </c>
      <c r="C496" s="179">
        <v>212</v>
      </c>
      <c r="D496" s="179">
        <v>212</v>
      </c>
      <c r="E496" s="9">
        <f t="shared" si="7"/>
        <v>13948116</v>
      </c>
      <c r="F496" s="179" t="s">
        <v>1107</v>
      </c>
      <c r="G496" s="473" t="s">
        <v>26</v>
      </c>
    </row>
    <row r="497" spans="1:7" ht="14.4" customHeight="1" thickBot="1" x14ac:dyDescent="0.3">
      <c r="A497" s="179" t="s">
        <v>102</v>
      </c>
      <c r="B497" s="179">
        <v>211</v>
      </c>
      <c r="C497" s="179">
        <v>211</v>
      </c>
      <c r="D497" s="179">
        <v>211</v>
      </c>
      <c r="E497" s="9">
        <f t="shared" si="7"/>
        <v>13882323</v>
      </c>
      <c r="F497" s="179" t="s">
        <v>1109</v>
      </c>
      <c r="G497" s="53" t="s">
        <v>26</v>
      </c>
    </row>
    <row r="498" spans="1:7" ht="14.4" customHeight="1" thickBot="1" x14ac:dyDescent="0.3">
      <c r="A498" s="179" t="s">
        <v>104</v>
      </c>
      <c r="B498" s="179">
        <v>211</v>
      </c>
      <c r="C498" s="179">
        <v>211</v>
      </c>
      <c r="D498" s="179">
        <v>211</v>
      </c>
      <c r="E498" s="9">
        <f t="shared" si="7"/>
        <v>13882323</v>
      </c>
      <c r="F498" s="179" t="s">
        <v>1109</v>
      </c>
      <c r="G498" s="53" t="s">
        <v>26</v>
      </c>
    </row>
    <row r="499" spans="1:7" ht="14.4" customHeight="1" thickBot="1" x14ac:dyDescent="0.3">
      <c r="A499" s="179" t="s">
        <v>1110</v>
      </c>
      <c r="B499" s="179">
        <v>209</v>
      </c>
      <c r="C499" s="179">
        <v>209</v>
      </c>
      <c r="D499" s="179">
        <v>209</v>
      </c>
      <c r="E499" s="9">
        <f t="shared" si="7"/>
        <v>13750737</v>
      </c>
      <c r="F499" s="179" t="s">
        <v>1111</v>
      </c>
      <c r="G499" s="474" t="s">
        <v>26</v>
      </c>
    </row>
    <row r="500" spans="1:7" ht="14.4" customHeight="1" thickBot="1" x14ac:dyDescent="0.3">
      <c r="A500" s="179" t="s">
        <v>1112</v>
      </c>
      <c r="B500" s="179">
        <v>209</v>
      </c>
      <c r="C500" s="179">
        <v>209</v>
      </c>
      <c r="D500" s="179">
        <v>209</v>
      </c>
      <c r="E500" s="9">
        <f t="shared" si="7"/>
        <v>13750737</v>
      </c>
      <c r="F500" s="179" t="s">
        <v>1111</v>
      </c>
      <c r="G500" s="474" t="s">
        <v>26</v>
      </c>
    </row>
    <row r="501" spans="1:7" ht="14.4" customHeight="1" thickBot="1" x14ac:dyDescent="0.3">
      <c r="A501" s="179" t="s">
        <v>1113</v>
      </c>
      <c r="B501" s="179">
        <v>207</v>
      </c>
      <c r="C501" s="179">
        <v>207</v>
      </c>
      <c r="D501" s="179">
        <v>207</v>
      </c>
      <c r="E501" s="9">
        <f t="shared" si="7"/>
        <v>13619151</v>
      </c>
      <c r="F501" s="179" t="s">
        <v>1114</v>
      </c>
      <c r="G501" s="475" t="s">
        <v>26</v>
      </c>
    </row>
    <row r="502" spans="1:7" ht="14.4" customHeight="1" thickBot="1" x14ac:dyDescent="0.3">
      <c r="A502" s="179" t="s">
        <v>1115</v>
      </c>
      <c r="B502" s="179">
        <v>207</v>
      </c>
      <c r="C502" s="179">
        <v>207</v>
      </c>
      <c r="D502" s="179">
        <v>207</v>
      </c>
      <c r="E502" s="9">
        <f t="shared" si="7"/>
        <v>13619151</v>
      </c>
      <c r="F502" s="179" t="s">
        <v>1114</v>
      </c>
      <c r="G502" s="475" t="s">
        <v>26</v>
      </c>
    </row>
    <row r="503" spans="1:7" ht="14.4" customHeight="1" thickBot="1" x14ac:dyDescent="0.3">
      <c r="A503" s="179" t="s">
        <v>1116</v>
      </c>
      <c r="B503" s="179">
        <v>204</v>
      </c>
      <c r="C503" s="179">
        <v>204</v>
      </c>
      <c r="D503" s="179">
        <v>204</v>
      </c>
      <c r="E503" s="9">
        <f t="shared" si="7"/>
        <v>13421772</v>
      </c>
      <c r="F503" s="179" t="s">
        <v>1117</v>
      </c>
      <c r="G503" s="37" t="s">
        <v>26</v>
      </c>
    </row>
    <row r="504" spans="1:7" ht="14.4" customHeight="1" thickBot="1" x14ac:dyDescent="0.3">
      <c r="A504" s="179" t="s">
        <v>1118</v>
      </c>
      <c r="B504" s="179">
        <v>204</v>
      </c>
      <c r="C504" s="179">
        <v>204</v>
      </c>
      <c r="D504" s="179">
        <v>204</v>
      </c>
      <c r="E504" s="9">
        <f t="shared" si="7"/>
        <v>13421772</v>
      </c>
      <c r="F504" s="179" t="s">
        <v>1117</v>
      </c>
      <c r="G504" s="37" t="s">
        <v>26</v>
      </c>
    </row>
    <row r="505" spans="1:7" ht="14.4" customHeight="1" thickBot="1" x14ac:dyDescent="0.3">
      <c r="A505" s="179" t="s">
        <v>1119</v>
      </c>
      <c r="B505" s="179">
        <v>201</v>
      </c>
      <c r="C505" s="179">
        <v>201</v>
      </c>
      <c r="D505" s="179">
        <v>201</v>
      </c>
      <c r="E505" s="9">
        <f t="shared" si="7"/>
        <v>13224393</v>
      </c>
      <c r="F505" s="179" t="s">
        <v>1120</v>
      </c>
      <c r="G505" s="476" t="s">
        <v>26</v>
      </c>
    </row>
    <row r="506" spans="1:7" ht="14.4" customHeight="1" thickBot="1" x14ac:dyDescent="0.3">
      <c r="A506" s="179" t="s">
        <v>1121</v>
      </c>
      <c r="B506" s="179">
        <v>201</v>
      </c>
      <c r="C506" s="179">
        <v>201</v>
      </c>
      <c r="D506" s="179">
        <v>201</v>
      </c>
      <c r="E506" s="9">
        <f t="shared" si="7"/>
        <v>13224393</v>
      </c>
      <c r="F506" s="179" t="s">
        <v>1120</v>
      </c>
      <c r="G506" s="476" t="s">
        <v>26</v>
      </c>
    </row>
    <row r="507" spans="1:7" ht="14.4" customHeight="1" thickBot="1" x14ac:dyDescent="0.3">
      <c r="A507" s="179" t="s">
        <v>1122</v>
      </c>
      <c r="B507" s="179">
        <v>199</v>
      </c>
      <c r="C507" s="179">
        <v>199</v>
      </c>
      <c r="D507" s="179">
        <v>199</v>
      </c>
      <c r="E507" s="9">
        <f t="shared" si="7"/>
        <v>13092807</v>
      </c>
      <c r="F507" s="179" t="s">
        <v>1123</v>
      </c>
      <c r="G507" s="477" t="s">
        <v>26</v>
      </c>
    </row>
    <row r="508" spans="1:7" ht="14.4" customHeight="1" thickBot="1" x14ac:dyDescent="0.3">
      <c r="A508" s="179" t="s">
        <v>1124</v>
      </c>
      <c r="B508" s="179">
        <v>199</v>
      </c>
      <c r="C508" s="179">
        <v>199</v>
      </c>
      <c r="D508" s="179">
        <v>199</v>
      </c>
      <c r="E508" s="9">
        <f t="shared" si="7"/>
        <v>13092807</v>
      </c>
      <c r="F508" s="179" t="s">
        <v>1123</v>
      </c>
      <c r="G508" s="477" t="s">
        <v>26</v>
      </c>
    </row>
    <row r="509" spans="1:7" ht="14.4" customHeight="1" thickBot="1" x14ac:dyDescent="0.3">
      <c r="A509" s="179" t="s">
        <v>1125</v>
      </c>
      <c r="B509" s="179">
        <v>196</v>
      </c>
      <c r="C509" s="179">
        <v>196</v>
      </c>
      <c r="D509" s="179">
        <v>196</v>
      </c>
      <c r="E509" s="9">
        <f t="shared" si="7"/>
        <v>12895428</v>
      </c>
      <c r="F509" s="179" t="s">
        <v>1126</v>
      </c>
      <c r="G509" s="478" t="s">
        <v>26</v>
      </c>
    </row>
    <row r="510" spans="1:7" ht="14.4" customHeight="1" thickBot="1" x14ac:dyDescent="0.3">
      <c r="A510" s="179" t="s">
        <v>1127</v>
      </c>
      <c r="B510" s="179">
        <v>196</v>
      </c>
      <c r="C510" s="179">
        <v>196</v>
      </c>
      <c r="D510" s="179">
        <v>196</v>
      </c>
      <c r="E510" s="9">
        <f t="shared" si="7"/>
        <v>12895428</v>
      </c>
      <c r="F510" s="179" t="s">
        <v>1126</v>
      </c>
      <c r="G510" s="478" t="s">
        <v>26</v>
      </c>
    </row>
    <row r="511" spans="1:7" ht="14.4" customHeight="1" thickBot="1" x14ac:dyDescent="0.3">
      <c r="A511" s="179" t="s">
        <v>1128</v>
      </c>
      <c r="B511" s="179">
        <v>194</v>
      </c>
      <c r="C511" s="179">
        <v>194</v>
      </c>
      <c r="D511" s="179">
        <v>194</v>
      </c>
      <c r="E511" s="9">
        <f t="shared" si="7"/>
        <v>12763842</v>
      </c>
      <c r="F511" s="179" t="s">
        <v>1129</v>
      </c>
      <c r="G511" s="479" t="s">
        <v>26</v>
      </c>
    </row>
    <row r="512" spans="1:7" ht="14.4" customHeight="1" thickBot="1" x14ac:dyDescent="0.3">
      <c r="A512" s="179" t="s">
        <v>1130</v>
      </c>
      <c r="B512" s="179">
        <v>194</v>
      </c>
      <c r="C512" s="179">
        <v>194</v>
      </c>
      <c r="D512" s="179">
        <v>194</v>
      </c>
      <c r="E512" s="9">
        <f t="shared" si="7"/>
        <v>12763842</v>
      </c>
      <c r="F512" s="179" t="s">
        <v>1129</v>
      </c>
      <c r="G512" s="479" t="s">
        <v>26</v>
      </c>
    </row>
    <row r="513" spans="1:7" ht="14.4" customHeight="1" thickBot="1" x14ac:dyDescent="0.3">
      <c r="A513" s="179" t="s">
        <v>1131</v>
      </c>
      <c r="B513" s="179">
        <v>192</v>
      </c>
      <c r="C513" s="179">
        <v>192</v>
      </c>
      <c r="D513" s="179">
        <v>192</v>
      </c>
      <c r="E513" s="9">
        <f t="shared" si="7"/>
        <v>12632256</v>
      </c>
      <c r="F513" s="179" t="s">
        <v>1132</v>
      </c>
      <c r="G513" s="88" t="s">
        <v>26</v>
      </c>
    </row>
    <row r="514" spans="1:7" ht="14.4" customHeight="1" thickBot="1" x14ac:dyDescent="0.3">
      <c r="A514" s="179" t="s">
        <v>1133</v>
      </c>
      <c r="B514" s="179">
        <v>191</v>
      </c>
      <c r="C514" s="179">
        <v>191</v>
      </c>
      <c r="D514" s="179">
        <v>191</v>
      </c>
      <c r="E514" s="9">
        <f t="shared" ref="E514:E577" si="8">B514+256*C514+256*256*D514</f>
        <v>12566463</v>
      </c>
      <c r="F514" s="179" t="s">
        <v>1134</v>
      </c>
      <c r="G514" s="480" t="s">
        <v>26</v>
      </c>
    </row>
    <row r="515" spans="1:7" ht="14.4" customHeight="1" thickBot="1" x14ac:dyDescent="0.3">
      <c r="A515" s="179" t="s">
        <v>1135</v>
      </c>
      <c r="B515" s="179">
        <v>191</v>
      </c>
      <c r="C515" s="179">
        <v>191</v>
      </c>
      <c r="D515" s="179">
        <v>191</v>
      </c>
      <c r="E515" s="9">
        <f t="shared" si="8"/>
        <v>12566463</v>
      </c>
      <c r="F515" s="179" t="s">
        <v>1134</v>
      </c>
      <c r="G515" s="480" t="s">
        <v>26</v>
      </c>
    </row>
    <row r="516" spans="1:7" ht="14.4" customHeight="1" thickBot="1" x14ac:dyDescent="0.3">
      <c r="A516" s="179" t="s">
        <v>1136</v>
      </c>
      <c r="B516" s="179">
        <v>189</v>
      </c>
      <c r="C516" s="179">
        <v>189</v>
      </c>
      <c r="D516" s="179">
        <v>189</v>
      </c>
      <c r="E516" s="9">
        <f t="shared" si="8"/>
        <v>12434877</v>
      </c>
      <c r="F516" s="179" t="s">
        <v>1137</v>
      </c>
      <c r="G516" s="481" t="s">
        <v>26</v>
      </c>
    </row>
    <row r="517" spans="1:7" ht="14.4" customHeight="1" thickBot="1" x14ac:dyDescent="0.3">
      <c r="A517" s="179" t="s">
        <v>1138</v>
      </c>
      <c r="B517" s="179">
        <v>189</v>
      </c>
      <c r="C517" s="179">
        <v>189</v>
      </c>
      <c r="D517" s="179">
        <v>189</v>
      </c>
      <c r="E517" s="9">
        <f t="shared" si="8"/>
        <v>12434877</v>
      </c>
      <c r="F517" s="179" t="s">
        <v>1137</v>
      </c>
      <c r="G517" s="481" t="s">
        <v>26</v>
      </c>
    </row>
    <row r="518" spans="1:7" ht="14.4" customHeight="1" thickBot="1" x14ac:dyDescent="0.3">
      <c r="A518" s="179" t="s">
        <v>1139</v>
      </c>
      <c r="B518" s="179">
        <v>186</v>
      </c>
      <c r="C518" s="179">
        <v>186</v>
      </c>
      <c r="D518" s="179">
        <v>186</v>
      </c>
      <c r="E518" s="9">
        <f t="shared" si="8"/>
        <v>12237498</v>
      </c>
      <c r="F518" s="179" t="s">
        <v>1140</v>
      </c>
      <c r="G518" s="482" t="s">
        <v>26</v>
      </c>
    </row>
    <row r="519" spans="1:7" ht="14.4" customHeight="1" thickBot="1" x14ac:dyDescent="0.3">
      <c r="A519" s="179" t="s">
        <v>1141</v>
      </c>
      <c r="B519" s="179">
        <v>186</v>
      </c>
      <c r="C519" s="179">
        <v>186</v>
      </c>
      <c r="D519" s="179">
        <v>186</v>
      </c>
      <c r="E519" s="9">
        <f t="shared" si="8"/>
        <v>12237498</v>
      </c>
      <c r="F519" s="179" t="s">
        <v>1140</v>
      </c>
      <c r="G519" s="482" t="s">
        <v>26</v>
      </c>
    </row>
    <row r="520" spans="1:7" ht="14.4" customHeight="1" thickBot="1" x14ac:dyDescent="0.3">
      <c r="A520" s="179" t="s">
        <v>1142</v>
      </c>
      <c r="B520" s="179">
        <v>184</v>
      </c>
      <c r="C520" s="179">
        <v>184</v>
      </c>
      <c r="D520" s="179">
        <v>184</v>
      </c>
      <c r="E520" s="9">
        <f t="shared" si="8"/>
        <v>12105912</v>
      </c>
      <c r="F520" s="179" t="s">
        <v>1143</v>
      </c>
      <c r="G520" s="483" t="s">
        <v>26</v>
      </c>
    </row>
    <row r="521" spans="1:7" ht="14.4" customHeight="1" thickBot="1" x14ac:dyDescent="0.3">
      <c r="A521" s="179" t="s">
        <v>1144</v>
      </c>
      <c r="B521" s="179">
        <v>184</v>
      </c>
      <c r="C521" s="179">
        <v>184</v>
      </c>
      <c r="D521" s="179">
        <v>184</v>
      </c>
      <c r="E521" s="9">
        <f t="shared" si="8"/>
        <v>12105912</v>
      </c>
      <c r="F521" s="179" t="s">
        <v>1143</v>
      </c>
      <c r="G521" s="483" t="s">
        <v>26</v>
      </c>
    </row>
    <row r="522" spans="1:7" ht="14.4" customHeight="1" thickBot="1" x14ac:dyDescent="0.3">
      <c r="A522" s="179" t="s">
        <v>1145</v>
      </c>
      <c r="B522" s="179">
        <v>181</v>
      </c>
      <c r="C522" s="179">
        <v>181</v>
      </c>
      <c r="D522" s="179">
        <v>181</v>
      </c>
      <c r="E522" s="9">
        <f t="shared" si="8"/>
        <v>11908533</v>
      </c>
      <c r="F522" s="179" t="s">
        <v>1146</v>
      </c>
      <c r="G522" s="484" t="s">
        <v>26</v>
      </c>
    </row>
    <row r="523" spans="1:7" ht="14.4" customHeight="1" thickBot="1" x14ac:dyDescent="0.3">
      <c r="A523" s="179" t="s">
        <v>1147</v>
      </c>
      <c r="B523" s="179">
        <v>181</v>
      </c>
      <c r="C523" s="179">
        <v>181</v>
      </c>
      <c r="D523" s="179">
        <v>181</v>
      </c>
      <c r="E523" s="9">
        <f t="shared" si="8"/>
        <v>11908533</v>
      </c>
      <c r="F523" s="179" t="s">
        <v>1146</v>
      </c>
      <c r="G523" s="484" t="s">
        <v>26</v>
      </c>
    </row>
    <row r="524" spans="1:7" ht="14.4" customHeight="1" thickBot="1" x14ac:dyDescent="0.3">
      <c r="A524" s="179" t="s">
        <v>1148</v>
      </c>
      <c r="B524" s="179">
        <v>179</v>
      </c>
      <c r="C524" s="179">
        <v>179</v>
      </c>
      <c r="D524" s="179">
        <v>179</v>
      </c>
      <c r="E524" s="9">
        <f t="shared" si="8"/>
        <v>11776947</v>
      </c>
      <c r="F524" s="179" t="s">
        <v>1149</v>
      </c>
      <c r="G524" s="38" t="s">
        <v>26</v>
      </c>
    </row>
    <row r="525" spans="1:7" ht="14.4" customHeight="1" thickBot="1" x14ac:dyDescent="0.3">
      <c r="A525" s="179" t="s">
        <v>1150</v>
      </c>
      <c r="B525" s="179">
        <v>179</v>
      </c>
      <c r="C525" s="179">
        <v>179</v>
      </c>
      <c r="D525" s="179">
        <v>179</v>
      </c>
      <c r="E525" s="9">
        <f t="shared" si="8"/>
        <v>11776947</v>
      </c>
      <c r="F525" s="179" t="s">
        <v>1149</v>
      </c>
      <c r="G525" s="38" t="s">
        <v>26</v>
      </c>
    </row>
    <row r="526" spans="1:7" ht="14.4" customHeight="1" thickBot="1" x14ac:dyDescent="0.3">
      <c r="A526" s="179" t="s">
        <v>1151</v>
      </c>
      <c r="B526" s="179">
        <v>176</v>
      </c>
      <c r="C526" s="179">
        <v>176</v>
      </c>
      <c r="D526" s="179">
        <v>176</v>
      </c>
      <c r="E526" s="9">
        <f t="shared" si="8"/>
        <v>11579568</v>
      </c>
      <c r="F526" s="179" t="s">
        <v>1152</v>
      </c>
      <c r="G526" s="485" t="s">
        <v>26</v>
      </c>
    </row>
    <row r="527" spans="1:7" ht="14.4" customHeight="1" thickBot="1" x14ac:dyDescent="0.3">
      <c r="A527" s="179" t="s">
        <v>1153</v>
      </c>
      <c r="B527" s="179">
        <v>176</v>
      </c>
      <c r="C527" s="179">
        <v>176</v>
      </c>
      <c r="D527" s="179">
        <v>176</v>
      </c>
      <c r="E527" s="9">
        <f t="shared" si="8"/>
        <v>11579568</v>
      </c>
      <c r="F527" s="179" t="s">
        <v>1152</v>
      </c>
      <c r="G527" s="485" t="s">
        <v>26</v>
      </c>
    </row>
    <row r="528" spans="1:7" ht="14.4" customHeight="1" thickBot="1" x14ac:dyDescent="0.3">
      <c r="A528" s="179" t="s">
        <v>1154</v>
      </c>
      <c r="B528" s="179">
        <v>173</v>
      </c>
      <c r="C528" s="179">
        <v>173</v>
      </c>
      <c r="D528" s="179">
        <v>173</v>
      </c>
      <c r="E528" s="9">
        <f t="shared" si="8"/>
        <v>11382189</v>
      </c>
      <c r="F528" s="179" t="s">
        <v>1155</v>
      </c>
      <c r="G528" s="486" t="s">
        <v>26</v>
      </c>
    </row>
    <row r="529" spans="1:7" ht="14.4" customHeight="1" thickBot="1" x14ac:dyDescent="0.3">
      <c r="A529" s="179" t="s">
        <v>1156</v>
      </c>
      <c r="B529" s="179">
        <v>173</v>
      </c>
      <c r="C529" s="179">
        <v>173</v>
      </c>
      <c r="D529" s="179">
        <v>173</v>
      </c>
      <c r="E529" s="9">
        <f t="shared" si="8"/>
        <v>11382189</v>
      </c>
      <c r="F529" s="179" t="s">
        <v>1155</v>
      </c>
      <c r="G529" s="486" t="s">
        <v>26</v>
      </c>
    </row>
    <row r="530" spans="1:7" ht="14.4" customHeight="1" thickBot="1" x14ac:dyDescent="0.3">
      <c r="A530" s="179" t="s">
        <v>1157</v>
      </c>
      <c r="B530" s="179">
        <v>171</v>
      </c>
      <c r="C530" s="179">
        <v>171</v>
      </c>
      <c r="D530" s="179">
        <v>171</v>
      </c>
      <c r="E530" s="9">
        <f t="shared" si="8"/>
        <v>11250603</v>
      </c>
      <c r="F530" s="179" t="s">
        <v>1158</v>
      </c>
      <c r="G530" s="487" t="s">
        <v>26</v>
      </c>
    </row>
    <row r="531" spans="1:7" ht="14.4" customHeight="1" thickBot="1" x14ac:dyDescent="0.3">
      <c r="A531" s="179" t="s">
        <v>1159</v>
      </c>
      <c r="B531" s="179">
        <v>171</v>
      </c>
      <c r="C531" s="179">
        <v>171</v>
      </c>
      <c r="D531" s="179">
        <v>171</v>
      </c>
      <c r="E531" s="9">
        <f t="shared" si="8"/>
        <v>11250603</v>
      </c>
      <c r="F531" s="179" t="s">
        <v>1158</v>
      </c>
      <c r="G531" s="487" t="s">
        <v>26</v>
      </c>
    </row>
    <row r="532" spans="1:7" ht="14.4" customHeight="1" thickBot="1" x14ac:dyDescent="0.3">
      <c r="A532" s="179" t="s">
        <v>60</v>
      </c>
      <c r="B532" s="179">
        <v>169</v>
      </c>
      <c r="C532" s="179">
        <v>169</v>
      </c>
      <c r="D532" s="179">
        <v>169</v>
      </c>
      <c r="E532" s="9">
        <f t="shared" si="8"/>
        <v>11119017</v>
      </c>
      <c r="F532" s="179" t="s">
        <v>1160</v>
      </c>
      <c r="G532" s="24" t="s">
        <v>26</v>
      </c>
    </row>
    <row r="533" spans="1:7" ht="14.4" customHeight="1" thickBot="1" x14ac:dyDescent="0.3">
      <c r="A533" s="179" t="s">
        <v>61</v>
      </c>
      <c r="B533" s="179">
        <v>169</v>
      </c>
      <c r="C533" s="179">
        <v>169</v>
      </c>
      <c r="D533" s="179">
        <v>169</v>
      </c>
      <c r="E533" s="9">
        <f t="shared" si="8"/>
        <v>11119017</v>
      </c>
      <c r="F533" s="179" t="s">
        <v>1160</v>
      </c>
      <c r="G533" s="24" t="s">
        <v>26</v>
      </c>
    </row>
    <row r="534" spans="1:7" ht="14.4" customHeight="1" thickBot="1" x14ac:dyDescent="0.3">
      <c r="A534" s="179" t="s">
        <v>1161</v>
      </c>
      <c r="B534" s="179">
        <v>168</v>
      </c>
      <c r="C534" s="179">
        <v>168</v>
      </c>
      <c r="D534" s="179">
        <v>168</v>
      </c>
      <c r="E534" s="9">
        <f t="shared" si="8"/>
        <v>11053224</v>
      </c>
      <c r="F534" s="179" t="s">
        <v>1162</v>
      </c>
      <c r="G534" s="488" t="s">
        <v>26</v>
      </c>
    </row>
    <row r="535" spans="1:7" ht="14.4" customHeight="1" thickBot="1" x14ac:dyDescent="0.3">
      <c r="A535" s="179" t="s">
        <v>1163</v>
      </c>
      <c r="B535" s="179">
        <v>168</v>
      </c>
      <c r="C535" s="179">
        <v>168</v>
      </c>
      <c r="D535" s="179">
        <v>168</v>
      </c>
      <c r="E535" s="9">
        <f t="shared" si="8"/>
        <v>11053224</v>
      </c>
      <c r="F535" s="179" t="s">
        <v>1162</v>
      </c>
      <c r="G535" s="488" t="s">
        <v>26</v>
      </c>
    </row>
    <row r="536" spans="1:7" ht="14.4" customHeight="1" thickBot="1" x14ac:dyDescent="0.3">
      <c r="A536" s="179" t="s">
        <v>1164</v>
      </c>
      <c r="B536" s="179">
        <v>166</v>
      </c>
      <c r="C536" s="179">
        <v>166</v>
      </c>
      <c r="D536" s="179">
        <v>166</v>
      </c>
      <c r="E536" s="9">
        <f t="shared" si="8"/>
        <v>10921638</v>
      </c>
      <c r="F536" s="179" t="s">
        <v>1165</v>
      </c>
      <c r="G536" s="489" t="s">
        <v>26</v>
      </c>
    </row>
    <row r="537" spans="1:7" ht="14.4" customHeight="1" thickBot="1" x14ac:dyDescent="0.3">
      <c r="A537" s="179" t="s">
        <v>1166</v>
      </c>
      <c r="B537" s="179">
        <v>166</v>
      </c>
      <c r="C537" s="179">
        <v>166</v>
      </c>
      <c r="D537" s="179">
        <v>166</v>
      </c>
      <c r="E537" s="9">
        <f t="shared" si="8"/>
        <v>10921638</v>
      </c>
      <c r="F537" s="179" t="s">
        <v>1165</v>
      </c>
      <c r="G537" s="489" t="s">
        <v>26</v>
      </c>
    </row>
    <row r="538" spans="1:7" ht="14.4" customHeight="1" thickBot="1" x14ac:dyDescent="0.3">
      <c r="A538" s="179" t="s">
        <v>1167</v>
      </c>
      <c r="B538" s="179">
        <v>163</v>
      </c>
      <c r="C538" s="179">
        <v>163</v>
      </c>
      <c r="D538" s="179">
        <v>163</v>
      </c>
      <c r="E538" s="9">
        <f t="shared" si="8"/>
        <v>10724259</v>
      </c>
      <c r="F538" s="179" t="s">
        <v>1168</v>
      </c>
      <c r="G538" s="490" t="s">
        <v>26</v>
      </c>
    </row>
    <row r="539" spans="1:7" ht="14.4" customHeight="1" thickBot="1" x14ac:dyDescent="0.3">
      <c r="A539" s="179" t="s">
        <v>1169</v>
      </c>
      <c r="B539" s="179">
        <v>163</v>
      </c>
      <c r="C539" s="179">
        <v>163</v>
      </c>
      <c r="D539" s="179">
        <v>163</v>
      </c>
      <c r="E539" s="9">
        <f t="shared" si="8"/>
        <v>10724259</v>
      </c>
      <c r="F539" s="179" t="s">
        <v>1168</v>
      </c>
      <c r="G539" s="490" t="s">
        <v>26</v>
      </c>
    </row>
    <row r="540" spans="1:7" ht="14.4" customHeight="1" thickBot="1" x14ac:dyDescent="0.3">
      <c r="A540" s="179" t="s">
        <v>1170</v>
      </c>
      <c r="B540" s="179">
        <v>161</v>
      </c>
      <c r="C540" s="179">
        <v>161</v>
      </c>
      <c r="D540" s="179">
        <v>161</v>
      </c>
      <c r="E540" s="9">
        <f t="shared" si="8"/>
        <v>10592673</v>
      </c>
      <c r="F540" s="179" t="s">
        <v>1171</v>
      </c>
      <c r="G540" s="491" t="s">
        <v>26</v>
      </c>
    </row>
    <row r="541" spans="1:7" ht="14.4" customHeight="1" thickBot="1" x14ac:dyDescent="0.3">
      <c r="A541" s="179" t="s">
        <v>1172</v>
      </c>
      <c r="B541" s="179">
        <v>161</v>
      </c>
      <c r="C541" s="179">
        <v>161</v>
      </c>
      <c r="D541" s="179">
        <v>161</v>
      </c>
      <c r="E541" s="9">
        <f t="shared" si="8"/>
        <v>10592673</v>
      </c>
      <c r="F541" s="179" t="s">
        <v>1171</v>
      </c>
      <c r="G541" s="491" t="s">
        <v>26</v>
      </c>
    </row>
    <row r="542" spans="1:7" ht="14.4" customHeight="1" thickBot="1" x14ac:dyDescent="0.3">
      <c r="A542" s="179" t="s">
        <v>1173</v>
      </c>
      <c r="B542" s="179">
        <v>158</v>
      </c>
      <c r="C542" s="179">
        <v>158</v>
      </c>
      <c r="D542" s="179">
        <v>158</v>
      </c>
      <c r="E542" s="9">
        <f t="shared" si="8"/>
        <v>10395294</v>
      </c>
      <c r="F542" s="179" t="s">
        <v>1174</v>
      </c>
      <c r="G542" s="492" t="s">
        <v>26</v>
      </c>
    </row>
    <row r="543" spans="1:7" ht="14.4" customHeight="1" thickBot="1" x14ac:dyDescent="0.3">
      <c r="A543" s="179" t="s">
        <v>1175</v>
      </c>
      <c r="B543" s="179">
        <v>158</v>
      </c>
      <c r="C543" s="179">
        <v>158</v>
      </c>
      <c r="D543" s="179">
        <v>158</v>
      </c>
      <c r="E543" s="9">
        <f t="shared" si="8"/>
        <v>10395294</v>
      </c>
      <c r="F543" s="179" t="s">
        <v>1174</v>
      </c>
      <c r="G543" s="492" t="s">
        <v>26</v>
      </c>
    </row>
    <row r="544" spans="1:7" ht="14.4" customHeight="1" thickBot="1" x14ac:dyDescent="0.3">
      <c r="A544" s="179" t="s">
        <v>1176</v>
      </c>
      <c r="B544" s="179">
        <v>156</v>
      </c>
      <c r="C544" s="179">
        <v>156</v>
      </c>
      <c r="D544" s="179">
        <v>156</v>
      </c>
      <c r="E544" s="9">
        <f t="shared" si="8"/>
        <v>10263708</v>
      </c>
      <c r="F544" s="179" t="s">
        <v>1177</v>
      </c>
      <c r="G544" s="493" t="s">
        <v>26</v>
      </c>
    </row>
    <row r="545" spans="1:7" ht="14.4" customHeight="1" thickBot="1" x14ac:dyDescent="0.3">
      <c r="A545" s="179" t="s">
        <v>1178</v>
      </c>
      <c r="B545" s="179">
        <v>156</v>
      </c>
      <c r="C545" s="179">
        <v>156</v>
      </c>
      <c r="D545" s="179">
        <v>156</v>
      </c>
      <c r="E545" s="9">
        <f t="shared" si="8"/>
        <v>10263708</v>
      </c>
      <c r="F545" s="179" t="s">
        <v>1177</v>
      </c>
      <c r="G545" s="493" t="s">
        <v>26</v>
      </c>
    </row>
    <row r="546" spans="1:7" ht="14.4" customHeight="1" thickBot="1" x14ac:dyDescent="0.3">
      <c r="A546" s="179" t="s">
        <v>1179</v>
      </c>
      <c r="B546" s="179">
        <v>153</v>
      </c>
      <c r="C546" s="179">
        <v>153</v>
      </c>
      <c r="D546" s="179">
        <v>153</v>
      </c>
      <c r="E546" s="9">
        <f t="shared" si="8"/>
        <v>10066329</v>
      </c>
      <c r="F546" s="179" t="s">
        <v>1180</v>
      </c>
      <c r="G546" s="39" t="s">
        <v>26</v>
      </c>
    </row>
    <row r="547" spans="1:7" ht="14.4" customHeight="1" thickBot="1" x14ac:dyDescent="0.3">
      <c r="A547" s="179" t="s">
        <v>1181</v>
      </c>
      <c r="B547" s="179">
        <v>153</v>
      </c>
      <c r="C547" s="179">
        <v>153</v>
      </c>
      <c r="D547" s="179">
        <v>153</v>
      </c>
      <c r="E547" s="9">
        <f t="shared" si="8"/>
        <v>10066329</v>
      </c>
      <c r="F547" s="179" t="s">
        <v>1180</v>
      </c>
      <c r="G547" s="39" t="s">
        <v>26</v>
      </c>
    </row>
    <row r="548" spans="1:7" ht="14.4" customHeight="1" thickBot="1" x14ac:dyDescent="0.3">
      <c r="A548" s="179" t="s">
        <v>1182</v>
      </c>
      <c r="B548" s="179">
        <v>150</v>
      </c>
      <c r="C548" s="179">
        <v>150</v>
      </c>
      <c r="D548" s="179">
        <v>150</v>
      </c>
      <c r="E548" s="9">
        <f t="shared" si="8"/>
        <v>9868950</v>
      </c>
      <c r="F548" s="179" t="s">
        <v>1183</v>
      </c>
      <c r="G548" s="494" t="s">
        <v>26</v>
      </c>
    </row>
    <row r="549" spans="1:7" ht="14.4" customHeight="1" thickBot="1" x14ac:dyDescent="0.3">
      <c r="A549" s="179" t="s">
        <v>1184</v>
      </c>
      <c r="B549" s="179">
        <v>150</v>
      </c>
      <c r="C549" s="179">
        <v>150</v>
      </c>
      <c r="D549" s="179">
        <v>150</v>
      </c>
      <c r="E549" s="9">
        <f t="shared" si="8"/>
        <v>9868950</v>
      </c>
      <c r="F549" s="179" t="s">
        <v>1183</v>
      </c>
      <c r="G549" s="494" t="s">
        <v>26</v>
      </c>
    </row>
    <row r="550" spans="1:7" ht="14.4" customHeight="1" thickBot="1" x14ac:dyDescent="0.3">
      <c r="A550" s="179" t="s">
        <v>1185</v>
      </c>
      <c r="B550" s="179">
        <v>148</v>
      </c>
      <c r="C550" s="179">
        <v>148</v>
      </c>
      <c r="D550" s="179">
        <v>148</v>
      </c>
      <c r="E550" s="9">
        <f t="shared" si="8"/>
        <v>9737364</v>
      </c>
      <c r="F550" s="179" t="s">
        <v>1186</v>
      </c>
      <c r="G550" s="495" t="s">
        <v>26</v>
      </c>
    </row>
    <row r="551" spans="1:7" ht="14.4" customHeight="1" thickBot="1" x14ac:dyDescent="0.3">
      <c r="A551" s="179" t="s">
        <v>1187</v>
      </c>
      <c r="B551" s="179">
        <v>148</v>
      </c>
      <c r="C551" s="179">
        <v>148</v>
      </c>
      <c r="D551" s="179">
        <v>148</v>
      </c>
      <c r="E551" s="9">
        <f t="shared" si="8"/>
        <v>9737364</v>
      </c>
      <c r="F551" s="179" t="s">
        <v>1186</v>
      </c>
      <c r="G551" s="495" t="s">
        <v>26</v>
      </c>
    </row>
    <row r="552" spans="1:7" ht="14.4" customHeight="1" thickBot="1" x14ac:dyDescent="0.3">
      <c r="A552" s="179" t="s">
        <v>1188</v>
      </c>
      <c r="B552" s="179">
        <v>145</v>
      </c>
      <c r="C552" s="179">
        <v>145</v>
      </c>
      <c r="D552" s="179">
        <v>145</v>
      </c>
      <c r="E552" s="9">
        <f t="shared" si="8"/>
        <v>9539985</v>
      </c>
      <c r="F552" s="179" t="s">
        <v>1189</v>
      </c>
      <c r="G552" s="496" t="s">
        <v>26</v>
      </c>
    </row>
    <row r="553" spans="1:7" ht="14.4" customHeight="1" thickBot="1" x14ac:dyDescent="0.3">
      <c r="A553" s="179" t="s">
        <v>1190</v>
      </c>
      <c r="B553" s="179">
        <v>145</v>
      </c>
      <c r="C553" s="179">
        <v>145</v>
      </c>
      <c r="D553" s="179">
        <v>145</v>
      </c>
      <c r="E553" s="9">
        <f t="shared" si="8"/>
        <v>9539985</v>
      </c>
      <c r="F553" s="179" t="s">
        <v>1189</v>
      </c>
      <c r="G553" s="496" t="s">
        <v>26</v>
      </c>
    </row>
    <row r="554" spans="1:7" ht="14.4" customHeight="1" thickBot="1" x14ac:dyDescent="0.3">
      <c r="A554" s="179" t="s">
        <v>1191</v>
      </c>
      <c r="B554" s="179">
        <v>143</v>
      </c>
      <c r="C554" s="179">
        <v>143</v>
      </c>
      <c r="D554" s="179">
        <v>143</v>
      </c>
      <c r="E554" s="9">
        <f t="shared" si="8"/>
        <v>9408399</v>
      </c>
      <c r="F554" s="179" t="s">
        <v>1192</v>
      </c>
      <c r="G554" s="497" t="s">
        <v>26</v>
      </c>
    </row>
    <row r="555" spans="1:7" ht="14.4" customHeight="1" thickBot="1" x14ac:dyDescent="0.3">
      <c r="A555" s="179" t="s">
        <v>1193</v>
      </c>
      <c r="B555" s="179">
        <v>143</v>
      </c>
      <c r="C555" s="179">
        <v>143</v>
      </c>
      <c r="D555" s="179">
        <v>143</v>
      </c>
      <c r="E555" s="9">
        <f t="shared" si="8"/>
        <v>9408399</v>
      </c>
      <c r="F555" s="179" t="s">
        <v>1192</v>
      </c>
      <c r="G555" s="497" t="s">
        <v>26</v>
      </c>
    </row>
    <row r="556" spans="1:7" ht="14.4" customHeight="1" thickBot="1" x14ac:dyDescent="0.3">
      <c r="A556" s="179" t="s">
        <v>1194</v>
      </c>
      <c r="B556" s="179">
        <v>140</v>
      </c>
      <c r="C556" s="179">
        <v>140</v>
      </c>
      <c r="D556" s="179">
        <v>140</v>
      </c>
      <c r="E556" s="9">
        <f t="shared" si="8"/>
        <v>9211020</v>
      </c>
      <c r="F556" s="179" t="s">
        <v>1195</v>
      </c>
      <c r="G556" s="498" t="s">
        <v>26</v>
      </c>
    </row>
    <row r="557" spans="1:7" ht="14.4" customHeight="1" thickBot="1" x14ac:dyDescent="0.3">
      <c r="A557" s="179" t="s">
        <v>1196</v>
      </c>
      <c r="B557" s="179">
        <v>140</v>
      </c>
      <c r="C557" s="179">
        <v>140</v>
      </c>
      <c r="D557" s="179">
        <v>140</v>
      </c>
      <c r="E557" s="9">
        <f t="shared" si="8"/>
        <v>9211020</v>
      </c>
      <c r="F557" s="179" t="s">
        <v>1195</v>
      </c>
      <c r="G557" s="498" t="s">
        <v>26</v>
      </c>
    </row>
    <row r="558" spans="1:7" ht="14.4" customHeight="1" thickBot="1" x14ac:dyDescent="0.3">
      <c r="A558" s="179" t="s">
        <v>1197</v>
      </c>
      <c r="B558" s="179">
        <v>138</v>
      </c>
      <c r="C558" s="179">
        <v>138</v>
      </c>
      <c r="D558" s="179">
        <v>138</v>
      </c>
      <c r="E558" s="9">
        <f t="shared" si="8"/>
        <v>9079434</v>
      </c>
      <c r="F558" s="179" t="s">
        <v>1198</v>
      </c>
      <c r="G558" s="499" t="s">
        <v>26</v>
      </c>
    </row>
    <row r="559" spans="1:7" ht="14.4" customHeight="1" thickBot="1" x14ac:dyDescent="0.3">
      <c r="A559" s="179" t="s">
        <v>1199</v>
      </c>
      <c r="B559" s="179">
        <v>138</v>
      </c>
      <c r="C559" s="179">
        <v>138</v>
      </c>
      <c r="D559" s="179">
        <v>138</v>
      </c>
      <c r="E559" s="9">
        <f t="shared" si="8"/>
        <v>9079434</v>
      </c>
      <c r="F559" s="179" t="s">
        <v>1198</v>
      </c>
      <c r="G559" s="499" t="s">
        <v>26</v>
      </c>
    </row>
    <row r="560" spans="1:7" ht="14.4" customHeight="1" thickBot="1" x14ac:dyDescent="0.3">
      <c r="A560" s="179" t="s">
        <v>1200</v>
      </c>
      <c r="B560" s="179">
        <v>135</v>
      </c>
      <c r="C560" s="179">
        <v>135</v>
      </c>
      <c r="D560" s="179">
        <v>135</v>
      </c>
      <c r="E560" s="9">
        <f t="shared" si="8"/>
        <v>8882055</v>
      </c>
      <c r="F560" s="179" t="s">
        <v>1201</v>
      </c>
      <c r="G560" s="500" t="s">
        <v>26</v>
      </c>
    </row>
    <row r="561" spans="1:7" ht="14.4" customHeight="1" thickBot="1" x14ac:dyDescent="0.3">
      <c r="A561" s="179" t="s">
        <v>1202</v>
      </c>
      <c r="B561" s="179">
        <v>135</v>
      </c>
      <c r="C561" s="179">
        <v>135</v>
      </c>
      <c r="D561" s="179">
        <v>135</v>
      </c>
      <c r="E561" s="9">
        <f t="shared" si="8"/>
        <v>8882055</v>
      </c>
      <c r="F561" s="179" t="s">
        <v>1201</v>
      </c>
      <c r="G561" s="500" t="s">
        <v>26</v>
      </c>
    </row>
    <row r="562" spans="1:7" ht="14.4" customHeight="1" thickBot="1" x14ac:dyDescent="0.3">
      <c r="A562" s="179" t="s">
        <v>1203</v>
      </c>
      <c r="B562" s="179">
        <v>133</v>
      </c>
      <c r="C562" s="179">
        <v>133</v>
      </c>
      <c r="D562" s="179">
        <v>133</v>
      </c>
      <c r="E562" s="9">
        <f t="shared" si="8"/>
        <v>8750469</v>
      </c>
      <c r="F562" s="179" t="s">
        <v>1204</v>
      </c>
      <c r="G562" s="501" t="s">
        <v>26</v>
      </c>
    </row>
    <row r="563" spans="1:7" ht="14.4" customHeight="1" thickBot="1" x14ac:dyDescent="0.3">
      <c r="A563" s="179" t="s">
        <v>1205</v>
      </c>
      <c r="B563" s="179">
        <v>133</v>
      </c>
      <c r="C563" s="179">
        <v>133</v>
      </c>
      <c r="D563" s="179">
        <v>133</v>
      </c>
      <c r="E563" s="9">
        <f t="shared" si="8"/>
        <v>8750469</v>
      </c>
      <c r="F563" s="179" t="s">
        <v>1204</v>
      </c>
      <c r="G563" s="501" t="s">
        <v>26</v>
      </c>
    </row>
    <row r="564" spans="1:7" ht="14.4" customHeight="1" thickBot="1" x14ac:dyDescent="0.3">
      <c r="A564" s="179" t="s">
        <v>1206</v>
      </c>
      <c r="B564" s="179">
        <v>130</v>
      </c>
      <c r="C564" s="179">
        <v>130</v>
      </c>
      <c r="D564" s="179">
        <v>130</v>
      </c>
      <c r="E564" s="9">
        <f t="shared" si="8"/>
        <v>8553090</v>
      </c>
      <c r="F564" s="179" t="s">
        <v>1207</v>
      </c>
      <c r="G564" s="502" t="s">
        <v>26</v>
      </c>
    </row>
    <row r="565" spans="1:7" ht="14.4" customHeight="1" thickBot="1" x14ac:dyDescent="0.3">
      <c r="A565" s="179" t="s">
        <v>1208</v>
      </c>
      <c r="B565" s="179">
        <v>130</v>
      </c>
      <c r="C565" s="179">
        <v>130</v>
      </c>
      <c r="D565" s="179">
        <v>130</v>
      </c>
      <c r="E565" s="9">
        <f t="shared" si="8"/>
        <v>8553090</v>
      </c>
      <c r="F565" s="179" t="s">
        <v>1207</v>
      </c>
      <c r="G565" s="502" t="s">
        <v>26</v>
      </c>
    </row>
    <row r="566" spans="1:7" ht="14.4" customHeight="1" thickBot="1" x14ac:dyDescent="0.3">
      <c r="A566" s="179" t="s">
        <v>1209</v>
      </c>
      <c r="B566" s="179">
        <v>128</v>
      </c>
      <c r="C566" s="179">
        <v>128</v>
      </c>
      <c r="D566" s="179">
        <v>128</v>
      </c>
      <c r="E566" s="9">
        <f t="shared" si="8"/>
        <v>8421504</v>
      </c>
      <c r="F566" s="179" t="s">
        <v>1210</v>
      </c>
      <c r="G566" s="136" t="s">
        <v>26</v>
      </c>
    </row>
    <row r="567" spans="1:7" ht="14.4" customHeight="1" thickBot="1" x14ac:dyDescent="0.3">
      <c r="A567" s="179" t="s">
        <v>1211</v>
      </c>
      <c r="B567" s="179">
        <v>127</v>
      </c>
      <c r="C567" s="179">
        <v>127</v>
      </c>
      <c r="D567" s="179">
        <v>127</v>
      </c>
      <c r="E567" s="9">
        <f t="shared" si="8"/>
        <v>8355711</v>
      </c>
      <c r="F567" s="179" t="s">
        <v>1212</v>
      </c>
      <c r="G567" s="503" t="s">
        <v>26</v>
      </c>
    </row>
    <row r="568" spans="1:7" ht="14.4" customHeight="1" thickBot="1" x14ac:dyDescent="0.3">
      <c r="A568" s="179" t="s">
        <v>1213</v>
      </c>
      <c r="B568" s="179">
        <v>127</v>
      </c>
      <c r="C568" s="179">
        <v>127</v>
      </c>
      <c r="D568" s="179">
        <v>127</v>
      </c>
      <c r="E568" s="9">
        <f t="shared" si="8"/>
        <v>8355711</v>
      </c>
      <c r="F568" s="179" t="s">
        <v>1212</v>
      </c>
      <c r="G568" s="503" t="s">
        <v>26</v>
      </c>
    </row>
    <row r="569" spans="1:7" ht="14.4" customHeight="1" thickBot="1" x14ac:dyDescent="0.3">
      <c r="A569" s="179" t="s">
        <v>1214</v>
      </c>
      <c r="B569" s="179">
        <v>126</v>
      </c>
      <c r="C569" s="179">
        <v>126</v>
      </c>
      <c r="D569" s="179">
        <v>126</v>
      </c>
      <c r="E569" s="9">
        <f t="shared" si="8"/>
        <v>8289918</v>
      </c>
      <c r="F569" s="179" t="s">
        <v>1215</v>
      </c>
      <c r="G569" s="504" t="s">
        <v>26</v>
      </c>
    </row>
    <row r="570" spans="1:7" ht="14.4" customHeight="1" thickBot="1" x14ac:dyDescent="0.3">
      <c r="A570" s="179" t="s">
        <v>1216</v>
      </c>
      <c r="B570" s="179">
        <v>125</v>
      </c>
      <c r="C570" s="179">
        <v>125</v>
      </c>
      <c r="D570" s="179">
        <v>125</v>
      </c>
      <c r="E570" s="9">
        <f t="shared" si="8"/>
        <v>8224125</v>
      </c>
      <c r="F570" s="179" t="s">
        <v>1217</v>
      </c>
      <c r="G570" s="505" t="s">
        <v>26</v>
      </c>
    </row>
    <row r="571" spans="1:7" ht="14.4" customHeight="1" thickBot="1" x14ac:dyDescent="0.3">
      <c r="A571" s="179" t="s">
        <v>1218</v>
      </c>
      <c r="B571" s="179">
        <v>125</v>
      </c>
      <c r="C571" s="179">
        <v>125</v>
      </c>
      <c r="D571" s="179">
        <v>125</v>
      </c>
      <c r="E571" s="9">
        <f t="shared" si="8"/>
        <v>8224125</v>
      </c>
      <c r="F571" s="179" t="s">
        <v>1217</v>
      </c>
      <c r="G571" s="505" t="s">
        <v>26</v>
      </c>
    </row>
    <row r="572" spans="1:7" ht="14.4" customHeight="1" thickBot="1" x14ac:dyDescent="0.3">
      <c r="A572" s="179" t="s">
        <v>1219</v>
      </c>
      <c r="B572" s="179">
        <v>122</v>
      </c>
      <c r="C572" s="179">
        <v>122</v>
      </c>
      <c r="D572" s="179">
        <v>122</v>
      </c>
      <c r="E572" s="9">
        <f t="shared" si="8"/>
        <v>8026746</v>
      </c>
      <c r="F572" s="179" t="s">
        <v>1220</v>
      </c>
      <c r="G572" s="506" t="s">
        <v>26</v>
      </c>
    </row>
    <row r="573" spans="1:7" ht="14.4" customHeight="1" thickBot="1" x14ac:dyDescent="0.3">
      <c r="A573" s="179" t="s">
        <v>1221</v>
      </c>
      <c r="B573" s="179">
        <v>122</v>
      </c>
      <c r="C573" s="179">
        <v>122</v>
      </c>
      <c r="D573" s="179">
        <v>122</v>
      </c>
      <c r="E573" s="9">
        <f t="shared" si="8"/>
        <v>8026746</v>
      </c>
      <c r="F573" s="179" t="s">
        <v>1220</v>
      </c>
      <c r="G573" s="506" t="s">
        <v>26</v>
      </c>
    </row>
    <row r="574" spans="1:7" ht="14.4" customHeight="1" thickBot="1" x14ac:dyDescent="0.3">
      <c r="A574" s="179" t="s">
        <v>1222</v>
      </c>
      <c r="B574" s="179">
        <v>120</v>
      </c>
      <c r="C574" s="179">
        <v>120</v>
      </c>
      <c r="D574" s="179">
        <v>120</v>
      </c>
      <c r="E574" s="9">
        <f t="shared" si="8"/>
        <v>7895160</v>
      </c>
      <c r="F574" s="179" t="s">
        <v>1223</v>
      </c>
      <c r="G574" s="507" t="s">
        <v>26</v>
      </c>
    </row>
    <row r="575" spans="1:7" ht="14.4" customHeight="1" thickBot="1" x14ac:dyDescent="0.3">
      <c r="A575" s="179" t="s">
        <v>1224</v>
      </c>
      <c r="B575" s="179">
        <v>120</v>
      </c>
      <c r="C575" s="179">
        <v>120</v>
      </c>
      <c r="D575" s="179">
        <v>120</v>
      </c>
      <c r="E575" s="9">
        <f t="shared" si="8"/>
        <v>7895160</v>
      </c>
      <c r="F575" s="179" t="s">
        <v>1223</v>
      </c>
      <c r="G575" s="507" t="s">
        <v>26</v>
      </c>
    </row>
    <row r="576" spans="1:7" ht="14.4" customHeight="1" thickBot="1" x14ac:dyDescent="0.3">
      <c r="A576" s="179" t="s">
        <v>1225</v>
      </c>
      <c r="B576" s="179">
        <v>117</v>
      </c>
      <c r="C576" s="179">
        <v>117</v>
      </c>
      <c r="D576" s="179">
        <v>117</v>
      </c>
      <c r="E576" s="9">
        <f t="shared" si="8"/>
        <v>7697781</v>
      </c>
      <c r="F576" s="179" t="s">
        <v>1226</v>
      </c>
      <c r="G576" s="508" t="s">
        <v>26</v>
      </c>
    </row>
    <row r="577" spans="1:7" ht="14.4" customHeight="1" thickBot="1" x14ac:dyDescent="0.3">
      <c r="A577" s="179" t="s">
        <v>1227</v>
      </c>
      <c r="B577" s="179">
        <v>117</v>
      </c>
      <c r="C577" s="179">
        <v>117</v>
      </c>
      <c r="D577" s="179">
        <v>117</v>
      </c>
      <c r="E577" s="9">
        <f t="shared" si="8"/>
        <v>7697781</v>
      </c>
      <c r="F577" s="179" t="s">
        <v>1226</v>
      </c>
      <c r="G577" s="508" t="s">
        <v>26</v>
      </c>
    </row>
    <row r="578" spans="1:7" ht="14.4" customHeight="1" thickBot="1" x14ac:dyDescent="0.3">
      <c r="A578" s="179" t="s">
        <v>1228</v>
      </c>
      <c r="B578" s="179">
        <v>115</v>
      </c>
      <c r="C578" s="179">
        <v>115</v>
      </c>
      <c r="D578" s="179">
        <v>115</v>
      </c>
      <c r="E578" s="9">
        <f t="shared" ref="E578:E641" si="9">B578+256*C578+256*256*D578</f>
        <v>7566195</v>
      </c>
      <c r="F578" s="179" t="s">
        <v>1229</v>
      </c>
      <c r="G578" s="509" t="s">
        <v>26</v>
      </c>
    </row>
    <row r="579" spans="1:7" ht="14.4" customHeight="1" thickBot="1" x14ac:dyDescent="0.3">
      <c r="A579" s="179" t="s">
        <v>1230</v>
      </c>
      <c r="B579" s="179">
        <v>115</v>
      </c>
      <c r="C579" s="179">
        <v>115</v>
      </c>
      <c r="D579" s="179">
        <v>115</v>
      </c>
      <c r="E579" s="9">
        <f t="shared" si="9"/>
        <v>7566195</v>
      </c>
      <c r="F579" s="179" t="s">
        <v>1229</v>
      </c>
      <c r="G579" s="509" t="s">
        <v>26</v>
      </c>
    </row>
    <row r="580" spans="1:7" ht="14.4" customHeight="1" thickBot="1" x14ac:dyDescent="0.3">
      <c r="A580" s="179" t="s">
        <v>1231</v>
      </c>
      <c r="B580" s="179">
        <v>112</v>
      </c>
      <c r="C580" s="179">
        <v>112</v>
      </c>
      <c r="D580" s="179">
        <v>112</v>
      </c>
      <c r="E580" s="9">
        <f t="shared" si="9"/>
        <v>7368816</v>
      </c>
      <c r="F580" s="179" t="s">
        <v>1232</v>
      </c>
      <c r="G580" s="510" t="s">
        <v>26</v>
      </c>
    </row>
    <row r="581" spans="1:7" ht="14.4" customHeight="1" thickBot="1" x14ac:dyDescent="0.3">
      <c r="A581" s="179" t="s">
        <v>1233</v>
      </c>
      <c r="B581" s="179">
        <v>112</v>
      </c>
      <c r="C581" s="179">
        <v>112</v>
      </c>
      <c r="D581" s="179">
        <v>112</v>
      </c>
      <c r="E581" s="9">
        <f t="shared" si="9"/>
        <v>7368816</v>
      </c>
      <c r="F581" s="179" t="s">
        <v>1232</v>
      </c>
      <c r="G581" s="510" t="s">
        <v>26</v>
      </c>
    </row>
    <row r="582" spans="1:7" ht="14.4" customHeight="1" thickBot="1" x14ac:dyDescent="0.3">
      <c r="A582" s="179" t="s">
        <v>1234</v>
      </c>
      <c r="B582" s="179">
        <v>110</v>
      </c>
      <c r="C582" s="179">
        <v>110</v>
      </c>
      <c r="D582" s="179">
        <v>110</v>
      </c>
      <c r="E582" s="9">
        <f t="shared" si="9"/>
        <v>7237230</v>
      </c>
      <c r="F582" s="179" t="s">
        <v>1235</v>
      </c>
      <c r="G582" s="511" t="s">
        <v>26</v>
      </c>
    </row>
    <row r="583" spans="1:7" ht="14.4" customHeight="1" thickBot="1" x14ac:dyDescent="0.3">
      <c r="A583" s="179" t="s">
        <v>1236</v>
      </c>
      <c r="B583" s="179">
        <v>110</v>
      </c>
      <c r="C583" s="179">
        <v>110</v>
      </c>
      <c r="D583" s="179">
        <v>110</v>
      </c>
      <c r="E583" s="9">
        <f t="shared" si="9"/>
        <v>7237230</v>
      </c>
      <c r="F583" s="179" t="s">
        <v>1235</v>
      </c>
      <c r="G583" s="511" t="s">
        <v>26</v>
      </c>
    </row>
    <row r="584" spans="1:7" ht="14.4" customHeight="1" thickBot="1" x14ac:dyDescent="0.3">
      <c r="A584" s="179" t="s">
        <v>1237</v>
      </c>
      <c r="B584" s="179">
        <v>107</v>
      </c>
      <c r="C584" s="179">
        <v>107</v>
      </c>
      <c r="D584" s="179">
        <v>107</v>
      </c>
      <c r="E584" s="9">
        <f t="shared" si="9"/>
        <v>7039851</v>
      </c>
      <c r="F584" s="179" t="s">
        <v>1238</v>
      </c>
      <c r="G584" s="512" t="s">
        <v>26</v>
      </c>
    </row>
    <row r="585" spans="1:7" ht="14.4" customHeight="1" thickBot="1" x14ac:dyDescent="0.3">
      <c r="A585" s="179" t="s">
        <v>1239</v>
      </c>
      <c r="B585" s="179">
        <v>107</v>
      </c>
      <c r="C585" s="179">
        <v>107</v>
      </c>
      <c r="D585" s="179">
        <v>107</v>
      </c>
      <c r="E585" s="9">
        <f t="shared" si="9"/>
        <v>7039851</v>
      </c>
      <c r="F585" s="179" t="s">
        <v>1238</v>
      </c>
      <c r="G585" s="512" t="s">
        <v>26</v>
      </c>
    </row>
    <row r="586" spans="1:7" ht="14.4" customHeight="1" thickBot="1" x14ac:dyDescent="0.3">
      <c r="A586" s="179" t="s">
        <v>77</v>
      </c>
      <c r="B586" s="179">
        <v>105</v>
      </c>
      <c r="C586" s="179">
        <v>105</v>
      </c>
      <c r="D586" s="179">
        <v>105</v>
      </c>
      <c r="E586" s="9">
        <f t="shared" si="9"/>
        <v>6908265</v>
      </c>
      <c r="F586" s="179" t="s">
        <v>1240</v>
      </c>
      <c r="G586" s="131" t="s">
        <v>26</v>
      </c>
    </row>
    <row r="587" spans="1:7" ht="14.4" customHeight="1" thickBot="1" x14ac:dyDescent="0.3">
      <c r="A587" s="179" t="s">
        <v>78</v>
      </c>
      <c r="B587" s="179">
        <v>105</v>
      </c>
      <c r="C587" s="179">
        <v>105</v>
      </c>
      <c r="D587" s="179">
        <v>105</v>
      </c>
      <c r="E587" s="9">
        <f t="shared" si="9"/>
        <v>6908265</v>
      </c>
      <c r="F587" s="179" t="s">
        <v>1240</v>
      </c>
      <c r="G587" s="131" t="s">
        <v>26</v>
      </c>
    </row>
    <row r="588" spans="1:7" ht="14.4" customHeight="1" thickBot="1" x14ac:dyDescent="0.3">
      <c r="A588" s="179" t="s">
        <v>1241</v>
      </c>
      <c r="B588" s="179">
        <v>105</v>
      </c>
      <c r="C588" s="179">
        <v>105</v>
      </c>
      <c r="D588" s="179">
        <v>105</v>
      </c>
      <c r="E588" s="9">
        <f t="shared" si="9"/>
        <v>6908265</v>
      </c>
      <c r="F588" s="179" t="s">
        <v>1240</v>
      </c>
      <c r="G588" s="131" t="s">
        <v>26</v>
      </c>
    </row>
    <row r="589" spans="1:7" ht="14.4" customHeight="1" thickBot="1" x14ac:dyDescent="0.3">
      <c r="A589" s="179" t="s">
        <v>1242</v>
      </c>
      <c r="B589" s="179">
        <v>105</v>
      </c>
      <c r="C589" s="179">
        <v>105</v>
      </c>
      <c r="D589" s="179">
        <v>105</v>
      </c>
      <c r="E589" s="9">
        <f t="shared" si="9"/>
        <v>6908265</v>
      </c>
      <c r="F589" s="179" t="s">
        <v>1240</v>
      </c>
      <c r="G589" s="131" t="s">
        <v>26</v>
      </c>
    </row>
    <row r="590" spans="1:7" ht="14.4" customHeight="1" thickBot="1" x14ac:dyDescent="0.3">
      <c r="A590" s="179" t="s">
        <v>1243</v>
      </c>
      <c r="B590" s="179">
        <v>102</v>
      </c>
      <c r="C590" s="179">
        <v>102</v>
      </c>
      <c r="D590" s="179">
        <v>102</v>
      </c>
      <c r="E590" s="9">
        <f t="shared" si="9"/>
        <v>6710886</v>
      </c>
      <c r="F590" s="179" t="s">
        <v>1244</v>
      </c>
      <c r="G590" s="137" t="s">
        <v>26</v>
      </c>
    </row>
    <row r="591" spans="1:7" ht="14.4" customHeight="1" thickBot="1" x14ac:dyDescent="0.3">
      <c r="A591" s="179" t="s">
        <v>1245</v>
      </c>
      <c r="B591" s="179">
        <v>102</v>
      </c>
      <c r="C591" s="179">
        <v>102</v>
      </c>
      <c r="D591" s="179">
        <v>102</v>
      </c>
      <c r="E591" s="9">
        <f t="shared" si="9"/>
        <v>6710886</v>
      </c>
      <c r="F591" s="179" t="s">
        <v>1244</v>
      </c>
      <c r="G591" s="137" t="s">
        <v>26</v>
      </c>
    </row>
    <row r="592" spans="1:7" ht="14.4" customHeight="1" thickBot="1" x14ac:dyDescent="0.3">
      <c r="A592" s="179" t="s">
        <v>1246</v>
      </c>
      <c r="B592" s="179">
        <v>99</v>
      </c>
      <c r="C592" s="179">
        <v>99</v>
      </c>
      <c r="D592" s="179">
        <v>99</v>
      </c>
      <c r="E592" s="9">
        <f t="shared" si="9"/>
        <v>6513507</v>
      </c>
      <c r="F592" s="179" t="s">
        <v>1247</v>
      </c>
      <c r="G592" s="513" t="s">
        <v>26</v>
      </c>
    </row>
    <row r="593" spans="1:7" ht="14.4" customHeight="1" thickBot="1" x14ac:dyDescent="0.3">
      <c r="A593" s="179" t="s">
        <v>1248</v>
      </c>
      <c r="B593" s="179">
        <v>99</v>
      </c>
      <c r="C593" s="179">
        <v>99</v>
      </c>
      <c r="D593" s="179">
        <v>99</v>
      </c>
      <c r="E593" s="9">
        <f t="shared" si="9"/>
        <v>6513507</v>
      </c>
      <c r="F593" s="179" t="s">
        <v>1247</v>
      </c>
      <c r="G593" s="513" t="s">
        <v>26</v>
      </c>
    </row>
    <row r="594" spans="1:7" ht="14.4" customHeight="1" thickBot="1" x14ac:dyDescent="0.3">
      <c r="A594" s="179" t="s">
        <v>1249</v>
      </c>
      <c r="B594" s="179">
        <v>97</v>
      </c>
      <c r="C594" s="179">
        <v>97</v>
      </c>
      <c r="D594" s="179">
        <v>97</v>
      </c>
      <c r="E594" s="9">
        <f t="shared" si="9"/>
        <v>6381921</v>
      </c>
      <c r="F594" s="179" t="s">
        <v>1250</v>
      </c>
      <c r="G594" s="514" t="s">
        <v>26</v>
      </c>
    </row>
    <row r="595" spans="1:7" ht="14.4" customHeight="1" thickBot="1" x14ac:dyDescent="0.3">
      <c r="A595" s="179" t="s">
        <v>1251</v>
      </c>
      <c r="B595" s="179">
        <v>97</v>
      </c>
      <c r="C595" s="179">
        <v>97</v>
      </c>
      <c r="D595" s="179">
        <v>97</v>
      </c>
      <c r="E595" s="9">
        <f t="shared" si="9"/>
        <v>6381921</v>
      </c>
      <c r="F595" s="179" t="s">
        <v>1250</v>
      </c>
      <c r="G595" s="514" t="s">
        <v>26</v>
      </c>
    </row>
    <row r="596" spans="1:7" ht="14.4" customHeight="1" thickBot="1" x14ac:dyDescent="0.3">
      <c r="A596" s="179" t="s">
        <v>1252</v>
      </c>
      <c r="B596" s="179">
        <v>94</v>
      </c>
      <c r="C596" s="179">
        <v>94</v>
      </c>
      <c r="D596" s="179">
        <v>94</v>
      </c>
      <c r="E596" s="9">
        <f t="shared" si="9"/>
        <v>6184542</v>
      </c>
      <c r="F596" s="179" t="s">
        <v>1253</v>
      </c>
      <c r="G596" s="515" t="s">
        <v>26</v>
      </c>
    </row>
    <row r="597" spans="1:7" ht="14.4" customHeight="1" thickBot="1" x14ac:dyDescent="0.3">
      <c r="A597" s="179" t="s">
        <v>1254</v>
      </c>
      <c r="B597" s="179">
        <v>94</v>
      </c>
      <c r="C597" s="179">
        <v>94</v>
      </c>
      <c r="D597" s="179">
        <v>94</v>
      </c>
      <c r="E597" s="9">
        <f t="shared" si="9"/>
        <v>6184542</v>
      </c>
      <c r="F597" s="179" t="s">
        <v>1253</v>
      </c>
      <c r="G597" s="515" t="s">
        <v>26</v>
      </c>
    </row>
    <row r="598" spans="1:7" ht="14.4" customHeight="1" thickBot="1" x14ac:dyDescent="0.3">
      <c r="A598" s="179" t="s">
        <v>1255</v>
      </c>
      <c r="B598" s="179">
        <v>92</v>
      </c>
      <c r="C598" s="179">
        <v>92</v>
      </c>
      <c r="D598" s="179">
        <v>92</v>
      </c>
      <c r="E598" s="9">
        <f t="shared" si="9"/>
        <v>6052956</v>
      </c>
      <c r="F598" s="179" t="s">
        <v>1256</v>
      </c>
      <c r="G598" s="516" t="s">
        <v>26</v>
      </c>
    </row>
    <row r="599" spans="1:7" ht="14.4" customHeight="1" thickBot="1" x14ac:dyDescent="0.3">
      <c r="A599" s="179" t="s">
        <v>1257</v>
      </c>
      <c r="B599" s="179">
        <v>92</v>
      </c>
      <c r="C599" s="179">
        <v>92</v>
      </c>
      <c r="D599" s="179">
        <v>92</v>
      </c>
      <c r="E599" s="9">
        <f t="shared" si="9"/>
        <v>6052956</v>
      </c>
      <c r="F599" s="179" t="s">
        <v>1256</v>
      </c>
      <c r="G599" s="516" t="s">
        <v>26</v>
      </c>
    </row>
    <row r="600" spans="1:7" ht="14.4" customHeight="1" thickBot="1" x14ac:dyDescent="0.3">
      <c r="A600" s="179" t="s">
        <v>1258</v>
      </c>
      <c r="B600" s="179">
        <v>89</v>
      </c>
      <c r="C600" s="179">
        <v>89</v>
      </c>
      <c r="D600" s="179">
        <v>89</v>
      </c>
      <c r="E600" s="9">
        <f t="shared" si="9"/>
        <v>5855577</v>
      </c>
      <c r="F600" s="179" t="s">
        <v>1259</v>
      </c>
      <c r="G600" s="517" t="s">
        <v>26</v>
      </c>
    </row>
    <row r="601" spans="1:7" ht="14.4" customHeight="1" thickBot="1" x14ac:dyDescent="0.3">
      <c r="A601" s="179" t="s">
        <v>1260</v>
      </c>
      <c r="B601" s="179">
        <v>89</v>
      </c>
      <c r="C601" s="179">
        <v>89</v>
      </c>
      <c r="D601" s="179">
        <v>89</v>
      </c>
      <c r="E601" s="9">
        <f t="shared" si="9"/>
        <v>5855577</v>
      </c>
      <c r="F601" s="179" t="s">
        <v>1259</v>
      </c>
      <c r="G601" s="517" t="s">
        <v>26</v>
      </c>
    </row>
    <row r="602" spans="1:7" ht="14.4" customHeight="1" thickBot="1" x14ac:dyDescent="0.3">
      <c r="A602" s="179" t="s">
        <v>1261</v>
      </c>
      <c r="B602" s="179">
        <v>87</v>
      </c>
      <c r="C602" s="179">
        <v>87</v>
      </c>
      <c r="D602" s="179">
        <v>87</v>
      </c>
      <c r="E602" s="9">
        <f t="shared" si="9"/>
        <v>5723991</v>
      </c>
      <c r="F602" s="179" t="s">
        <v>1262</v>
      </c>
      <c r="G602" s="518" t="s">
        <v>26</v>
      </c>
    </row>
    <row r="603" spans="1:7" ht="14.4" customHeight="1" thickBot="1" x14ac:dyDescent="0.3">
      <c r="A603" s="179" t="s">
        <v>1263</v>
      </c>
      <c r="B603" s="179">
        <v>87</v>
      </c>
      <c r="C603" s="179">
        <v>87</v>
      </c>
      <c r="D603" s="179">
        <v>87</v>
      </c>
      <c r="E603" s="9">
        <f t="shared" si="9"/>
        <v>5723991</v>
      </c>
      <c r="F603" s="179" t="s">
        <v>1262</v>
      </c>
      <c r="G603" s="518" t="s">
        <v>26</v>
      </c>
    </row>
    <row r="604" spans="1:7" ht="14.4" customHeight="1" thickBot="1" x14ac:dyDescent="0.3">
      <c r="A604" s="179" t="s">
        <v>1264</v>
      </c>
      <c r="B604" s="179">
        <v>84</v>
      </c>
      <c r="C604" s="179">
        <v>84</v>
      </c>
      <c r="D604" s="179">
        <v>84</v>
      </c>
      <c r="E604" s="9">
        <f t="shared" si="9"/>
        <v>5526612</v>
      </c>
      <c r="F604" s="179" t="s">
        <v>1265</v>
      </c>
      <c r="G604" s="519" t="s">
        <v>26</v>
      </c>
    </row>
    <row r="605" spans="1:7" ht="14.4" customHeight="1" thickBot="1" x14ac:dyDescent="0.3">
      <c r="A605" s="179" t="s">
        <v>1266</v>
      </c>
      <c r="B605" s="179">
        <v>84</v>
      </c>
      <c r="C605" s="179">
        <v>84</v>
      </c>
      <c r="D605" s="179">
        <v>84</v>
      </c>
      <c r="E605" s="9">
        <f t="shared" si="9"/>
        <v>5526612</v>
      </c>
      <c r="F605" s="179" t="s">
        <v>1265</v>
      </c>
      <c r="G605" s="519" t="s">
        <v>26</v>
      </c>
    </row>
    <row r="606" spans="1:7" ht="14.4" customHeight="1" thickBot="1" x14ac:dyDescent="0.3">
      <c r="A606" s="179" t="s">
        <v>1267</v>
      </c>
      <c r="B606" s="179">
        <v>82</v>
      </c>
      <c r="C606" s="179">
        <v>82</v>
      </c>
      <c r="D606" s="179">
        <v>82</v>
      </c>
      <c r="E606" s="9">
        <f t="shared" si="9"/>
        <v>5395026</v>
      </c>
      <c r="F606" s="179" t="s">
        <v>1268</v>
      </c>
      <c r="G606" s="520" t="s">
        <v>26</v>
      </c>
    </row>
    <row r="607" spans="1:7" ht="14.4" customHeight="1" thickBot="1" x14ac:dyDescent="0.3">
      <c r="A607" s="179" t="s">
        <v>1269</v>
      </c>
      <c r="B607" s="179">
        <v>82</v>
      </c>
      <c r="C607" s="179">
        <v>82</v>
      </c>
      <c r="D607" s="179">
        <v>82</v>
      </c>
      <c r="E607" s="9">
        <f t="shared" si="9"/>
        <v>5395026</v>
      </c>
      <c r="F607" s="179" t="s">
        <v>1268</v>
      </c>
      <c r="G607" s="520" t="s">
        <v>26</v>
      </c>
    </row>
    <row r="608" spans="1:7" ht="14.4" customHeight="1" thickBot="1" x14ac:dyDescent="0.3">
      <c r="A608" s="179" t="s">
        <v>1270</v>
      </c>
      <c r="B608" s="179">
        <v>79</v>
      </c>
      <c r="C608" s="179">
        <v>79</v>
      </c>
      <c r="D608" s="179">
        <v>79</v>
      </c>
      <c r="E608" s="9">
        <f t="shared" si="9"/>
        <v>5197647</v>
      </c>
      <c r="F608" s="179" t="s">
        <v>1271</v>
      </c>
      <c r="G608" s="521" t="s">
        <v>26</v>
      </c>
    </row>
    <row r="609" spans="1:7" ht="14.4" customHeight="1" thickBot="1" x14ac:dyDescent="0.3">
      <c r="A609" s="179" t="s">
        <v>1272</v>
      </c>
      <c r="B609" s="179">
        <v>79</v>
      </c>
      <c r="C609" s="179">
        <v>79</v>
      </c>
      <c r="D609" s="179">
        <v>79</v>
      </c>
      <c r="E609" s="9">
        <f t="shared" si="9"/>
        <v>5197647</v>
      </c>
      <c r="F609" s="179" t="s">
        <v>1271</v>
      </c>
      <c r="G609" s="521" t="s">
        <v>26</v>
      </c>
    </row>
    <row r="610" spans="1:7" ht="14.4" customHeight="1" thickBot="1" x14ac:dyDescent="0.3">
      <c r="A610" s="179" t="s">
        <v>1273</v>
      </c>
      <c r="B610" s="179">
        <v>77</v>
      </c>
      <c r="C610" s="179">
        <v>77</v>
      </c>
      <c r="D610" s="179">
        <v>77</v>
      </c>
      <c r="E610" s="9">
        <f t="shared" si="9"/>
        <v>5066061</v>
      </c>
      <c r="F610" s="179" t="s">
        <v>1274</v>
      </c>
      <c r="G610" s="522" t="s">
        <v>26</v>
      </c>
    </row>
    <row r="611" spans="1:7" ht="14.4" customHeight="1" thickBot="1" x14ac:dyDescent="0.3">
      <c r="A611" s="179" t="s">
        <v>1275</v>
      </c>
      <c r="B611" s="179">
        <v>77</v>
      </c>
      <c r="C611" s="179">
        <v>77</v>
      </c>
      <c r="D611" s="179">
        <v>77</v>
      </c>
      <c r="E611" s="9">
        <f t="shared" si="9"/>
        <v>5066061</v>
      </c>
      <c r="F611" s="179" t="s">
        <v>1274</v>
      </c>
      <c r="G611" s="522" t="s">
        <v>26</v>
      </c>
    </row>
    <row r="612" spans="1:7" ht="14.4" customHeight="1" thickBot="1" x14ac:dyDescent="0.3">
      <c r="A612" s="179" t="s">
        <v>1276</v>
      </c>
      <c r="B612" s="179">
        <v>74</v>
      </c>
      <c r="C612" s="179">
        <v>74</v>
      </c>
      <c r="D612" s="179">
        <v>74</v>
      </c>
      <c r="E612" s="9">
        <f t="shared" si="9"/>
        <v>4868682</v>
      </c>
      <c r="F612" s="179" t="s">
        <v>1277</v>
      </c>
      <c r="G612" s="523" t="s">
        <v>26</v>
      </c>
    </row>
    <row r="613" spans="1:7" ht="14.4" customHeight="1" thickBot="1" x14ac:dyDescent="0.3">
      <c r="A613" s="179" t="s">
        <v>1278</v>
      </c>
      <c r="B613" s="179">
        <v>74</v>
      </c>
      <c r="C613" s="179">
        <v>74</v>
      </c>
      <c r="D613" s="179">
        <v>74</v>
      </c>
      <c r="E613" s="9">
        <f t="shared" si="9"/>
        <v>4868682</v>
      </c>
      <c r="F613" s="179" t="s">
        <v>1277</v>
      </c>
      <c r="G613" s="523" t="s">
        <v>26</v>
      </c>
    </row>
    <row r="614" spans="1:7" ht="14.4" customHeight="1" thickBot="1" x14ac:dyDescent="0.3">
      <c r="A614" s="179" t="s">
        <v>1279</v>
      </c>
      <c r="B614" s="179">
        <v>71</v>
      </c>
      <c r="C614" s="179">
        <v>71</v>
      </c>
      <c r="D614" s="179">
        <v>71</v>
      </c>
      <c r="E614" s="9">
        <f t="shared" si="9"/>
        <v>4671303</v>
      </c>
      <c r="F614" s="179" t="s">
        <v>1280</v>
      </c>
      <c r="G614" s="524" t="s">
        <v>26</v>
      </c>
    </row>
    <row r="615" spans="1:7" ht="14.4" customHeight="1" thickBot="1" x14ac:dyDescent="0.3">
      <c r="A615" s="179" t="s">
        <v>1281</v>
      </c>
      <c r="B615" s="179">
        <v>71</v>
      </c>
      <c r="C615" s="179">
        <v>71</v>
      </c>
      <c r="D615" s="179">
        <v>71</v>
      </c>
      <c r="E615" s="9">
        <f t="shared" si="9"/>
        <v>4671303</v>
      </c>
      <c r="F615" s="179" t="s">
        <v>1280</v>
      </c>
      <c r="G615" s="524" t="s">
        <v>26</v>
      </c>
    </row>
    <row r="616" spans="1:7" ht="14.4" customHeight="1" thickBot="1" x14ac:dyDescent="0.3">
      <c r="A616" s="179" t="s">
        <v>1282</v>
      </c>
      <c r="B616" s="179">
        <v>69</v>
      </c>
      <c r="C616" s="179">
        <v>69</v>
      </c>
      <c r="D616" s="179">
        <v>69</v>
      </c>
      <c r="E616" s="9">
        <f t="shared" si="9"/>
        <v>4539717</v>
      </c>
      <c r="F616" s="179" t="s">
        <v>1283</v>
      </c>
      <c r="G616" s="525" t="s">
        <v>26</v>
      </c>
    </row>
    <row r="617" spans="1:7" ht="14.4" customHeight="1" thickBot="1" x14ac:dyDescent="0.3">
      <c r="A617" s="179" t="s">
        <v>1284</v>
      </c>
      <c r="B617" s="179">
        <v>69</v>
      </c>
      <c r="C617" s="179">
        <v>69</v>
      </c>
      <c r="D617" s="179">
        <v>69</v>
      </c>
      <c r="E617" s="9">
        <f t="shared" si="9"/>
        <v>4539717</v>
      </c>
      <c r="F617" s="179" t="s">
        <v>1283</v>
      </c>
      <c r="G617" s="525" t="s">
        <v>26</v>
      </c>
    </row>
    <row r="618" spans="1:7" ht="14.4" customHeight="1" thickBot="1" x14ac:dyDescent="0.3">
      <c r="A618" s="179" t="s">
        <v>1285</v>
      </c>
      <c r="B618" s="179">
        <v>66</v>
      </c>
      <c r="C618" s="179">
        <v>66</v>
      </c>
      <c r="D618" s="179">
        <v>66</v>
      </c>
      <c r="E618" s="9">
        <f t="shared" si="9"/>
        <v>4342338</v>
      </c>
      <c r="F618" s="179" t="s">
        <v>1286</v>
      </c>
      <c r="G618" s="526" t="s">
        <v>26</v>
      </c>
    </row>
    <row r="619" spans="1:7" ht="14.4" customHeight="1" thickBot="1" x14ac:dyDescent="0.3">
      <c r="A619" s="179" t="s">
        <v>1287</v>
      </c>
      <c r="B619" s="179">
        <v>66</v>
      </c>
      <c r="C619" s="179">
        <v>66</v>
      </c>
      <c r="D619" s="179">
        <v>66</v>
      </c>
      <c r="E619" s="9">
        <f t="shared" si="9"/>
        <v>4342338</v>
      </c>
      <c r="F619" s="179" t="s">
        <v>1286</v>
      </c>
      <c r="G619" s="526" t="s">
        <v>26</v>
      </c>
    </row>
    <row r="620" spans="1:7" ht="14.4" customHeight="1" thickBot="1" x14ac:dyDescent="0.3">
      <c r="A620" s="179" t="s">
        <v>1288</v>
      </c>
      <c r="B620" s="179">
        <v>64</v>
      </c>
      <c r="C620" s="179">
        <v>64</v>
      </c>
      <c r="D620" s="179">
        <v>64</v>
      </c>
      <c r="E620" s="9">
        <f t="shared" si="9"/>
        <v>4210752</v>
      </c>
      <c r="F620" s="179" t="s">
        <v>1289</v>
      </c>
      <c r="G620" s="527" t="s">
        <v>26</v>
      </c>
    </row>
    <row r="621" spans="1:7" ht="14.4" customHeight="1" thickBot="1" x14ac:dyDescent="0.3">
      <c r="A621" s="179" t="s">
        <v>1290</v>
      </c>
      <c r="B621" s="179">
        <v>64</v>
      </c>
      <c r="C621" s="179">
        <v>64</v>
      </c>
      <c r="D621" s="179">
        <v>64</v>
      </c>
      <c r="E621" s="9">
        <f t="shared" si="9"/>
        <v>4210752</v>
      </c>
      <c r="F621" s="179" t="s">
        <v>1289</v>
      </c>
      <c r="G621" s="527" t="s">
        <v>26</v>
      </c>
    </row>
    <row r="622" spans="1:7" ht="14.4" customHeight="1" thickBot="1" x14ac:dyDescent="0.3">
      <c r="A622" s="179" t="s">
        <v>1291</v>
      </c>
      <c r="B622" s="179">
        <v>61</v>
      </c>
      <c r="C622" s="179">
        <v>61</v>
      </c>
      <c r="D622" s="179">
        <v>61</v>
      </c>
      <c r="E622" s="9">
        <f t="shared" si="9"/>
        <v>4013373</v>
      </c>
      <c r="F622" s="179" t="s">
        <v>1292</v>
      </c>
      <c r="G622" s="528" t="s">
        <v>26</v>
      </c>
    </row>
    <row r="623" spans="1:7" ht="14.4" customHeight="1" thickBot="1" x14ac:dyDescent="0.3">
      <c r="A623" s="179" t="s">
        <v>1293</v>
      </c>
      <c r="B623" s="179">
        <v>61</v>
      </c>
      <c r="C623" s="179">
        <v>61</v>
      </c>
      <c r="D623" s="179">
        <v>61</v>
      </c>
      <c r="E623" s="9">
        <f t="shared" si="9"/>
        <v>4013373</v>
      </c>
      <c r="F623" s="179" t="s">
        <v>1292</v>
      </c>
      <c r="G623" s="528" t="s">
        <v>26</v>
      </c>
    </row>
    <row r="624" spans="1:7" ht="14.4" customHeight="1" thickBot="1" x14ac:dyDescent="0.3">
      <c r="A624" s="179" t="s">
        <v>1294</v>
      </c>
      <c r="B624" s="179">
        <v>59</v>
      </c>
      <c r="C624" s="179">
        <v>59</v>
      </c>
      <c r="D624" s="179">
        <v>59</v>
      </c>
      <c r="E624" s="9">
        <f t="shared" si="9"/>
        <v>3881787</v>
      </c>
      <c r="F624" s="179" t="s">
        <v>1295</v>
      </c>
      <c r="G624" s="529" t="s">
        <v>26</v>
      </c>
    </row>
    <row r="625" spans="1:7" ht="14.4" customHeight="1" thickBot="1" x14ac:dyDescent="0.3">
      <c r="A625" s="179" t="s">
        <v>1296</v>
      </c>
      <c r="B625" s="179">
        <v>59</v>
      </c>
      <c r="C625" s="179">
        <v>59</v>
      </c>
      <c r="D625" s="179">
        <v>59</v>
      </c>
      <c r="E625" s="9">
        <f t="shared" si="9"/>
        <v>3881787</v>
      </c>
      <c r="F625" s="179" t="s">
        <v>1295</v>
      </c>
      <c r="G625" s="529" t="s">
        <v>26</v>
      </c>
    </row>
    <row r="626" spans="1:7" ht="14.4" customHeight="1" thickBot="1" x14ac:dyDescent="0.3">
      <c r="A626" s="179" t="s">
        <v>1297</v>
      </c>
      <c r="B626" s="179">
        <v>56</v>
      </c>
      <c r="C626" s="179">
        <v>56</v>
      </c>
      <c r="D626" s="179">
        <v>56</v>
      </c>
      <c r="E626" s="9">
        <f t="shared" si="9"/>
        <v>3684408</v>
      </c>
      <c r="F626" s="179" t="s">
        <v>1298</v>
      </c>
      <c r="G626" s="530" t="s">
        <v>26</v>
      </c>
    </row>
    <row r="627" spans="1:7" ht="14.4" customHeight="1" thickBot="1" x14ac:dyDescent="0.3">
      <c r="A627" s="179" t="s">
        <v>1299</v>
      </c>
      <c r="B627" s="179">
        <v>56</v>
      </c>
      <c r="C627" s="179">
        <v>56</v>
      </c>
      <c r="D627" s="179">
        <v>56</v>
      </c>
      <c r="E627" s="9">
        <f t="shared" si="9"/>
        <v>3684408</v>
      </c>
      <c r="F627" s="179" t="s">
        <v>1298</v>
      </c>
      <c r="G627" s="530" t="s">
        <v>26</v>
      </c>
    </row>
    <row r="628" spans="1:7" ht="14.4" customHeight="1" thickBot="1" x14ac:dyDescent="0.3">
      <c r="A628" s="179" t="s">
        <v>1300</v>
      </c>
      <c r="B628" s="179">
        <v>54</v>
      </c>
      <c r="C628" s="179">
        <v>54</v>
      </c>
      <c r="D628" s="179">
        <v>54</v>
      </c>
      <c r="E628" s="9">
        <f t="shared" si="9"/>
        <v>3552822</v>
      </c>
      <c r="F628" s="179" t="s">
        <v>1301</v>
      </c>
      <c r="G628" s="531" t="s">
        <v>26</v>
      </c>
    </row>
    <row r="629" spans="1:7" ht="14.4" customHeight="1" thickBot="1" x14ac:dyDescent="0.3">
      <c r="A629" s="179" t="s">
        <v>1302</v>
      </c>
      <c r="B629" s="179">
        <v>54</v>
      </c>
      <c r="C629" s="179">
        <v>54</v>
      </c>
      <c r="D629" s="179">
        <v>54</v>
      </c>
      <c r="E629" s="9">
        <f t="shared" si="9"/>
        <v>3552822</v>
      </c>
      <c r="F629" s="179" t="s">
        <v>1301</v>
      </c>
      <c r="G629" s="531" t="s">
        <v>26</v>
      </c>
    </row>
    <row r="630" spans="1:7" ht="14.4" customHeight="1" thickBot="1" x14ac:dyDescent="0.3">
      <c r="A630" s="179" t="s">
        <v>1303</v>
      </c>
      <c r="B630" s="179">
        <v>51</v>
      </c>
      <c r="C630" s="179">
        <v>51</v>
      </c>
      <c r="D630" s="179">
        <v>51</v>
      </c>
      <c r="E630" s="9">
        <f t="shared" si="9"/>
        <v>3355443</v>
      </c>
      <c r="F630" s="179" t="s">
        <v>1304</v>
      </c>
      <c r="G630" s="139" t="s">
        <v>26</v>
      </c>
    </row>
    <row r="631" spans="1:7" ht="14.4" customHeight="1" thickBot="1" x14ac:dyDescent="0.3">
      <c r="A631" s="179" t="s">
        <v>1305</v>
      </c>
      <c r="B631" s="179">
        <v>51</v>
      </c>
      <c r="C631" s="179">
        <v>51</v>
      </c>
      <c r="D631" s="179">
        <v>51</v>
      </c>
      <c r="E631" s="9">
        <f t="shared" si="9"/>
        <v>3355443</v>
      </c>
      <c r="F631" s="179" t="s">
        <v>1304</v>
      </c>
      <c r="G631" s="139" t="s">
        <v>26</v>
      </c>
    </row>
    <row r="632" spans="1:7" ht="14.4" customHeight="1" thickBot="1" x14ac:dyDescent="0.3">
      <c r="A632" s="179" t="s">
        <v>1306</v>
      </c>
      <c r="B632" s="179">
        <v>48</v>
      </c>
      <c r="C632" s="179">
        <v>48</v>
      </c>
      <c r="D632" s="179">
        <v>48</v>
      </c>
      <c r="E632" s="9">
        <f t="shared" si="9"/>
        <v>3158064</v>
      </c>
      <c r="F632" s="179" t="s">
        <v>1307</v>
      </c>
      <c r="G632" s="532" t="s">
        <v>26</v>
      </c>
    </row>
    <row r="633" spans="1:7" ht="14.4" customHeight="1" thickBot="1" x14ac:dyDescent="0.3">
      <c r="A633" s="179" t="s">
        <v>1308</v>
      </c>
      <c r="B633" s="179">
        <v>48</v>
      </c>
      <c r="C633" s="179">
        <v>48</v>
      </c>
      <c r="D633" s="179">
        <v>48</v>
      </c>
      <c r="E633" s="9">
        <f t="shared" si="9"/>
        <v>3158064</v>
      </c>
      <c r="F633" s="179" t="s">
        <v>1307</v>
      </c>
      <c r="G633" s="532" t="s">
        <v>26</v>
      </c>
    </row>
    <row r="634" spans="1:7" ht="14.4" customHeight="1" thickBot="1" x14ac:dyDescent="0.3">
      <c r="A634" s="179" t="s">
        <v>1309</v>
      </c>
      <c r="B634" s="179">
        <v>46</v>
      </c>
      <c r="C634" s="179">
        <v>46</v>
      </c>
      <c r="D634" s="179">
        <v>46</v>
      </c>
      <c r="E634" s="9">
        <f t="shared" si="9"/>
        <v>3026478</v>
      </c>
      <c r="F634" s="179" t="s">
        <v>1310</v>
      </c>
      <c r="G634" s="533" t="s">
        <v>26</v>
      </c>
    </row>
    <row r="635" spans="1:7" ht="14.4" customHeight="1" thickBot="1" x14ac:dyDescent="0.3">
      <c r="A635" s="179" t="s">
        <v>1311</v>
      </c>
      <c r="B635" s="179">
        <v>46</v>
      </c>
      <c r="C635" s="179">
        <v>46</v>
      </c>
      <c r="D635" s="179">
        <v>46</v>
      </c>
      <c r="E635" s="9">
        <f t="shared" si="9"/>
        <v>3026478</v>
      </c>
      <c r="F635" s="179" t="s">
        <v>1310</v>
      </c>
      <c r="G635" s="533" t="s">
        <v>26</v>
      </c>
    </row>
    <row r="636" spans="1:7" ht="14.4" customHeight="1" thickBot="1" x14ac:dyDescent="0.3">
      <c r="A636" s="179" t="s">
        <v>1312</v>
      </c>
      <c r="B636" s="179">
        <v>43</v>
      </c>
      <c r="C636" s="179">
        <v>43</v>
      </c>
      <c r="D636" s="179">
        <v>43</v>
      </c>
      <c r="E636" s="9">
        <f t="shared" si="9"/>
        <v>2829099</v>
      </c>
      <c r="F636" s="179" t="s">
        <v>1313</v>
      </c>
      <c r="G636" s="534" t="s">
        <v>26</v>
      </c>
    </row>
    <row r="637" spans="1:7" ht="14.4" customHeight="1" thickBot="1" x14ac:dyDescent="0.3">
      <c r="A637" s="179" t="s">
        <v>1314</v>
      </c>
      <c r="B637" s="179">
        <v>43</v>
      </c>
      <c r="C637" s="179">
        <v>43</v>
      </c>
      <c r="D637" s="179">
        <v>43</v>
      </c>
      <c r="E637" s="9">
        <f t="shared" si="9"/>
        <v>2829099</v>
      </c>
      <c r="F637" s="179" t="s">
        <v>1313</v>
      </c>
      <c r="G637" s="534" t="s">
        <v>26</v>
      </c>
    </row>
    <row r="638" spans="1:7" ht="14.4" customHeight="1" thickBot="1" x14ac:dyDescent="0.3">
      <c r="A638" s="179" t="s">
        <v>1315</v>
      </c>
      <c r="B638" s="179">
        <v>41</v>
      </c>
      <c r="C638" s="179">
        <v>41</v>
      </c>
      <c r="D638" s="179">
        <v>41</v>
      </c>
      <c r="E638" s="9">
        <f t="shared" si="9"/>
        <v>2697513</v>
      </c>
      <c r="F638" s="179" t="s">
        <v>1316</v>
      </c>
      <c r="G638" s="535" t="s">
        <v>26</v>
      </c>
    </row>
    <row r="639" spans="1:7" ht="14.4" customHeight="1" thickBot="1" x14ac:dyDescent="0.3">
      <c r="A639" s="179" t="s">
        <v>1317</v>
      </c>
      <c r="B639" s="179">
        <v>41</v>
      </c>
      <c r="C639" s="179">
        <v>41</v>
      </c>
      <c r="D639" s="179">
        <v>41</v>
      </c>
      <c r="E639" s="9">
        <f t="shared" si="9"/>
        <v>2697513</v>
      </c>
      <c r="F639" s="179" t="s">
        <v>1316</v>
      </c>
      <c r="G639" s="535" t="s">
        <v>26</v>
      </c>
    </row>
    <row r="640" spans="1:7" ht="14.4" customHeight="1" thickBot="1" x14ac:dyDescent="0.3">
      <c r="A640" s="179" t="s">
        <v>1318</v>
      </c>
      <c r="B640" s="179">
        <v>38</v>
      </c>
      <c r="C640" s="179">
        <v>38</v>
      </c>
      <c r="D640" s="179">
        <v>38</v>
      </c>
      <c r="E640" s="9">
        <f t="shared" si="9"/>
        <v>2500134</v>
      </c>
      <c r="F640" s="179" t="s">
        <v>1319</v>
      </c>
      <c r="G640" s="536" t="s">
        <v>26</v>
      </c>
    </row>
    <row r="641" spans="1:7" ht="14.4" customHeight="1" thickBot="1" x14ac:dyDescent="0.3">
      <c r="A641" s="179" t="s">
        <v>1320</v>
      </c>
      <c r="B641" s="179">
        <v>38</v>
      </c>
      <c r="C641" s="179">
        <v>38</v>
      </c>
      <c r="D641" s="179">
        <v>38</v>
      </c>
      <c r="E641" s="9">
        <f t="shared" si="9"/>
        <v>2500134</v>
      </c>
      <c r="F641" s="179" t="s">
        <v>1319</v>
      </c>
      <c r="G641" s="536" t="s">
        <v>26</v>
      </c>
    </row>
    <row r="642" spans="1:7" ht="14.4" customHeight="1" thickBot="1" x14ac:dyDescent="0.3">
      <c r="A642" s="179" t="s">
        <v>1321</v>
      </c>
      <c r="B642" s="179">
        <v>36</v>
      </c>
      <c r="C642" s="179">
        <v>36</v>
      </c>
      <c r="D642" s="179">
        <v>36</v>
      </c>
      <c r="E642" s="9">
        <f t="shared" ref="E642:E675" si="10">B642+256*C642+256*256*D642</f>
        <v>2368548</v>
      </c>
      <c r="F642" s="179" t="s">
        <v>1322</v>
      </c>
      <c r="G642" s="537" t="s">
        <v>26</v>
      </c>
    </row>
    <row r="643" spans="1:7" ht="14.4" customHeight="1" thickBot="1" x14ac:dyDescent="0.3">
      <c r="A643" s="179" t="s">
        <v>1323</v>
      </c>
      <c r="B643" s="179">
        <v>36</v>
      </c>
      <c r="C643" s="179">
        <v>36</v>
      </c>
      <c r="D643" s="179">
        <v>36</v>
      </c>
      <c r="E643" s="9">
        <f t="shared" si="10"/>
        <v>2368548</v>
      </c>
      <c r="F643" s="179" t="s">
        <v>1322</v>
      </c>
      <c r="G643" s="537" t="s">
        <v>26</v>
      </c>
    </row>
    <row r="644" spans="1:7" ht="14.4" customHeight="1" thickBot="1" x14ac:dyDescent="0.3">
      <c r="A644" s="179" t="s">
        <v>1324</v>
      </c>
      <c r="B644" s="179">
        <v>33</v>
      </c>
      <c r="C644" s="179">
        <v>33</v>
      </c>
      <c r="D644" s="179">
        <v>33</v>
      </c>
      <c r="E644" s="9">
        <f t="shared" si="10"/>
        <v>2171169</v>
      </c>
      <c r="F644" s="179" t="s">
        <v>1325</v>
      </c>
      <c r="G644" s="538" t="s">
        <v>26</v>
      </c>
    </row>
    <row r="645" spans="1:7" ht="14.4" customHeight="1" thickBot="1" x14ac:dyDescent="0.3">
      <c r="A645" s="179" t="s">
        <v>1326</v>
      </c>
      <c r="B645" s="179">
        <v>33</v>
      </c>
      <c r="C645" s="179">
        <v>33</v>
      </c>
      <c r="D645" s="179">
        <v>33</v>
      </c>
      <c r="E645" s="9">
        <f t="shared" si="10"/>
        <v>2171169</v>
      </c>
      <c r="F645" s="179" t="s">
        <v>1325</v>
      </c>
      <c r="G645" s="538" t="s">
        <v>26</v>
      </c>
    </row>
    <row r="646" spans="1:7" ht="14.4" customHeight="1" thickBot="1" x14ac:dyDescent="0.3">
      <c r="A646" s="179" t="s">
        <v>1327</v>
      </c>
      <c r="B646" s="179">
        <v>31</v>
      </c>
      <c r="C646" s="179">
        <v>31</v>
      </c>
      <c r="D646" s="179">
        <v>31</v>
      </c>
      <c r="E646" s="9">
        <f t="shared" si="10"/>
        <v>2039583</v>
      </c>
      <c r="F646" s="179" t="s">
        <v>1328</v>
      </c>
      <c r="G646" s="539" t="s">
        <v>26</v>
      </c>
    </row>
    <row r="647" spans="1:7" ht="14.4" customHeight="1" thickBot="1" x14ac:dyDescent="0.3">
      <c r="A647" s="179" t="s">
        <v>1329</v>
      </c>
      <c r="B647" s="179">
        <v>31</v>
      </c>
      <c r="C647" s="179">
        <v>31</v>
      </c>
      <c r="D647" s="179">
        <v>31</v>
      </c>
      <c r="E647" s="9">
        <f t="shared" si="10"/>
        <v>2039583</v>
      </c>
      <c r="F647" s="179" t="s">
        <v>1328</v>
      </c>
      <c r="G647" s="539" t="s">
        <v>26</v>
      </c>
    </row>
    <row r="648" spans="1:7" ht="14.4" customHeight="1" thickBot="1" x14ac:dyDescent="0.3">
      <c r="A648" s="179" t="s">
        <v>1330</v>
      </c>
      <c r="B648" s="179">
        <v>28</v>
      </c>
      <c r="C648" s="179">
        <v>28</v>
      </c>
      <c r="D648" s="179">
        <v>28</v>
      </c>
      <c r="E648" s="9">
        <f t="shared" si="10"/>
        <v>1842204</v>
      </c>
      <c r="F648" s="179" t="s">
        <v>1331</v>
      </c>
      <c r="G648" s="540" t="s">
        <v>26</v>
      </c>
    </row>
    <row r="649" spans="1:7" ht="14.4" customHeight="1" thickBot="1" x14ac:dyDescent="0.3">
      <c r="A649" s="179" t="s">
        <v>1332</v>
      </c>
      <c r="B649" s="179">
        <v>28</v>
      </c>
      <c r="C649" s="179">
        <v>28</v>
      </c>
      <c r="D649" s="179">
        <v>28</v>
      </c>
      <c r="E649" s="9">
        <f t="shared" si="10"/>
        <v>1842204</v>
      </c>
      <c r="F649" s="179" t="s">
        <v>1331</v>
      </c>
      <c r="G649" s="540" t="s">
        <v>26</v>
      </c>
    </row>
    <row r="650" spans="1:7" ht="14.4" customHeight="1" thickBot="1" x14ac:dyDescent="0.3">
      <c r="A650" s="179" t="s">
        <v>1333</v>
      </c>
      <c r="B650" s="179">
        <v>26</v>
      </c>
      <c r="C650" s="179">
        <v>26</v>
      </c>
      <c r="D650" s="179">
        <v>26</v>
      </c>
      <c r="E650" s="9">
        <f t="shared" si="10"/>
        <v>1710618</v>
      </c>
      <c r="F650" s="179" t="s">
        <v>1334</v>
      </c>
      <c r="G650" s="140" t="s">
        <v>26</v>
      </c>
    </row>
    <row r="651" spans="1:7" ht="14.4" customHeight="1" thickBot="1" x14ac:dyDescent="0.3">
      <c r="A651" s="179" t="s">
        <v>1335</v>
      </c>
      <c r="B651" s="179">
        <v>26</v>
      </c>
      <c r="C651" s="179">
        <v>26</v>
      </c>
      <c r="D651" s="179">
        <v>26</v>
      </c>
      <c r="E651" s="9">
        <f t="shared" si="10"/>
        <v>1710618</v>
      </c>
      <c r="F651" s="179" t="s">
        <v>1334</v>
      </c>
      <c r="G651" s="140" t="s">
        <v>26</v>
      </c>
    </row>
    <row r="652" spans="1:7" ht="14.4" customHeight="1" thickBot="1" x14ac:dyDescent="0.3">
      <c r="A652" s="179" t="s">
        <v>1336</v>
      </c>
      <c r="B652" s="179">
        <v>23</v>
      </c>
      <c r="C652" s="179">
        <v>23</v>
      </c>
      <c r="D652" s="179">
        <v>23</v>
      </c>
      <c r="E652" s="9">
        <f t="shared" si="10"/>
        <v>1513239</v>
      </c>
      <c r="F652" s="179" t="s">
        <v>1337</v>
      </c>
      <c r="G652" s="541" t="s">
        <v>26</v>
      </c>
    </row>
    <row r="653" spans="1:7" ht="14.4" customHeight="1" thickBot="1" x14ac:dyDescent="0.3">
      <c r="A653" s="179" t="s">
        <v>1338</v>
      </c>
      <c r="B653" s="179">
        <v>23</v>
      </c>
      <c r="C653" s="179">
        <v>23</v>
      </c>
      <c r="D653" s="179">
        <v>23</v>
      </c>
      <c r="E653" s="9">
        <f t="shared" si="10"/>
        <v>1513239</v>
      </c>
      <c r="F653" s="179" t="s">
        <v>1337</v>
      </c>
      <c r="G653" s="541" t="s">
        <v>26</v>
      </c>
    </row>
    <row r="654" spans="1:7" ht="14.4" customHeight="1" thickBot="1" x14ac:dyDescent="0.3">
      <c r="A654" s="179" t="s">
        <v>1339</v>
      </c>
      <c r="B654" s="179">
        <v>20</v>
      </c>
      <c r="C654" s="179">
        <v>20</v>
      </c>
      <c r="D654" s="179">
        <v>20</v>
      </c>
      <c r="E654" s="9">
        <f t="shared" si="10"/>
        <v>1315860</v>
      </c>
      <c r="F654" s="179" t="s">
        <v>1340</v>
      </c>
      <c r="G654" s="542" t="s">
        <v>26</v>
      </c>
    </row>
    <row r="655" spans="1:7" ht="14.4" customHeight="1" thickBot="1" x14ac:dyDescent="0.3">
      <c r="A655" s="179" t="s">
        <v>1341</v>
      </c>
      <c r="B655" s="179">
        <v>20</v>
      </c>
      <c r="C655" s="179">
        <v>20</v>
      </c>
      <c r="D655" s="179">
        <v>20</v>
      </c>
      <c r="E655" s="9">
        <f t="shared" si="10"/>
        <v>1315860</v>
      </c>
      <c r="F655" s="179" t="s">
        <v>1340</v>
      </c>
      <c r="G655" s="542" t="s">
        <v>26</v>
      </c>
    </row>
    <row r="656" spans="1:7" ht="14.4" customHeight="1" thickBot="1" x14ac:dyDescent="0.3">
      <c r="A656" s="179" t="s">
        <v>1342</v>
      </c>
      <c r="B656" s="179">
        <v>18</v>
      </c>
      <c r="C656" s="179">
        <v>18</v>
      </c>
      <c r="D656" s="179">
        <v>18</v>
      </c>
      <c r="E656" s="9">
        <f t="shared" si="10"/>
        <v>1184274</v>
      </c>
      <c r="F656" s="179" t="s">
        <v>1343</v>
      </c>
      <c r="G656" s="543" t="s">
        <v>26</v>
      </c>
    </row>
    <row r="657" spans="1:7" ht="14.4" customHeight="1" thickBot="1" x14ac:dyDescent="0.3">
      <c r="A657" s="179" t="s">
        <v>1344</v>
      </c>
      <c r="B657" s="179">
        <v>18</v>
      </c>
      <c r="C657" s="179">
        <v>18</v>
      </c>
      <c r="D657" s="179">
        <v>18</v>
      </c>
      <c r="E657" s="9">
        <f t="shared" si="10"/>
        <v>1184274</v>
      </c>
      <c r="F657" s="179" t="s">
        <v>1343</v>
      </c>
      <c r="G657" s="543" t="s">
        <v>26</v>
      </c>
    </row>
    <row r="658" spans="1:7" ht="14.4" customHeight="1" thickBot="1" x14ac:dyDescent="0.3">
      <c r="A658" s="179" t="s">
        <v>1345</v>
      </c>
      <c r="B658" s="179">
        <v>15</v>
      </c>
      <c r="C658" s="179">
        <v>15</v>
      </c>
      <c r="D658" s="179">
        <v>15</v>
      </c>
      <c r="E658" s="9">
        <f t="shared" si="10"/>
        <v>986895</v>
      </c>
      <c r="F658" s="179" t="s">
        <v>1346</v>
      </c>
      <c r="G658" s="544" t="s">
        <v>26</v>
      </c>
    </row>
    <row r="659" spans="1:7" ht="14.4" customHeight="1" thickBot="1" x14ac:dyDescent="0.3">
      <c r="A659" s="179" t="s">
        <v>1347</v>
      </c>
      <c r="B659" s="179">
        <v>15</v>
      </c>
      <c r="C659" s="179">
        <v>15</v>
      </c>
      <c r="D659" s="179">
        <v>15</v>
      </c>
      <c r="E659" s="9">
        <f t="shared" si="10"/>
        <v>986895</v>
      </c>
      <c r="F659" s="179" t="s">
        <v>1346</v>
      </c>
      <c r="G659" s="544" t="s">
        <v>26</v>
      </c>
    </row>
    <row r="660" spans="1:7" ht="14.4" customHeight="1" thickBot="1" x14ac:dyDescent="0.3">
      <c r="A660" s="179" t="s">
        <v>1348</v>
      </c>
      <c r="B660" s="179">
        <v>13</v>
      </c>
      <c r="C660" s="179">
        <v>13</v>
      </c>
      <c r="D660" s="179">
        <v>13</v>
      </c>
      <c r="E660" s="9">
        <f t="shared" si="10"/>
        <v>855309</v>
      </c>
      <c r="F660" s="179" t="s">
        <v>1349</v>
      </c>
      <c r="G660" s="545" t="s">
        <v>26</v>
      </c>
    </row>
    <row r="661" spans="1:7" ht="14.4" customHeight="1" thickBot="1" x14ac:dyDescent="0.3">
      <c r="A661" s="179" t="s">
        <v>1350</v>
      </c>
      <c r="B661" s="179">
        <v>13</v>
      </c>
      <c r="C661" s="179">
        <v>13</v>
      </c>
      <c r="D661" s="179">
        <v>13</v>
      </c>
      <c r="E661" s="9">
        <f t="shared" si="10"/>
        <v>855309</v>
      </c>
      <c r="F661" s="179" t="s">
        <v>1349</v>
      </c>
      <c r="G661" s="545" t="s">
        <v>26</v>
      </c>
    </row>
    <row r="662" spans="1:7" ht="14.4" customHeight="1" thickBot="1" x14ac:dyDescent="0.3">
      <c r="A662" s="179" t="s">
        <v>1351</v>
      </c>
      <c r="B662" s="179">
        <v>10</v>
      </c>
      <c r="C662" s="179">
        <v>10</v>
      </c>
      <c r="D662" s="179">
        <v>10</v>
      </c>
      <c r="E662" s="9">
        <f t="shared" si="10"/>
        <v>657930</v>
      </c>
      <c r="F662" s="179" t="s">
        <v>1352</v>
      </c>
      <c r="G662" s="546" t="s">
        <v>26</v>
      </c>
    </row>
    <row r="663" spans="1:7" ht="14.4" customHeight="1" thickBot="1" x14ac:dyDescent="0.3">
      <c r="A663" s="179" t="s">
        <v>1353</v>
      </c>
      <c r="B663" s="179">
        <v>10</v>
      </c>
      <c r="C663" s="179">
        <v>10</v>
      </c>
      <c r="D663" s="179">
        <v>10</v>
      </c>
      <c r="E663" s="9">
        <f t="shared" si="10"/>
        <v>657930</v>
      </c>
      <c r="F663" s="179" t="s">
        <v>1352</v>
      </c>
      <c r="G663" s="546" t="s">
        <v>26</v>
      </c>
    </row>
    <row r="664" spans="1:7" ht="14.4" customHeight="1" thickBot="1" x14ac:dyDescent="0.3">
      <c r="A664" s="179" t="s">
        <v>1354</v>
      </c>
      <c r="B664" s="179">
        <v>8</v>
      </c>
      <c r="C664" s="179">
        <v>8</v>
      </c>
      <c r="D664" s="179">
        <v>8</v>
      </c>
      <c r="E664" s="9">
        <f t="shared" si="10"/>
        <v>526344</v>
      </c>
      <c r="F664" s="179" t="s">
        <v>1355</v>
      </c>
      <c r="G664" s="547" t="s">
        <v>26</v>
      </c>
    </row>
    <row r="665" spans="1:7" ht="14.4" customHeight="1" thickBot="1" x14ac:dyDescent="0.3">
      <c r="A665" s="179" t="s">
        <v>1356</v>
      </c>
      <c r="B665" s="179">
        <v>8</v>
      </c>
      <c r="C665" s="179">
        <v>8</v>
      </c>
      <c r="D665" s="179">
        <v>8</v>
      </c>
      <c r="E665" s="9">
        <f t="shared" si="10"/>
        <v>526344</v>
      </c>
      <c r="F665" s="179" t="s">
        <v>1355</v>
      </c>
      <c r="G665" s="547" t="s">
        <v>26</v>
      </c>
    </row>
    <row r="666" spans="1:7" ht="14.4" customHeight="1" thickBot="1" x14ac:dyDescent="0.3">
      <c r="A666" s="179" t="s">
        <v>1357</v>
      </c>
      <c r="B666" s="179">
        <v>5</v>
      </c>
      <c r="C666" s="179">
        <v>5</v>
      </c>
      <c r="D666" s="179">
        <v>5</v>
      </c>
      <c r="E666" s="9">
        <f t="shared" si="10"/>
        <v>328965</v>
      </c>
      <c r="F666" s="179" t="s">
        <v>1358</v>
      </c>
      <c r="G666" s="548" t="s">
        <v>26</v>
      </c>
    </row>
    <row r="667" spans="1:7" ht="14.4" customHeight="1" thickBot="1" x14ac:dyDescent="0.3">
      <c r="A667" s="179" t="s">
        <v>1359</v>
      </c>
      <c r="B667" s="179">
        <v>5</v>
      </c>
      <c r="C667" s="179">
        <v>5</v>
      </c>
      <c r="D667" s="179">
        <v>5</v>
      </c>
      <c r="E667" s="9">
        <f t="shared" si="10"/>
        <v>328965</v>
      </c>
      <c r="F667" s="179" t="s">
        <v>1358</v>
      </c>
      <c r="G667" s="548" t="s">
        <v>26</v>
      </c>
    </row>
    <row r="668" spans="1:7" ht="14.4" customHeight="1" thickBot="1" x14ac:dyDescent="0.3">
      <c r="A668" s="179" t="s">
        <v>1360</v>
      </c>
      <c r="B668" s="179">
        <v>3</v>
      </c>
      <c r="C668" s="179">
        <v>3</v>
      </c>
      <c r="D668" s="179">
        <v>3</v>
      </c>
      <c r="E668" s="9">
        <f t="shared" si="10"/>
        <v>197379</v>
      </c>
      <c r="F668" s="179" t="s">
        <v>1361</v>
      </c>
      <c r="G668" s="549" t="s">
        <v>26</v>
      </c>
    </row>
    <row r="669" spans="1:7" ht="14.4" customHeight="1" thickBot="1" x14ac:dyDescent="0.3">
      <c r="A669" s="179" t="s">
        <v>1362</v>
      </c>
      <c r="B669" s="179">
        <v>3</v>
      </c>
      <c r="C669" s="179">
        <v>3</v>
      </c>
      <c r="D669" s="179">
        <v>3</v>
      </c>
      <c r="E669" s="9">
        <f t="shared" si="10"/>
        <v>197379</v>
      </c>
      <c r="F669" s="179" t="s">
        <v>1361</v>
      </c>
      <c r="G669" s="549" t="s">
        <v>26</v>
      </c>
    </row>
    <row r="670" spans="1:7" ht="14.4" customHeight="1" thickBot="1" x14ac:dyDescent="0.3">
      <c r="A670" s="179" t="s">
        <v>1363</v>
      </c>
      <c r="B670" s="179">
        <v>0</v>
      </c>
      <c r="C670" s="179">
        <v>0</v>
      </c>
      <c r="D670" s="179">
        <v>0</v>
      </c>
      <c r="E670" s="9">
        <f t="shared" si="10"/>
        <v>0</v>
      </c>
      <c r="F670" s="179" t="s">
        <v>1364</v>
      </c>
      <c r="G670" s="113" t="s">
        <v>26</v>
      </c>
    </row>
    <row r="671" spans="1:7" ht="14.4" customHeight="1" thickBot="1" x14ac:dyDescent="0.3">
      <c r="A671" s="179" t="s">
        <v>1365</v>
      </c>
      <c r="B671" s="179">
        <v>0</v>
      </c>
      <c r="C671" s="179">
        <v>0</v>
      </c>
      <c r="D671" s="179">
        <v>0</v>
      </c>
      <c r="E671" s="9">
        <f t="shared" si="10"/>
        <v>0</v>
      </c>
      <c r="F671" s="179" t="s">
        <v>1364</v>
      </c>
      <c r="G671" s="113" t="s">
        <v>26</v>
      </c>
    </row>
    <row r="672" spans="1:7" ht="14.4" customHeight="1" thickBot="1" x14ac:dyDescent="0.3">
      <c r="A672" s="179" t="s">
        <v>1366</v>
      </c>
      <c r="B672" s="179">
        <v>0</v>
      </c>
      <c r="C672" s="179">
        <v>0</v>
      </c>
      <c r="D672" s="179">
        <v>0</v>
      </c>
      <c r="E672" s="9">
        <f t="shared" si="10"/>
        <v>0</v>
      </c>
      <c r="F672" s="179" t="s">
        <v>1364</v>
      </c>
      <c r="G672" s="113" t="s">
        <v>26</v>
      </c>
    </row>
    <row r="673" spans="1:7" ht="14.4" customHeight="1" thickBot="1" x14ac:dyDescent="0.3">
      <c r="A673" s="179" t="s">
        <v>1367</v>
      </c>
      <c r="B673" s="179">
        <v>0</v>
      </c>
      <c r="C673" s="179">
        <v>0</v>
      </c>
      <c r="D673" s="179">
        <v>0</v>
      </c>
      <c r="E673" s="9">
        <f t="shared" si="10"/>
        <v>0</v>
      </c>
      <c r="F673" s="179" t="s">
        <v>1364</v>
      </c>
      <c r="G673" s="113" t="s">
        <v>26</v>
      </c>
    </row>
    <row r="674" spans="1:7" ht="14.4" customHeight="1" thickBot="1" x14ac:dyDescent="0.3">
      <c r="A674" s="179" t="s">
        <v>1368</v>
      </c>
      <c r="B674" s="179">
        <v>0</v>
      </c>
      <c r="C674" s="179">
        <v>0</v>
      </c>
      <c r="D674" s="179">
        <v>0</v>
      </c>
      <c r="E674" s="9">
        <f t="shared" si="10"/>
        <v>0</v>
      </c>
      <c r="F674" s="179" t="s">
        <v>1364</v>
      </c>
      <c r="G674" s="113" t="s">
        <v>26</v>
      </c>
    </row>
    <row r="675" spans="1:7" ht="14.4" customHeight="1" x14ac:dyDescent="0.25">
      <c r="A675" s="179" t="s">
        <v>1369</v>
      </c>
      <c r="B675" s="179">
        <v>0</v>
      </c>
      <c r="C675" s="179">
        <v>0</v>
      </c>
      <c r="D675" s="179">
        <v>0</v>
      </c>
      <c r="E675" s="9">
        <f t="shared" si="10"/>
        <v>0</v>
      </c>
      <c r="F675" s="179" t="s">
        <v>1364</v>
      </c>
      <c r="G675" s="113" t="s">
        <v>26</v>
      </c>
    </row>
    <row r="676" spans="1:7" ht="14.4" customHeight="1" x14ac:dyDescent="0.25"/>
    <row r="677" spans="1:7" ht="14.4" customHeight="1" x14ac:dyDescent="0.25"/>
    <row r="678" spans="1:7" ht="14.4" customHeight="1" x14ac:dyDescent="0.25"/>
    <row r="679" spans="1:7" ht="14.4" customHeight="1" x14ac:dyDescent="0.25"/>
    <row r="680" spans="1:7" ht="14.4" customHeight="1" x14ac:dyDescent="0.25"/>
    <row r="681" spans="1:7" ht="14.4" customHeight="1" x14ac:dyDescent="0.25"/>
    <row r="682" spans="1:7" ht="14.4" customHeight="1" x14ac:dyDescent="0.25"/>
    <row r="683" spans="1:7" ht="14.4" customHeight="1" x14ac:dyDescent="0.25"/>
    <row r="684" spans="1:7" ht="14.4" customHeight="1" x14ac:dyDescent="0.25"/>
    <row r="685" spans="1:7" ht="14.4" customHeight="1" x14ac:dyDescent="0.25"/>
    <row r="686" spans="1:7" ht="14.4" customHeight="1" x14ac:dyDescent="0.25"/>
    <row r="687" spans="1:7" ht="14.4" customHeight="1" x14ac:dyDescent="0.25"/>
    <row r="688" spans="1:7" ht="14.4" customHeight="1" x14ac:dyDescent="0.25"/>
    <row r="689" ht="14.4" customHeight="1" x14ac:dyDescent="0.25"/>
    <row r="690" ht="14.4" customHeight="1" x14ac:dyDescent="0.25"/>
    <row r="691" ht="14.4" customHeight="1" x14ac:dyDescent="0.25"/>
    <row r="692" ht="14.4" customHeight="1" x14ac:dyDescent="0.25"/>
    <row r="693" ht="14.4" customHeight="1" x14ac:dyDescent="0.25"/>
    <row r="694" ht="14.4" customHeight="1" x14ac:dyDescent="0.25"/>
    <row r="695" ht="14.4" customHeight="1" x14ac:dyDescent="0.25"/>
    <row r="696" ht="14.4" customHeight="1" x14ac:dyDescent="0.25"/>
    <row r="697" ht="14.4" customHeight="1" x14ac:dyDescent="0.25"/>
    <row r="698" ht="14.4" customHeight="1" x14ac:dyDescent="0.25"/>
    <row r="699" ht="14.4" customHeight="1" x14ac:dyDescent="0.25"/>
    <row r="700" ht="14.4" customHeight="1" x14ac:dyDescent="0.25"/>
    <row r="701" ht="14.4" customHeight="1" x14ac:dyDescent="0.25"/>
    <row r="702" ht="14.4" customHeight="1" x14ac:dyDescent="0.25"/>
    <row r="703" ht="14.4" customHeight="1" x14ac:dyDescent="0.25"/>
    <row r="704" ht="14.4" customHeight="1" x14ac:dyDescent="0.25"/>
    <row r="705" ht="14.4" customHeight="1" x14ac:dyDescent="0.25"/>
    <row r="706" ht="14.4" customHeight="1" x14ac:dyDescent="0.25"/>
    <row r="707" ht="14.4" customHeight="1" x14ac:dyDescent="0.25"/>
    <row r="708" ht="14.4" customHeight="1" x14ac:dyDescent="0.25"/>
    <row r="709" ht="14.4" customHeight="1" x14ac:dyDescent="0.25"/>
    <row r="710" ht="14.4" customHeight="1" x14ac:dyDescent="0.25"/>
    <row r="711" ht="14.4" customHeight="1" x14ac:dyDescent="0.25"/>
    <row r="712" ht="14.4" customHeight="1" x14ac:dyDescent="0.25"/>
    <row r="713" ht="14.4" customHeight="1" x14ac:dyDescent="0.25"/>
    <row r="714" ht="14.4" customHeight="1" x14ac:dyDescent="0.25"/>
    <row r="715" ht="14.4" customHeight="1" x14ac:dyDescent="0.25"/>
    <row r="716" ht="14.4" customHeight="1" x14ac:dyDescent="0.25"/>
    <row r="717" ht="14.4" customHeight="1" x14ac:dyDescent="0.25"/>
    <row r="718" ht="14.4" customHeight="1" x14ac:dyDescent="0.25"/>
    <row r="719" ht="14.4" customHeight="1" x14ac:dyDescent="0.25"/>
    <row r="720" ht="14.4" customHeight="1" x14ac:dyDescent="0.25"/>
    <row r="721" ht="14.4" customHeight="1" x14ac:dyDescent="0.25"/>
    <row r="722" ht="14.4" customHeight="1" x14ac:dyDescent="0.25"/>
    <row r="723" ht="14.4" customHeight="1" x14ac:dyDescent="0.25"/>
    <row r="724" ht="14.4" customHeight="1" x14ac:dyDescent="0.25"/>
    <row r="725" ht="14.4" customHeight="1" x14ac:dyDescent="0.25"/>
    <row r="726" ht="14.4" customHeight="1" x14ac:dyDescent="0.25"/>
    <row r="727" ht="14.4" customHeight="1" x14ac:dyDescent="0.25"/>
    <row r="728" ht="14.4" customHeight="1" x14ac:dyDescent="0.25"/>
    <row r="729" ht="14.4" customHeight="1" x14ac:dyDescent="0.25"/>
    <row r="730" ht="14.4" customHeight="1" x14ac:dyDescent="0.25"/>
    <row r="731" ht="14.4" customHeight="1" x14ac:dyDescent="0.25"/>
    <row r="732" ht="14.4" customHeight="1" x14ac:dyDescent="0.25"/>
    <row r="733" ht="14.4" customHeight="1" x14ac:dyDescent="0.25"/>
    <row r="734" ht="14.4" customHeight="1" x14ac:dyDescent="0.25"/>
    <row r="735" ht="14.4" customHeight="1" x14ac:dyDescent="0.25"/>
    <row r="736" ht="14.4" customHeight="1" x14ac:dyDescent="0.25"/>
    <row r="737" ht="14.4" customHeight="1" x14ac:dyDescent="0.25"/>
    <row r="738" ht="14.4" customHeight="1" x14ac:dyDescent="0.25"/>
    <row r="739" ht="14.4" customHeight="1" x14ac:dyDescent="0.25"/>
    <row r="740" ht="14.4" customHeight="1" x14ac:dyDescent="0.25"/>
    <row r="741" ht="14.4" customHeight="1" x14ac:dyDescent="0.25"/>
    <row r="742" ht="14.4" customHeight="1" x14ac:dyDescent="0.25"/>
    <row r="743" ht="14.4" customHeight="1" x14ac:dyDescent="0.25"/>
    <row r="744" ht="14.4" customHeight="1" x14ac:dyDescent="0.25"/>
    <row r="745" ht="14.4" customHeight="1" x14ac:dyDescent="0.25"/>
    <row r="746" ht="14.4" customHeight="1" x14ac:dyDescent="0.25"/>
    <row r="747" ht="14.4" customHeight="1" x14ac:dyDescent="0.25"/>
    <row r="748" ht="14.4" customHeight="1" x14ac:dyDescent="0.25"/>
    <row r="749" ht="14.4" customHeight="1" x14ac:dyDescent="0.25"/>
    <row r="750" ht="14.4" customHeight="1" x14ac:dyDescent="0.25"/>
    <row r="751" ht="14.4" customHeight="1" x14ac:dyDescent="0.25"/>
    <row r="752" ht="14.4" customHeight="1" x14ac:dyDescent="0.25"/>
    <row r="753" ht="14.4" customHeight="1" x14ac:dyDescent="0.25"/>
    <row r="754" ht="14.4" customHeight="1" x14ac:dyDescent="0.25"/>
    <row r="755" ht="14.4" customHeight="1" x14ac:dyDescent="0.25"/>
    <row r="756" ht="14.4" customHeight="1" x14ac:dyDescent="0.25"/>
    <row r="757" ht="14.4" customHeight="1" x14ac:dyDescent="0.25"/>
    <row r="758" ht="14.4" customHeight="1" x14ac:dyDescent="0.25"/>
    <row r="759" ht="14.4" customHeight="1" x14ac:dyDescent="0.25"/>
    <row r="760" ht="14.4" customHeight="1" x14ac:dyDescent="0.25"/>
    <row r="761" ht="14.4" customHeight="1" x14ac:dyDescent="0.25"/>
    <row r="762" ht="14.4" customHeight="1" x14ac:dyDescent="0.25"/>
    <row r="763" ht="14.4" customHeight="1" x14ac:dyDescent="0.25"/>
    <row r="764" ht="14.4" customHeight="1" x14ac:dyDescent="0.25"/>
    <row r="765" ht="14.4" customHeight="1" x14ac:dyDescent="0.25"/>
    <row r="766" ht="14.4" customHeight="1" x14ac:dyDescent="0.25"/>
    <row r="767" ht="14.4" customHeight="1" x14ac:dyDescent="0.25"/>
    <row r="768" ht="14.4" customHeight="1" x14ac:dyDescent="0.25"/>
    <row r="769" ht="14.4" customHeight="1" x14ac:dyDescent="0.25"/>
    <row r="770" ht="14.4" customHeight="1" x14ac:dyDescent="0.25"/>
    <row r="771" ht="14.4" customHeight="1" x14ac:dyDescent="0.25"/>
    <row r="772" ht="14.4" customHeight="1" x14ac:dyDescent="0.25"/>
    <row r="773" ht="14.4" customHeight="1" x14ac:dyDescent="0.25"/>
    <row r="774" ht="14.4" customHeight="1" x14ac:dyDescent="0.25"/>
    <row r="775" ht="14.4" customHeight="1" x14ac:dyDescent="0.25"/>
    <row r="776" ht="14.4" customHeight="1" x14ac:dyDescent="0.25"/>
    <row r="777" ht="14.4" customHeight="1" x14ac:dyDescent="0.25"/>
    <row r="778" ht="14.4" customHeight="1" x14ac:dyDescent="0.25"/>
    <row r="779" ht="14.4" customHeight="1" x14ac:dyDescent="0.25"/>
    <row r="780" ht="14.4" customHeight="1" x14ac:dyDescent="0.25"/>
    <row r="781" ht="14.4" customHeight="1" x14ac:dyDescent="0.25"/>
    <row r="782" ht="14.4" customHeight="1" x14ac:dyDescent="0.25"/>
    <row r="783" ht="14.4" customHeight="1" x14ac:dyDescent="0.25"/>
    <row r="784" ht="14.4" customHeight="1" x14ac:dyDescent="0.25"/>
    <row r="785" ht="14.4" customHeight="1" x14ac:dyDescent="0.25"/>
    <row r="786" ht="14.4" customHeight="1" x14ac:dyDescent="0.25"/>
    <row r="787" ht="14.4" customHeight="1" x14ac:dyDescent="0.25"/>
    <row r="788" ht="14.4" customHeight="1" x14ac:dyDescent="0.25"/>
    <row r="789" ht="14.4" customHeight="1" x14ac:dyDescent="0.25"/>
    <row r="790" ht="14.4" customHeight="1" x14ac:dyDescent="0.25"/>
    <row r="791" ht="14.4" customHeight="1" x14ac:dyDescent="0.25"/>
    <row r="792" ht="14.4" customHeight="1" x14ac:dyDescent="0.25"/>
    <row r="793" ht="14.4" customHeight="1" x14ac:dyDescent="0.25"/>
    <row r="794" ht="14.4" customHeight="1" x14ac:dyDescent="0.25"/>
    <row r="795" ht="14.4" customHeight="1" x14ac:dyDescent="0.25"/>
    <row r="796" ht="14.4" customHeight="1" x14ac:dyDescent="0.25"/>
    <row r="797" ht="14.4" customHeight="1" x14ac:dyDescent="0.25"/>
    <row r="798" ht="14.4" customHeight="1" x14ac:dyDescent="0.25"/>
    <row r="799" ht="14.4" customHeight="1" x14ac:dyDescent="0.25"/>
    <row r="800" ht="14.4" customHeight="1" x14ac:dyDescent="0.25"/>
    <row r="801" ht="14.4" customHeight="1" x14ac:dyDescent="0.25"/>
    <row r="802" ht="14.4" customHeight="1" x14ac:dyDescent="0.25"/>
    <row r="803" ht="14.4" customHeight="1" x14ac:dyDescent="0.25"/>
    <row r="804" ht="14.4" customHeight="1" x14ac:dyDescent="0.25"/>
    <row r="805" ht="14.4" customHeight="1" x14ac:dyDescent="0.25"/>
    <row r="806" ht="14.4" customHeight="1" x14ac:dyDescent="0.25"/>
    <row r="807" ht="14.4" customHeight="1" x14ac:dyDescent="0.25"/>
    <row r="808" ht="14.4" customHeight="1" x14ac:dyDescent="0.25"/>
    <row r="809" ht="14.4" customHeight="1" x14ac:dyDescent="0.25"/>
    <row r="810" ht="14.4" customHeight="1" x14ac:dyDescent="0.25"/>
    <row r="811" ht="14.4" customHeight="1" x14ac:dyDescent="0.25"/>
    <row r="812" ht="14.4" customHeight="1" x14ac:dyDescent="0.25"/>
    <row r="813" ht="14.4" customHeight="1" x14ac:dyDescent="0.25"/>
    <row r="814" ht="14.4" customHeight="1" x14ac:dyDescent="0.25"/>
    <row r="815" ht="14.4" customHeight="1" x14ac:dyDescent="0.25"/>
    <row r="816" ht="14.4" customHeight="1" x14ac:dyDescent="0.25"/>
    <row r="817" ht="14.4" customHeight="1" x14ac:dyDescent="0.25"/>
    <row r="818" ht="14.4" customHeight="1" x14ac:dyDescent="0.25"/>
    <row r="819" ht="14.4" customHeight="1" x14ac:dyDescent="0.25"/>
    <row r="820" ht="14.4" customHeight="1" x14ac:dyDescent="0.25"/>
    <row r="821" ht="14.4" customHeight="1" x14ac:dyDescent="0.25"/>
    <row r="822" ht="14.4" customHeight="1" x14ac:dyDescent="0.25"/>
    <row r="823" ht="14.4" customHeight="1" x14ac:dyDescent="0.25"/>
    <row r="824" ht="14.4" customHeight="1" x14ac:dyDescent="0.25"/>
    <row r="825" ht="14.4" customHeight="1" x14ac:dyDescent="0.25"/>
    <row r="826" ht="14.4" customHeight="1" x14ac:dyDescent="0.25"/>
    <row r="827" ht="14.4" customHeight="1" x14ac:dyDescent="0.25"/>
    <row r="828" ht="14.4" customHeight="1" x14ac:dyDescent="0.25"/>
    <row r="829" ht="14.4" customHeight="1" x14ac:dyDescent="0.25"/>
    <row r="830" ht="14.4" customHeight="1" x14ac:dyDescent="0.25"/>
    <row r="831" ht="14.4" customHeight="1" x14ac:dyDescent="0.25"/>
    <row r="832" ht="14.4" customHeight="1" x14ac:dyDescent="0.25"/>
    <row r="833" ht="14.4" customHeight="1" x14ac:dyDescent="0.25"/>
    <row r="834" ht="14.4" customHeight="1" x14ac:dyDescent="0.25"/>
    <row r="835" ht="14.4" customHeight="1" x14ac:dyDescent="0.25"/>
    <row r="836" ht="14.4" customHeight="1" x14ac:dyDescent="0.25"/>
    <row r="837" ht="14.4" customHeight="1" x14ac:dyDescent="0.25"/>
    <row r="838" ht="14.4" customHeight="1" x14ac:dyDescent="0.25"/>
    <row r="839" ht="14.4" customHeight="1" x14ac:dyDescent="0.25"/>
    <row r="840" ht="14.4" customHeight="1" x14ac:dyDescent="0.25"/>
    <row r="841" ht="14.4" customHeight="1" x14ac:dyDescent="0.25"/>
    <row r="842" ht="14.4" customHeight="1" x14ac:dyDescent="0.25"/>
    <row r="843" ht="14.4" customHeight="1" x14ac:dyDescent="0.25"/>
    <row r="844" ht="14.4" customHeight="1" x14ac:dyDescent="0.25"/>
    <row r="845" ht="14.4" customHeight="1" x14ac:dyDescent="0.25"/>
    <row r="846" ht="14.4" customHeight="1" x14ac:dyDescent="0.25"/>
    <row r="847" ht="14.4" customHeight="1" x14ac:dyDescent="0.25"/>
    <row r="848" ht="14.4" customHeight="1" x14ac:dyDescent="0.25"/>
    <row r="849" ht="14.4" customHeight="1" x14ac:dyDescent="0.25"/>
    <row r="850" ht="14.4" customHeight="1" x14ac:dyDescent="0.25"/>
    <row r="851" ht="14.4" customHeight="1" x14ac:dyDescent="0.25"/>
    <row r="852" ht="14.4" customHeight="1" x14ac:dyDescent="0.25"/>
    <row r="853" ht="14.4" customHeight="1" x14ac:dyDescent="0.25"/>
    <row r="854" ht="14.4" customHeight="1" x14ac:dyDescent="0.25"/>
    <row r="855" ht="14.4" customHeight="1" x14ac:dyDescent="0.25"/>
    <row r="856" ht="14.4" customHeight="1" x14ac:dyDescent="0.25"/>
    <row r="857" ht="14.4" customHeight="1" x14ac:dyDescent="0.25"/>
    <row r="858" ht="14.4" customHeight="1" x14ac:dyDescent="0.25"/>
    <row r="859" ht="14.4" customHeight="1" x14ac:dyDescent="0.25"/>
    <row r="860" ht="14.4" customHeight="1" x14ac:dyDescent="0.25"/>
    <row r="861" ht="14.4" customHeight="1" x14ac:dyDescent="0.25"/>
    <row r="862" ht="14.4" customHeight="1" x14ac:dyDescent="0.25"/>
    <row r="863" ht="14.4" customHeight="1" x14ac:dyDescent="0.25"/>
    <row r="864" ht="14.4" customHeight="1" x14ac:dyDescent="0.25"/>
    <row r="865" ht="14.4" customHeight="1" x14ac:dyDescent="0.25"/>
    <row r="866" ht="14.4" customHeight="1" x14ac:dyDescent="0.25"/>
    <row r="867" ht="14.4" customHeight="1" x14ac:dyDescent="0.25"/>
    <row r="868" ht="14.4" customHeight="1" x14ac:dyDescent="0.25"/>
    <row r="869" ht="14.4" customHeight="1" x14ac:dyDescent="0.25"/>
    <row r="870" ht="14.4" customHeight="1" x14ac:dyDescent="0.25"/>
    <row r="871" ht="14.4" customHeight="1" x14ac:dyDescent="0.25"/>
    <row r="872" ht="14.4" customHeight="1" x14ac:dyDescent="0.25"/>
    <row r="873" ht="14.4" customHeight="1" x14ac:dyDescent="0.25"/>
    <row r="874" ht="14.4" customHeight="1" x14ac:dyDescent="0.25"/>
    <row r="875" ht="14.4" customHeight="1" x14ac:dyDescent="0.25"/>
    <row r="876" ht="14.4" customHeight="1" x14ac:dyDescent="0.25"/>
    <row r="877" ht="14.4" customHeight="1" x14ac:dyDescent="0.25"/>
    <row r="878" ht="14.4" customHeight="1" x14ac:dyDescent="0.25"/>
    <row r="879" ht="14.4" customHeight="1" x14ac:dyDescent="0.25"/>
    <row r="880" ht="14.4" customHeight="1" x14ac:dyDescent="0.25"/>
    <row r="881" ht="14.4" customHeight="1" x14ac:dyDescent="0.25"/>
    <row r="882" ht="14.4" customHeight="1" x14ac:dyDescent="0.25"/>
    <row r="883" ht="14.4" customHeight="1" x14ac:dyDescent="0.25"/>
    <row r="884" ht="14.4" customHeight="1" x14ac:dyDescent="0.25"/>
    <row r="886" ht="14.4" customHeight="1" x14ac:dyDescent="0.25"/>
  </sheetData>
  <dataConsolidate/>
  <pageMargins left="0.19685039370078738" right="0.19685039370078738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tructure"/>
  <dimension ref="A1:X23"/>
  <sheetViews>
    <sheetView workbookViewId="0">
      <selection activeCell="A27" sqref="A27"/>
    </sheetView>
  </sheetViews>
  <sheetFormatPr defaultRowHeight="13.2" x14ac:dyDescent="0.25"/>
  <cols>
    <col min="1" max="1" width="20.5546875" bestFit="1" customWidth="1"/>
    <col min="2" max="2" width="12.44140625" bestFit="1" customWidth="1"/>
    <col min="3" max="3" width="15.109375" bestFit="1" customWidth="1"/>
    <col min="4" max="4" width="9.5546875" bestFit="1" customWidth="1"/>
    <col min="5" max="5" width="10.21875" bestFit="1" customWidth="1"/>
    <col min="6" max="6" width="10.5546875" bestFit="1" customWidth="1"/>
    <col min="9" max="9" width="9.5546875" bestFit="1" customWidth="1"/>
    <col min="10" max="10" width="7.6640625" bestFit="1" customWidth="1"/>
    <col min="11" max="14" width="5.6640625" bestFit="1" customWidth="1"/>
    <col min="15" max="15" width="6.21875" bestFit="1" customWidth="1"/>
    <col min="16" max="16" width="9.44140625" bestFit="1" customWidth="1"/>
    <col min="17" max="18" width="5.6640625" bestFit="1" customWidth="1"/>
    <col min="19" max="19" width="6" bestFit="1" customWidth="1"/>
    <col min="20" max="20" width="5.88671875" bestFit="1" customWidth="1"/>
    <col min="21" max="24" width="5.6640625" bestFit="1" customWidth="1"/>
  </cols>
  <sheetData>
    <row r="1" spans="1:24" x14ac:dyDescent="0.25">
      <c r="A1" s="1" t="s">
        <v>1424</v>
      </c>
      <c r="B1" s="1" t="s">
        <v>1425</v>
      </c>
      <c r="C1" s="1" t="s">
        <v>1426</v>
      </c>
      <c r="D1" s="1" t="s">
        <v>1427</v>
      </c>
      <c r="E1" s="1" t="s">
        <v>1428</v>
      </c>
      <c r="F1" s="1" t="s">
        <v>1429</v>
      </c>
      <c r="G1" s="1" t="s">
        <v>1430</v>
      </c>
      <c r="H1" s="1" t="s">
        <v>1431</v>
      </c>
      <c r="I1" s="1" t="s">
        <v>1432</v>
      </c>
      <c r="J1" s="1" t="s">
        <v>1433</v>
      </c>
      <c r="K1" s="1" t="s">
        <v>1434</v>
      </c>
      <c r="L1" s="1" t="s">
        <v>1435</v>
      </c>
      <c r="M1" s="1" t="s">
        <v>1436</v>
      </c>
      <c r="N1" s="1" t="s">
        <v>1437</v>
      </c>
      <c r="O1" s="1" t="s">
        <v>1438</v>
      </c>
      <c r="P1" s="1" t="s">
        <v>1439</v>
      </c>
      <c r="Q1" s="1" t="s">
        <v>1440</v>
      </c>
      <c r="R1" s="1" t="s">
        <v>1441</v>
      </c>
      <c r="S1" s="1" t="s">
        <v>1442</v>
      </c>
      <c r="T1" s="1" t="s">
        <v>1443</v>
      </c>
      <c r="U1" s="1" t="s">
        <v>1444</v>
      </c>
      <c r="V1" s="1" t="s">
        <v>1445</v>
      </c>
      <c r="W1" s="1" t="s">
        <v>1446</v>
      </c>
      <c r="X1" s="1" t="s">
        <v>1447</v>
      </c>
    </row>
    <row r="2" spans="1:24" x14ac:dyDescent="0.25">
      <c r="A2" s="181" t="s">
        <v>1449</v>
      </c>
      <c r="B2" t="s">
        <v>1387</v>
      </c>
      <c r="C2" t="s">
        <v>1385</v>
      </c>
      <c r="D2" t="s">
        <v>1386</v>
      </c>
    </row>
    <row r="3" spans="1:24" x14ac:dyDescent="0.25">
      <c r="A3" s="182" t="s">
        <v>1374</v>
      </c>
      <c r="B3" t="s">
        <v>1388</v>
      </c>
      <c r="C3" t="s">
        <v>1389</v>
      </c>
      <c r="D3" t="s">
        <v>1390</v>
      </c>
      <c r="E3" t="s">
        <v>1391</v>
      </c>
      <c r="F3" t="s">
        <v>1482</v>
      </c>
      <c r="G3" t="s">
        <v>1392</v>
      </c>
      <c r="H3" t="s">
        <v>1393</v>
      </c>
      <c r="I3" t="s">
        <v>1394</v>
      </c>
      <c r="J3" t="s">
        <v>1386</v>
      </c>
    </row>
    <row r="4" spans="1:24" x14ac:dyDescent="0.25">
      <c r="A4" s="182" t="s">
        <v>1375</v>
      </c>
      <c r="B4" t="s">
        <v>1388</v>
      </c>
      <c r="C4" t="s">
        <v>1395</v>
      </c>
      <c r="D4" t="s">
        <v>1396</v>
      </c>
    </row>
    <row r="5" spans="1:24" x14ac:dyDescent="0.25">
      <c r="A5" s="182" t="s">
        <v>1376</v>
      </c>
      <c r="B5" t="s">
        <v>1397</v>
      </c>
      <c r="C5" t="s">
        <v>1388</v>
      </c>
      <c r="D5" t="s">
        <v>1398</v>
      </c>
      <c r="E5" t="s">
        <v>1399</v>
      </c>
      <c r="F5" t="s">
        <v>1400</v>
      </c>
      <c r="G5" t="s">
        <v>1401</v>
      </c>
      <c r="H5" t="s">
        <v>1402</v>
      </c>
      <c r="I5" t="s">
        <v>1403</v>
      </c>
      <c r="J5" t="s">
        <v>1404</v>
      </c>
      <c r="K5" t="s">
        <v>1405</v>
      </c>
      <c r="L5" t="s">
        <v>1406</v>
      </c>
      <c r="M5" t="s">
        <v>1407</v>
      </c>
      <c r="N5" t="s">
        <v>1408</v>
      </c>
      <c r="O5" t="s">
        <v>1409</v>
      </c>
      <c r="P5" t="s">
        <v>1410</v>
      </c>
      <c r="Q5" t="s">
        <v>1411</v>
      </c>
      <c r="R5" t="s">
        <v>1412</v>
      </c>
      <c r="S5" t="s">
        <v>1413</v>
      </c>
      <c r="T5" t="s">
        <v>1414</v>
      </c>
      <c r="U5" t="s">
        <v>21</v>
      </c>
      <c r="V5" t="s">
        <v>22</v>
      </c>
      <c r="W5" t="s">
        <v>23</v>
      </c>
      <c r="X5" t="s">
        <v>1415</v>
      </c>
    </row>
    <row r="6" spans="1:24" x14ac:dyDescent="0.25">
      <c r="A6" s="182" t="s">
        <v>1377</v>
      </c>
      <c r="B6" t="s">
        <v>1388</v>
      </c>
      <c r="C6" t="s">
        <v>1395</v>
      </c>
      <c r="D6" t="s">
        <v>1386</v>
      </c>
    </row>
    <row r="7" spans="1:24" x14ac:dyDescent="0.25">
      <c r="A7" s="182" t="s">
        <v>1378</v>
      </c>
      <c r="B7" t="s">
        <v>1383</v>
      </c>
      <c r="C7" t="s">
        <v>1416</v>
      </c>
      <c r="D7" t="s">
        <v>1417</v>
      </c>
      <c r="E7" t="s">
        <v>1418</v>
      </c>
      <c r="F7" t="s">
        <v>1419</v>
      </c>
      <c r="G7" t="s">
        <v>1420</v>
      </c>
      <c r="H7" t="s">
        <v>1421</v>
      </c>
      <c r="I7" t="s">
        <v>1422</v>
      </c>
      <c r="J7" t="s">
        <v>1423</v>
      </c>
    </row>
    <row r="8" spans="1:24" x14ac:dyDescent="0.25">
      <c r="A8" s="182" t="s">
        <v>1379</v>
      </c>
      <c r="B8" t="s">
        <v>1</v>
      </c>
      <c r="C8" t="s">
        <v>4</v>
      </c>
      <c r="D8" t="s">
        <v>5</v>
      </c>
      <c r="E8" t="s">
        <v>3</v>
      </c>
      <c r="F8" t="s">
        <v>2</v>
      </c>
      <c r="G8" t="s">
        <v>25</v>
      </c>
      <c r="H8" t="s">
        <v>26</v>
      </c>
    </row>
    <row r="9" spans="1:24" x14ac:dyDescent="0.25">
      <c r="A9" s="182"/>
      <c r="B9" s="551" t="s">
        <v>1480</v>
      </c>
    </row>
    <row r="10" spans="1:24" x14ac:dyDescent="0.25">
      <c r="A10" s="182" t="s">
        <v>1380</v>
      </c>
      <c r="B10" t="s">
        <v>1381</v>
      </c>
      <c r="C10" t="s">
        <v>1382</v>
      </c>
      <c r="D10" t="s">
        <v>1383</v>
      </c>
      <c r="E10" t="s">
        <v>1384</v>
      </c>
    </row>
    <row r="11" spans="1:24" x14ac:dyDescent="0.25">
      <c r="B11" s="551" t="s">
        <v>1480</v>
      </c>
    </row>
    <row r="12" spans="1:24" x14ac:dyDescent="0.25">
      <c r="A12" s="1" t="s">
        <v>1449</v>
      </c>
      <c r="B12" s="1" t="s">
        <v>1460</v>
      </c>
      <c r="C12" s="1" t="s">
        <v>1471</v>
      </c>
      <c r="D12" s="1" t="s">
        <v>1396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81" t="s">
        <v>1450</v>
      </c>
      <c r="B13" t="s">
        <v>1461</v>
      </c>
      <c r="C13" s="550">
        <v>10</v>
      </c>
      <c r="D13" t="s">
        <v>1472</v>
      </c>
    </row>
    <row r="14" spans="1:24" x14ac:dyDescent="0.25">
      <c r="A14" s="182" t="s">
        <v>1451</v>
      </c>
      <c r="B14" t="s">
        <v>1462</v>
      </c>
      <c r="C14" s="550">
        <v>10</v>
      </c>
      <c r="D14" t="s">
        <v>1473</v>
      </c>
    </row>
    <row r="15" spans="1:24" x14ac:dyDescent="0.25">
      <c r="A15" s="182" t="s">
        <v>1452</v>
      </c>
      <c r="B15" t="s">
        <v>1463</v>
      </c>
      <c r="C15" s="550"/>
      <c r="D15" t="s">
        <v>1474</v>
      </c>
    </row>
    <row r="16" spans="1:24" x14ac:dyDescent="0.25">
      <c r="A16" s="182" t="s">
        <v>1453</v>
      </c>
      <c r="B16" t="s">
        <v>1464</v>
      </c>
      <c r="C16" s="550"/>
      <c r="D16" t="s">
        <v>1475</v>
      </c>
    </row>
    <row r="17" spans="1:4" x14ac:dyDescent="0.25">
      <c r="A17" s="182" t="s">
        <v>1454</v>
      </c>
      <c r="B17" t="s">
        <v>1465</v>
      </c>
      <c r="C17" s="550" t="s">
        <v>1485</v>
      </c>
      <c r="D17" s="4" t="s">
        <v>1476</v>
      </c>
    </row>
    <row r="18" spans="1:4" x14ac:dyDescent="0.25">
      <c r="A18" s="182" t="s">
        <v>1455</v>
      </c>
      <c r="B18" t="s">
        <v>1466</v>
      </c>
      <c r="C18" s="550" t="s">
        <v>1486</v>
      </c>
      <c r="D18" s="4" t="s">
        <v>1477</v>
      </c>
    </row>
    <row r="19" spans="1:4" x14ac:dyDescent="0.25">
      <c r="A19" s="182" t="s">
        <v>1456</v>
      </c>
      <c r="B19" t="s">
        <v>1467</v>
      </c>
      <c r="C19" s="550" t="s">
        <v>1213</v>
      </c>
      <c r="D19" t="s">
        <v>1456</v>
      </c>
    </row>
    <row r="20" spans="1:4" x14ac:dyDescent="0.25">
      <c r="A20" s="182" t="s">
        <v>1457</v>
      </c>
      <c r="B20" t="s">
        <v>1468</v>
      </c>
      <c r="C20" s="550" t="b">
        <v>0</v>
      </c>
      <c r="D20" t="s">
        <v>1487</v>
      </c>
    </row>
    <row r="21" spans="1:4" x14ac:dyDescent="0.25">
      <c r="A21" s="182" t="s">
        <v>1458</v>
      </c>
      <c r="B21" t="s">
        <v>1469</v>
      </c>
      <c r="C21" s="550"/>
      <c r="D21" s="4" t="s">
        <v>1478</v>
      </c>
    </row>
    <row r="22" spans="1:4" x14ac:dyDescent="0.25">
      <c r="A22" s="182" t="s">
        <v>1459</v>
      </c>
      <c r="B22" t="s">
        <v>1470</v>
      </c>
      <c r="C22" s="550" t="b">
        <v>0</v>
      </c>
      <c r="D22" s="4" t="s">
        <v>1479</v>
      </c>
    </row>
    <row r="23" spans="1:4" x14ac:dyDescent="0.25">
      <c r="A23" s="182" t="s">
        <v>1483</v>
      </c>
      <c r="B23" t="s">
        <v>1484</v>
      </c>
      <c r="C23" t="s">
        <v>278</v>
      </c>
      <c r="D23" s="4" t="s">
        <v>1488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0"/>
  <sheetViews>
    <sheetView topLeftCell="A151" workbookViewId="0">
      <selection activeCell="B169" sqref="B169"/>
    </sheetView>
  </sheetViews>
  <sheetFormatPr defaultRowHeight="13.2" x14ac:dyDescent="0.25"/>
  <sheetData>
    <row r="1" spans="1:10" x14ac:dyDescent="0.25">
      <c r="A1" s="552" t="s">
        <v>1448</v>
      </c>
      <c r="B1" s="552"/>
      <c r="C1" s="552"/>
      <c r="D1" s="552"/>
      <c r="E1" s="552"/>
      <c r="F1" s="552"/>
      <c r="G1" s="553"/>
    </row>
    <row r="2" spans="1:10" x14ac:dyDescent="0.25">
      <c r="B2" s="4" t="s">
        <v>38</v>
      </c>
      <c r="C2" s="4">
        <v>240</v>
      </c>
      <c r="D2" s="4">
        <v>248</v>
      </c>
      <c r="E2" s="4">
        <v>255</v>
      </c>
      <c r="F2" s="4">
        <v>16775408</v>
      </c>
      <c r="G2" s="5" t="s">
        <v>279</v>
      </c>
      <c r="H2" s="10" t="s">
        <v>26</v>
      </c>
      <c r="I2" s="4">
        <f>IFERROR(MATCH(B2,SysColours!A:A,0),0)</f>
        <v>168</v>
      </c>
      <c r="J2" s="4" t="str">
        <f ca="1">IF(AND(I2&lt;&gt;0,OFFSET(SysColours!$A$1,I2-1,4)=F2),"dupe","")</f>
        <v>dupe</v>
      </c>
    </row>
    <row r="3" spans="1:10" x14ac:dyDescent="0.25">
      <c r="B3" s="4" t="s">
        <v>39</v>
      </c>
      <c r="C3" s="4">
        <v>250</v>
      </c>
      <c r="D3" s="4">
        <v>235</v>
      </c>
      <c r="E3" s="4">
        <v>215</v>
      </c>
      <c r="F3" s="4">
        <v>14150650</v>
      </c>
      <c r="G3" s="5" t="str">
        <f t="shared" ref="G3:G34" si="0">rgb2hex(F3)</f>
        <v>#FAEBD7</v>
      </c>
      <c r="H3" s="11" t="s">
        <v>26</v>
      </c>
      <c r="I3" s="4">
        <f>IFERROR(MATCH(B3,SysColours!A:A,0),0)</f>
        <v>378</v>
      </c>
      <c r="J3" s="4" t="str">
        <f ca="1">IF(AND(I3&lt;&gt;0,OFFSET(SysColours!$A$1,I3-1,4)=F3),"dupe","")</f>
        <v>dupe</v>
      </c>
    </row>
    <row r="4" spans="1:10" x14ac:dyDescent="0.25">
      <c r="B4" s="4" t="s">
        <v>40</v>
      </c>
      <c r="C4" s="4">
        <v>0</v>
      </c>
      <c r="D4" s="4">
        <v>255</v>
      </c>
      <c r="E4" s="4">
        <v>255</v>
      </c>
      <c r="F4" s="4">
        <v>16776960</v>
      </c>
      <c r="G4" s="5" t="str">
        <f t="shared" si="0"/>
        <v>#00FFFF</v>
      </c>
      <c r="H4" s="12" t="s">
        <v>26</v>
      </c>
      <c r="I4" s="4">
        <f>IFERROR(MATCH(B4,SysColours!A:A,0),0)</f>
        <v>223</v>
      </c>
      <c r="J4" s="4" t="str">
        <f ca="1">IF(AND(I4&lt;&gt;0,OFFSET(SysColours!$A$1,I4-1,4)=F4),"dupe","")</f>
        <v>dupe</v>
      </c>
    </row>
    <row r="5" spans="1:10" x14ac:dyDescent="0.25">
      <c r="B5" s="4" t="s">
        <v>41</v>
      </c>
      <c r="C5" s="4">
        <v>127</v>
      </c>
      <c r="D5" s="4">
        <v>255</v>
      </c>
      <c r="E5" s="4">
        <v>212</v>
      </c>
      <c r="F5" s="4">
        <v>13959039</v>
      </c>
      <c r="G5" s="5" t="str">
        <f t="shared" si="0"/>
        <v>#7FFFD4</v>
      </c>
      <c r="H5" s="13" t="s">
        <v>26</v>
      </c>
      <c r="I5" s="4">
        <f>IFERROR(MATCH(B5,SysColours!A:A,0),0)</f>
        <v>239</v>
      </c>
      <c r="J5" s="4" t="str">
        <f ca="1">IF(AND(I5&lt;&gt;0,OFFSET(SysColours!$A$1,I5-1,4)=F5),"dupe","")</f>
        <v>dupe</v>
      </c>
    </row>
    <row r="6" spans="1:10" x14ac:dyDescent="0.25">
      <c r="B6" s="4" t="s">
        <v>42</v>
      </c>
      <c r="C6" s="4">
        <v>240</v>
      </c>
      <c r="D6" s="4">
        <v>255</v>
      </c>
      <c r="E6" s="4">
        <v>255</v>
      </c>
      <c r="F6" s="4">
        <v>16777200</v>
      </c>
      <c r="G6" s="5" t="str">
        <f t="shared" si="0"/>
        <v>#F0FFFF</v>
      </c>
      <c r="H6" s="14" t="s">
        <v>26</v>
      </c>
      <c r="I6" s="4">
        <f>IFERROR(MATCH(B6,SysColours!A:A,0),0)</f>
        <v>206</v>
      </c>
      <c r="J6" s="4" t="str">
        <f ca="1">IF(AND(I6&lt;&gt;0,OFFSET(SysColours!$A$1,I6-1,4)=F6),"dupe","")</f>
        <v>dupe</v>
      </c>
    </row>
    <row r="7" spans="1:10" x14ac:dyDescent="0.25">
      <c r="B7" s="4" t="s">
        <v>43</v>
      </c>
      <c r="C7" s="4">
        <v>245</v>
      </c>
      <c r="D7" s="4">
        <v>245</v>
      </c>
      <c r="E7" s="4">
        <v>220</v>
      </c>
      <c r="F7" s="4">
        <v>14480885</v>
      </c>
      <c r="G7" s="5" t="str">
        <f t="shared" si="0"/>
        <v>#F5F5DC</v>
      </c>
      <c r="H7" s="15" t="s">
        <v>26</v>
      </c>
      <c r="I7" s="4">
        <f>IFERROR(MATCH(B7,SysColours!A:A,0),0)</f>
        <v>305</v>
      </c>
      <c r="J7" s="4" t="str">
        <f ca="1">IF(AND(I7&lt;&gt;0,OFFSET(SysColours!$A$1,I7-1,4)=F7),"dupe","")</f>
        <v>dupe</v>
      </c>
    </row>
    <row r="8" spans="1:10" x14ac:dyDescent="0.25">
      <c r="B8" s="4" t="s">
        <v>44</v>
      </c>
      <c r="C8" s="4">
        <v>255</v>
      </c>
      <c r="D8" s="4">
        <v>228</v>
      </c>
      <c r="E8" s="4">
        <v>196</v>
      </c>
      <c r="F8" s="4">
        <v>12903679</v>
      </c>
      <c r="G8" s="5" t="str">
        <f t="shared" si="0"/>
        <v>#FFE4C4</v>
      </c>
      <c r="H8" s="16" t="s">
        <v>26</v>
      </c>
      <c r="I8" s="4">
        <f>IFERROR(MATCH(B8,SysColours!A:A,0),0)</f>
        <v>391</v>
      </c>
      <c r="J8" s="4" t="str">
        <f ca="1">IF(AND(I8&lt;&gt;0,OFFSET(SysColours!$A$1,I8-1,4)=F8),"dupe","")</f>
        <v>dupe</v>
      </c>
    </row>
    <row r="9" spans="1:10" x14ac:dyDescent="0.25">
      <c r="B9" s="4" t="s">
        <v>45</v>
      </c>
      <c r="C9" s="4">
        <v>0</v>
      </c>
      <c r="D9" s="4">
        <v>0</v>
      </c>
      <c r="E9" s="4">
        <v>0</v>
      </c>
      <c r="F9" s="4">
        <v>0</v>
      </c>
      <c r="G9" s="5" t="str">
        <f t="shared" si="0"/>
        <v>#000000</v>
      </c>
      <c r="H9" s="113" t="s">
        <v>26</v>
      </c>
      <c r="I9" s="4">
        <f>IFERROR(MATCH(B9,SysColours!A:A,0),0)</f>
        <v>670</v>
      </c>
      <c r="J9" s="4" t="str">
        <f ca="1">IF(AND(I9&lt;&gt;0,OFFSET(SysColours!$A$1,I9-1,4)=F9),"dupe","")</f>
        <v>dupe</v>
      </c>
    </row>
    <row r="10" spans="1:10" x14ac:dyDescent="0.25">
      <c r="B10" s="4" t="s">
        <v>46</v>
      </c>
      <c r="C10" s="4">
        <v>255</v>
      </c>
      <c r="D10" s="4">
        <v>235</v>
      </c>
      <c r="E10" s="4">
        <v>205</v>
      </c>
      <c r="F10" s="4">
        <v>13495295</v>
      </c>
      <c r="G10" s="5" t="str">
        <f t="shared" si="0"/>
        <v>#FFEBCD</v>
      </c>
      <c r="H10" s="17" t="s">
        <v>26</v>
      </c>
      <c r="I10" s="4">
        <f>IFERROR(MATCH(B10,SysColours!A:A,0),0)</f>
        <v>372</v>
      </c>
      <c r="J10" s="4" t="str">
        <f ca="1">IF(AND(I10&lt;&gt;0,OFFSET(SysColours!$A$1,I10-1,4)=F10),"dupe","")</f>
        <v>dupe</v>
      </c>
    </row>
    <row r="11" spans="1:10" x14ac:dyDescent="0.25">
      <c r="B11" s="4" t="s">
        <v>47</v>
      </c>
      <c r="C11" s="4">
        <v>0</v>
      </c>
      <c r="D11" s="4">
        <v>0</v>
      </c>
      <c r="E11" s="4">
        <v>255</v>
      </c>
      <c r="F11" s="4">
        <v>16711680</v>
      </c>
      <c r="G11" s="5" t="str">
        <f t="shared" si="0"/>
        <v>#0000FF</v>
      </c>
      <c r="H11" s="114" t="s">
        <v>26</v>
      </c>
      <c r="I11" s="4">
        <f>IFERROR(MATCH(B11,SysColours!A:A,0),0)</f>
        <v>134</v>
      </c>
      <c r="J11" s="4" t="str">
        <f ca="1">IF(AND(I11&lt;&gt;0,OFFSET(SysColours!$A$1,I11-1,4)=F11),"dupe","")</f>
        <v>dupe</v>
      </c>
    </row>
    <row r="12" spans="1:10" x14ac:dyDescent="0.25">
      <c r="B12" s="4" t="s">
        <v>48</v>
      </c>
      <c r="C12" s="4">
        <v>138</v>
      </c>
      <c r="D12" s="4">
        <v>43</v>
      </c>
      <c r="E12" s="4">
        <v>226</v>
      </c>
      <c r="F12" s="4">
        <v>14822282</v>
      </c>
      <c r="G12" s="5" t="str">
        <f t="shared" si="0"/>
        <v>#8A2BE2</v>
      </c>
      <c r="H12" s="115" t="s">
        <v>26</v>
      </c>
      <c r="I12" s="4">
        <f>IFERROR(MATCH(B12,SysColours!A:A,0),0)</f>
        <v>114</v>
      </c>
      <c r="J12" s="4" t="str">
        <f ca="1">IF(AND(I12&lt;&gt;0,OFFSET(SysColours!$A$1,I12-1,4)=F12),"dupe","")</f>
        <v>dupe</v>
      </c>
    </row>
    <row r="13" spans="1:10" x14ac:dyDescent="0.25">
      <c r="B13" s="4" t="s">
        <v>49</v>
      </c>
      <c r="C13" s="4">
        <v>165</v>
      </c>
      <c r="D13" s="4">
        <v>42</v>
      </c>
      <c r="E13" s="4">
        <v>42</v>
      </c>
      <c r="F13" s="4">
        <v>2763429</v>
      </c>
      <c r="G13" s="5" t="str">
        <f t="shared" si="0"/>
        <v>#A52A2A</v>
      </c>
      <c r="H13" s="116" t="s">
        <v>26</v>
      </c>
      <c r="I13" s="4">
        <f>IFERROR(MATCH(B13,SysColours!A:A,0),0)</f>
        <v>27</v>
      </c>
      <c r="J13" s="4" t="str">
        <f ca="1">IF(AND(I13&lt;&gt;0,OFFSET(SysColours!$A$1,I13-1,4)=F13),"dupe","")</f>
        <v>dupe</v>
      </c>
    </row>
    <row r="14" spans="1:10" x14ac:dyDescent="0.25">
      <c r="B14" s="4" t="s">
        <v>50</v>
      </c>
      <c r="C14" s="4">
        <v>222</v>
      </c>
      <c r="D14" s="4">
        <v>184</v>
      </c>
      <c r="E14" s="4">
        <v>135</v>
      </c>
      <c r="F14" s="4">
        <v>8894686</v>
      </c>
      <c r="G14" s="5" t="str">
        <f t="shared" si="0"/>
        <v>#DEB887</v>
      </c>
      <c r="H14" s="18" t="s">
        <v>26</v>
      </c>
      <c r="I14" s="4">
        <f>IFERROR(MATCH(B14,SysColours!A:A,0),0)</f>
        <v>381</v>
      </c>
      <c r="J14" s="4" t="str">
        <f ca="1">IF(AND(I14&lt;&gt;0,OFFSET(SysColours!$A$1,I14-1,4)=F14),"dupe","")</f>
        <v>dupe</v>
      </c>
    </row>
    <row r="15" spans="1:10" x14ac:dyDescent="0.25">
      <c r="B15" s="4" t="s">
        <v>51</v>
      </c>
      <c r="C15" s="4">
        <v>95</v>
      </c>
      <c r="D15" s="4">
        <v>158</v>
      </c>
      <c r="E15" s="4">
        <v>160</v>
      </c>
      <c r="F15" s="4">
        <v>10526303</v>
      </c>
      <c r="G15" s="5" t="str">
        <f t="shared" si="0"/>
        <v>#5F9EA0</v>
      </c>
      <c r="H15" s="19" t="s">
        <v>26</v>
      </c>
      <c r="I15" s="4">
        <f>IFERROR(MATCH(B15,SysColours!A:A,0),0)</f>
        <v>204</v>
      </c>
      <c r="J15" s="4" t="str">
        <f ca="1">IF(AND(I15&lt;&gt;0,OFFSET(SysColours!$A$1,I15-1,4)=F15),"dupe","")</f>
        <v>dupe</v>
      </c>
    </row>
    <row r="16" spans="1:10" x14ac:dyDescent="0.25">
      <c r="B16" s="4" t="s">
        <v>52</v>
      </c>
      <c r="C16" s="4">
        <v>127</v>
      </c>
      <c r="D16" s="4">
        <v>255</v>
      </c>
      <c r="E16" s="4">
        <v>0</v>
      </c>
      <c r="F16" s="4">
        <v>65407</v>
      </c>
      <c r="G16" s="5" t="str">
        <f t="shared" si="0"/>
        <v>#7FFF00</v>
      </c>
      <c r="H16" s="20" t="s">
        <v>26</v>
      </c>
      <c r="I16" s="4">
        <f>IFERROR(MATCH(B16,SysColours!A:A,0),0)</f>
        <v>284</v>
      </c>
      <c r="J16" s="4" t="str">
        <f ca="1">IF(AND(I16&lt;&gt;0,OFFSET(SysColours!$A$1,I16-1,4)=F16),"dupe","")</f>
        <v>dupe</v>
      </c>
    </row>
    <row r="17" spans="2:10" x14ac:dyDescent="0.25">
      <c r="B17" s="4" t="s">
        <v>53</v>
      </c>
      <c r="C17" s="4">
        <v>210</v>
      </c>
      <c r="D17" s="4">
        <v>105</v>
      </c>
      <c r="E17" s="4">
        <v>30</v>
      </c>
      <c r="F17" s="4">
        <v>1993170</v>
      </c>
      <c r="G17" s="5" t="str">
        <f t="shared" si="0"/>
        <v>#D2691E</v>
      </c>
      <c r="H17" s="117" t="s">
        <v>26</v>
      </c>
      <c r="I17" s="4">
        <f>IFERROR(MATCH(B17,SysColours!A:A,0),0)</f>
        <v>413</v>
      </c>
      <c r="J17" s="4" t="str">
        <f ca="1">IF(AND(I17&lt;&gt;0,OFFSET(SysColours!$A$1,I17-1,4)=F17),"dupe","")</f>
        <v>dupe</v>
      </c>
    </row>
    <row r="18" spans="2:10" x14ac:dyDescent="0.25">
      <c r="B18" s="4" t="s">
        <v>54</v>
      </c>
      <c r="C18" s="4">
        <v>255</v>
      </c>
      <c r="D18" s="4">
        <v>127</v>
      </c>
      <c r="E18" s="4">
        <v>80</v>
      </c>
      <c r="F18" s="4">
        <v>5275647</v>
      </c>
      <c r="G18" s="5" t="str">
        <f t="shared" si="0"/>
        <v>#FF7F50</v>
      </c>
      <c r="H18" s="21" t="s">
        <v>26</v>
      </c>
      <c r="I18" s="4">
        <f>IFERROR(MATCH(B18,SysColours!A:A,0),0)</f>
        <v>431</v>
      </c>
      <c r="J18" s="4" t="str">
        <f ca="1">IF(AND(I18&lt;&gt;0,OFFSET(SysColours!$A$1,I18-1,4)=F18),"dupe","")</f>
        <v>dupe</v>
      </c>
    </row>
    <row r="19" spans="2:10" x14ac:dyDescent="0.25">
      <c r="B19" s="4" t="s">
        <v>55</v>
      </c>
      <c r="C19" s="4">
        <v>100</v>
      </c>
      <c r="D19" s="4">
        <v>149</v>
      </c>
      <c r="E19" s="4">
        <v>237</v>
      </c>
      <c r="F19" s="4">
        <v>15570276</v>
      </c>
      <c r="G19" s="5" t="str">
        <f t="shared" si="0"/>
        <v>#6495ED</v>
      </c>
      <c r="H19" s="22" t="s">
        <v>26</v>
      </c>
      <c r="I19" s="4">
        <f>IFERROR(MATCH(B19,SysColours!A:A,0),0)</f>
        <v>149</v>
      </c>
      <c r="J19" s="4" t="str">
        <f ca="1">IF(AND(I19&lt;&gt;0,OFFSET(SysColours!$A$1,I19-1,4)=F19),"dupe","")</f>
        <v>dupe</v>
      </c>
    </row>
    <row r="20" spans="2:10" x14ac:dyDescent="0.25">
      <c r="B20" s="4" t="s">
        <v>56</v>
      </c>
      <c r="C20" s="4">
        <v>255</v>
      </c>
      <c r="D20" s="4">
        <v>248</v>
      </c>
      <c r="E20" s="4">
        <v>220</v>
      </c>
      <c r="F20" s="4">
        <v>14481663</v>
      </c>
      <c r="G20" s="5" t="str">
        <f t="shared" si="0"/>
        <v>#FFF8DC</v>
      </c>
      <c r="H20" s="23" t="s">
        <v>26</v>
      </c>
      <c r="I20" s="4">
        <f>IFERROR(MATCH(B20,SysColours!A:A,0),0)</f>
        <v>345</v>
      </c>
      <c r="J20" s="4" t="str">
        <f ca="1">IF(AND(I20&lt;&gt;0,OFFSET(SysColours!$A$1,I20-1,4)=F20),"dupe","")</f>
        <v>dupe</v>
      </c>
    </row>
    <row r="21" spans="2:10" x14ac:dyDescent="0.25">
      <c r="B21" s="4" t="s">
        <v>36</v>
      </c>
      <c r="C21" s="4">
        <v>220</v>
      </c>
      <c r="D21" s="4">
        <v>20</v>
      </c>
      <c r="E21" s="4">
        <v>60</v>
      </c>
      <c r="F21" s="4">
        <v>3937500</v>
      </c>
      <c r="G21" s="5" t="str">
        <f t="shared" si="0"/>
        <v>#DC143C</v>
      </c>
      <c r="H21" s="118" t="s">
        <v>26</v>
      </c>
      <c r="I21" s="4">
        <f>IFERROR(MATCH(B21,SysColours!A:A,0),0)</f>
        <v>41</v>
      </c>
      <c r="J21" s="4" t="str">
        <f ca="1">IF(AND(I21&lt;&gt;0,OFFSET(SysColours!$A$1,I21-1,4)=F21),"dupe","")</f>
        <v>dupe</v>
      </c>
    </row>
    <row r="22" spans="2:10" x14ac:dyDescent="0.25">
      <c r="B22" s="4" t="s">
        <v>57</v>
      </c>
      <c r="C22" s="4">
        <v>0</v>
      </c>
      <c r="D22" s="4">
        <v>255</v>
      </c>
      <c r="E22" s="4">
        <v>255</v>
      </c>
      <c r="F22" s="4">
        <v>16776960</v>
      </c>
      <c r="G22" s="5" t="str">
        <f t="shared" si="0"/>
        <v>#00FFFF</v>
      </c>
      <c r="H22" s="12" t="s">
        <v>26</v>
      </c>
      <c r="I22" s="4">
        <f>IFERROR(MATCH(B22,SysColours!A:A,0),0)</f>
        <v>224</v>
      </c>
      <c r="J22" s="4" t="str">
        <f ca="1">IF(AND(I22&lt;&gt;0,OFFSET(SysColours!$A$1,I22-1,4)=F22),"dupe","")</f>
        <v>dupe</v>
      </c>
    </row>
    <row r="23" spans="2:10" x14ac:dyDescent="0.25">
      <c r="B23" s="4" t="s">
        <v>58</v>
      </c>
      <c r="C23" s="4">
        <v>0</v>
      </c>
      <c r="D23" s="4">
        <v>0</v>
      </c>
      <c r="E23" s="4">
        <v>139</v>
      </c>
      <c r="F23" s="4">
        <v>9109504</v>
      </c>
      <c r="G23" s="5" t="str">
        <f t="shared" si="0"/>
        <v>#00008B</v>
      </c>
      <c r="H23" s="119" t="s">
        <v>26</v>
      </c>
      <c r="I23" s="4">
        <f>IFERROR(MATCH(B23,SysColours!A:A,0),0)</f>
        <v>140</v>
      </c>
      <c r="J23" s="4" t="str">
        <f ca="1">IF(AND(I23&lt;&gt;0,OFFSET(SysColours!$A$1,I23-1,4)=F23),"dupe","")</f>
        <v>dupe</v>
      </c>
    </row>
    <row r="24" spans="2:10" x14ac:dyDescent="0.25">
      <c r="B24" s="4" t="s">
        <v>59</v>
      </c>
      <c r="C24" s="4">
        <v>0</v>
      </c>
      <c r="D24" s="4">
        <v>139</v>
      </c>
      <c r="E24" s="4">
        <v>139</v>
      </c>
      <c r="F24" s="4">
        <v>9145088</v>
      </c>
      <c r="G24" s="5" t="str">
        <f t="shared" si="0"/>
        <v>#008B8B</v>
      </c>
      <c r="H24" s="120" t="s">
        <v>26</v>
      </c>
      <c r="I24" s="4">
        <f>IFERROR(MATCH(B24,SysColours!A:A,0),0)</f>
        <v>231</v>
      </c>
      <c r="J24" s="4" t="str">
        <f ca="1">IF(AND(I24&lt;&gt;0,OFFSET(SysColours!$A$1,I24-1,4)=F24),"dupe","")</f>
        <v>dupe</v>
      </c>
    </row>
    <row r="25" spans="2:10" x14ac:dyDescent="0.25">
      <c r="B25" s="4" t="s">
        <v>178</v>
      </c>
      <c r="C25" s="4">
        <v>184</v>
      </c>
      <c r="D25" s="4">
        <v>134</v>
      </c>
      <c r="E25" s="4">
        <v>11</v>
      </c>
      <c r="F25" s="4">
        <v>755384</v>
      </c>
      <c r="G25" s="5" t="str">
        <f t="shared" si="0"/>
        <v>#B8860B</v>
      </c>
      <c r="H25" s="121" t="s">
        <v>26</v>
      </c>
      <c r="I25" s="4">
        <f>IFERROR(MATCH(B25,SysColours!A:A,0),0)</f>
        <v>352</v>
      </c>
      <c r="J25" s="4" t="str">
        <f ca="1">IF(AND(I25&lt;&gt;0,OFFSET(SysColours!$A$1,I25-1,4)=F25),"dupe","")</f>
        <v>dupe</v>
      </c>
    </row>
    <row r="26" spans="2:10" x14ac:dyDescent="0.25">
      <c r="B26" s="4" t="s">
        <v>60</v>
      </c>
      <c r="C26" s="4">
        <v>169</v>
      </c>
      <c r="D26" s="4">
        <v>169</v>
      </c>
      <c r="E26" s="4">
        <v>169</v>
      </c>
      <c r="F26" s="4">
        <v>11119017</v>
      </c>
      <c r="G26" s="5" t="str">
        <f t="shared" si="0"/>
        <v>#A9A9A9</v>
      </c>
      <c r="H26" s="24" t="s">
        <v>26</v>
      </c>
      <c r="I26" s="4">
        <f>IFERROR(MATCH(B26,SysColours!A:A,0),0)</f>
        <v>532</v>
      </c>
      <c r="J26" s="4" t="str">
        <f ca="1">IF(AND(I26&lt;&gt;0,OFFSET(SysColours!$A$1,I26-1,4)=F26),"dupe","")</f>
        <v>dupe</v>
      </c>
    </row>
    <row r="27" spans="2:10" x14ac:dyDescent="0.25">
      <c r="B27" s="4" t="s">
        <v>175</v>
      </c>
      <c r="C27" s="4">
        <v>0</v>
      </c>
      <c r="D27" s="4">
        <v>100</v>
      </c>
      <c r="E27" s="4">
        <v>0</v>
      </c>
      <c r="F27" s="4">
        <v>25600</v>
      </c>
      <c r="G27" s="5" t="str">
        <f t="shared" si="0"/>
        <v>#006400</v>
      </c>
      <c r="H27" s="122" t="s">
        <v>26</v>
      </c>
      <c r="I27" s="4">
        <f>IFERROR(MATCH(B27,SysColours!A:A,0),0)</f>
        <v>282</v>
      </c>
      <c r="J27" s="4" t="str">
        <f ca="1">IF(AND(I27&lt;&gt;0,OFFSET(SysColours!$A$1,I27-1,4)=F27),"dupe","")</f>
        <v>dupe</v>
      </c>
    </row>
    <row r="28" spans="2:10" x14ac:dyDescent="0.25">
      <c r="B28" s="4" t="s">
        <v>61</v>
      </c>
      <c r="C28" s="4">
        <v>169</v>
      </c>
      <c r="D28" s="4">
        <v>169</v>
      </c>
      <c r="E28" s="4">
        <v>169</v>
      </c>
      <c r="F28" s="4">
        <v>11119017</v>
      </c>
      <c r="G28" s="5" t="str">
        <f t="shared" si="0"/>
        <v>#A9A9A9</v>
      </c>
      <c r="H28" s="24" t="s">
        <v>26</v>
      </c>
      <c r="I28" s="4">
        <f>IFERROR(MATCH(B28,SysColours!A:A,0),0)</f>
        <v>533</v>
      </c>
      <c r="J28" s="4" t="str">
        <f ca="1">IF(AND(I28&lt;&gt;0,OFFSET(SysColours!$A$1,I28-1,4)=F28),"dupe","")</f>
        <v>dupe</v>
      </c>
    </row>
    <row r="29" spans="2:10" x14ac:dyDescent="0.25">
      <c r="B29" s="4" t="s">
        <v>62</v>
      </c>
      <c r="C29" s="4">
        <v>189</v>
      </c>
      <c r="D29" s="4">
        <v>183</v>
      </c>
      <c r="E29" s="4">
        <v>107</v>
      </c>
      <c r="F29" s="4">
        <v>7059389</v>
      </c>
      <c r="G29" s="5" t="str">
        <f t="shared" si="0"/>
        <v>#BDB76B</v>
      </c>
      <c r="H29" s="25" t="s">
        <v>26</v>
      </c>
      <c r="I29" s="4">
        <f>IFERROR(MATCH(B29,SysColours!A:A,0),0)</f>
        <v>319</v>
      </c>
      <c r="J29" s="4" t="str">
        <f ca="1">IF(AND(I29&lt;&gt;0,OFFSET(SysColours!$A$1,I29-1,4)=F29),"dupe","")</f>
        <v>dupe</v>
      </c>
    </row>
    <row r="30" spans="2:10" x14ac:dyDescent="0.25">
      <c r="B30" s="4" t="s">
        <v>63</v>
      </c>
      <c r="C30" s="4">
        <v>139</v>
      </c>
      <c r="D30" s="4">
        <v>0</v>
      </c>
      <c r="E30" s="4">
        <v>139</v>
      </c>
      <c r="F30" s="4">
        <v>9109643</v>
      </c>
      <c r="G30" s="5" t="str">
        <f t="shared" si="0"/>
        <v>#8B008B</v>
      </c>
      <c r="H30" s="123" t="s">
        <v>26</v>
      </c>
      <c r="I30" s="4">
        <f>IFERROR(MATCH(B30,SysColours!A:A,0),0)</f>
        <v>98</v>
      </c>
      <c r="J30" s="4" t="str">
        <f ca="1">IF(AND(I30&lt;&gt;0,OFFSET(SysColours!$A$1,I30-1,4)=F30),"dupe","")</f>
        <v>dupe</v>
      </c>
    </row>
    <row r="31" spans="2:10" x14ac:dyDescent="0.25">
      <c r="B31" s="4" t="s">
        <v>64</v>
      </c>
      <c r="C31" s="4">
        <v>85</v>
      </c>
      <c r="D31" s="4">
        <v>107</v>
      </c>
      <c r="E31" s="4">
        <v>47</v>
      </c>
      <c r="F31" s="4">
        <v>3107669</v>
      </c>
      <c r="G31" s="5" t="str">
        <f t="shared" si="0"/>
        <v>#556B2F</v>
      </c>
      <c r="H31" s="124" t="s">
        <v>26</v>
      </c>
      <c r="I31" s="4">
        <f>IFERROR(MATCH(B31,SysColours!A:A,0),0)</f>
        <v>294</v>
      </c>
      <c r="J31" s="4" t="str">
        <f ca="1">IF(AND(I31&lt;&gt;0,OFFSET(SysColours!$A$1,I31-1,4)=F31),"dupe","")</f>
        <v>dupe</v>
      </c>
    </row>
    <row r="32" spans="2:10" x14ac:dyDescent="0.25">
      <c r="B32" s="4" t="s">
        <v>65</v>
      </c>
      <c r="C32" s="4">
        <v>255</v>
      </c>
      <c r="D32" s="4">
        <v>140</v>
      </c>
      <c r="E32" s="4">
        <v>0</v>
      </c>
      <c r="F32" s="4">
        <v>36095</v>
      </c>
      <c r="G32" s="5" t="str">
        <f t="shared" si="0"/>
        <v>#FF8C00</v>
      </c>
      <c r="H32" s="26" t="s">
        <v>26</v>
      </c>
      <c r="I32" s="4">
        <f>IFERROR(MATCH(B32,SysColours!A:A,0),0)</f>
        <v>389</v>
      </c>
      <c r="J32" s="4" t="str">
        <f ca="1">IF(AND(I32&lt;&gt;0,OFFSET(SysColours!$A$1,I32-1,4)=F32),"dupe","")</f>
        <v>dupe</v>
      </c>
    </row>
    <row r="33" spans="2:10" x14ac:dyDescent="0.25">
      <c r="B33" s="4" t="s">
        <v>66</v>
      </c>
      <c r="C33" s="4">
        <v>153</v>
      </c>
      <c r="D33" s="4">
        <v>50</v>
      </c>
      <c r="E33" s="4">
        <v>204</v>
      </c>
      <c r="F33" s="4">
        <v>13382297</v>
      </c>
      <c r="G33" s="5" t="str">
        <f t="shared" si="0"/>
        <v>#9932CC</v>
      </c>
      <c r="H33" s="125" t="s">
        <v>26</v>
      </c>
      <c r="I33" s="4">
        <f>IFERROR(MATCH(B33,SysColours!A:A,0),0)</f>
        <v>107</v>
      </c>
      <c r="J33" s="4" t="str">
        <f ca="1">IF(AND(I33&lt;&gt;0,OFFSET(SysColours!$A$1,I33-1,4)=F33),"dupe","")</f>
        <v>dupe</v>
      </c>
    </row>
    <row r="34" spans="2:10" x14ac:dyDescent="0.25">
      <c r="B34" s="4" t="s">
        <v>67</v>
      </c>
      <c r="C34" s="4">
        <v>139</v>
      </c>
      <c r="D34" s="4">
        <v>0</v>
      </c>
      <c r="E34" s="4">
        <v>0</v>
      </c>
      <c r="F34" s="4">
        <v>139</v>
      </c>
      <c r="G34" s="5" t="str">
        <f t="shared" si="0"/>
        <v>#8B0000</v>
      </c>
      <c r="H34" s="126" t="s">
        <v>26</v>
      </c>
      <c r="I34" s="4">
        <f>IFERROR(MATCH(B34,SysColours!A:A,0),0)</f>
        <v>32</v>
      </c>
      <c r="J34" s="4" t="str">
        <f ca="1">IF(AND(I34&lt;&gt;0,OFFSET(SysColours!$A$1,I34-1,4)=F34),"dupe","")</f>
        <v>dupe</v>
      </c>
    </row>
    <row r="35" spans="2:10" x14ac:dyDescent="0.25">
      <c r="B35" s="4" t="s">
        <v>68</v>
      </c>
      <c r="C35" s="4">
        <v>233</v>
      </c>
      <c r="D35" s="4">
        <v>150</v>
      </c>
      <c r="E35" s="4">
        <v>122</v>
      </c>
      <c r="F35" s="4">
        <v>8034025</v>
      </c>
      <c r="G35" s="5" t="str">
        <f t="shared" ref="G35:G66" si="1">rgb2hex(F35)</f>
        <v>#E9967A</v>
      </c>
      <c r="H35" s="27" t="s">
        <v>26</v>
      </c>
      <c r="I35" s="4">
        <f>IFERROR(MATCH(B35,SysColours!A:A,0),0)</f>
        <v>437</v>
      </c>
      <c r="J35" s="4" t="str">
        <f ca="1">IF(AND(I35&lt;&gt;0,OFFSET(SysColours!$A$1,I35-1,4)=F35),"dupe","")</f>
        <v>dupe</v>
      </c>
    </row>
    <row r="36" spans="2:10" x14ac:dyDescent="0.25">
      <c r="B36" s="4" t="s">
        <v>69</v>
      </c>
      <c r="C36" s="4">
        <v>143</v>
      </c>
      <c r="D36" s="4">
        <v>188</v>
      </c>
      <c r="E36" s="4">
        <v>143</v>
      </c>
      <c r="F36" s="4">
        <v>9419919</v>
      </c>
      <c r="G36" s="5" t="str">
        <f t="shared" si="1"/>
        <v>#8FBC8F</v>
      </c>
      <c r="H36" s="28" t="s">
        <v>26</v>
      </c>
      <c r="I36" s="4">
        <f>IFERROR(MATCH(B36,SysColours!A:A,0),0)</f>
        <v>269</v>
      </c>
      <c r="J36" s="4" t="str">
        <f ca="1">IF(AND(I36&lt;&gt;0,OFFSET(SysColours!$A$1,I36-1,4)=F36),"dupe","")</f>
        <v>dupe</v>
      </c>
    </row>
    <row r="37" spans="2:10" x14ac:dyDescent="0.25">
      <c r="B37" s="4" t="s">
        <v>70</v>
      </c>
      <c r="C37" s="4">
        <v>72</v>
      </c>
      <c r="D37" s="4">
        <v>61</v>
      </c>
      <c r="E37" s="4">
        <v>139</v>
      </c>
      <c r="F37" s="4">
        <v>9125192</v>
      </c>
      <c r="G37" s="5" t="str">
        <f t="shared" si="1"/>
        <v>#483D8B</v>
      </c>
      <c r="H37" s="127" t="s">
        <v>26</v>
      </c>
      <c r="I37" s="4">
        <f>IFERROR(MATCH(B37,SysColours!A:A,0),0)</f>
        <v>124</v>
      </c>
      <c r="J37" s="4" t="str">
        <f ca="1">IF(AND(I37&lt;&gt;0,OFFSET(SysColours!$A$1,I37-1,4)=F37),"dupe","")</f>
        <v>dupe</v>
      </c>
    </row>
    <row r="38" spans="2:10" x14ac:dyDescent="0.25">
      <c r="B38" s="4" t="s">
        <v>71</v>
      </c>
      <c r="C38" s="4">
        <v>47</v>
      </c>
      <c r="D38" s="4">
        <v>79</v>
      </c>
      <c r="E38" s="4">
        <v>79</v>
      </c>
      <c r="F38" s="4">
        <v>5197615</v>
      </c>
      <c r="G38" s="5" t="str">
        <f t="shared" si="1"/>
        <v>#2F4F4F</v>
      </c>
      <c r="H38" s="128" t="s">
        <v>26</v>
      </c>
      <c r="I38" s="4">
        <f>IFERROR(MATCH(B38,SysColours!A:A,0),0)</f>
        <v>233</v>
      </c>
      <c r="J38" s="4" t="str">
        <f ca="1">IF(AND(I38&lt;&gt;0,OFFSET(SysColours!$A$1,I38-1,4)=F38),"dupe","")</f>
        <v>dupe</v>
      </c>
    </row>
    <row r="39" spans="2:10" x14ac:dyDescent="0.25">
      <c r="B39" s="4" t="s">
        <v>72</v>
      </c>
      <c r="C39" s="4">
        <v>47</v>
      </c>
      <c r="D39" s="4">
        <v>79</v>
      </c>
      <c r="E39" s="4">
        <v>79</v>
      </c>
      <c r="F39" s="4">
        <v>5197615</v>
      </c>
      <c r="G39" s="5" t="str">
        <f t="shared" si="1"/>
        <v>#2F4F4F</v>
      </c>
      <c r="H39" s="128" t="s">
        <v>26</v>
      </c>
      <c r="I39" s="4">
        <f>IFERROR(MATCH(B39,SysColours!A:A,0),0)</f>
        <v>234</v>
      </c>
      <c r="J39" s="4" t="str">
        <f ca="1">IF(AND(I39&lt;&gt;0,OFFSET(SysColours!$A$1,I39-1,4)=F39),"dupe","")</f>
        <v>dupe</v>
      </c>
    </row>
    <row r="40" spans="2:10" x14ac:dyDescent="0.25">
      <c r="B40" s="4" t="s">
        <v>73</v>
      </c>
      <c r="C40" s="4">
        <v>0</v>
      </c>
      <c r="D40" s="4">
        <v>206</v>
      </c>
      <c r="E40" s="4">
        <v>209</v>
      </c>
      <c r="F40" s="4">
        <v>13749760</v>
      </c>
      <c r="G40" s="5" t="str">
        <f t="shared" si="1"/>
        <v>#00CED1</v>
      </c>
      <c r="H40" s="29" t="s">
        <v>26</v>
      </c>
      <c r="I40" s="4">
        <f>IFERROR(MATCH(B40,SysColours!A:A,0),0)</f>
        <v>205</v>
      </c>
      <c r="J40" s="4" t="str">
        <f ca="1">IF(AND(I40&lt;&gt;0,OFFSET(SysColours!$A$1,I40-1,4)=F40),"dupe","")</f>
        <v>dupe</v>
      </c>
    </row>
    <row r="41" spans="2:10" x14ac:dyDescent="0.25">
      <c r="B41" s="4" t="s">
        <v>74</v>
      </c>
      <c r="C41" s="4">
        <v>148</v>
      </c>
      <c r="D41" s="4">
        <v>0</v>
      </c>
      <c r="E41" s="4">
        <v>211</v>
      </c>
      <c r="F41" s="4">
        <v>13828244</v>
      </c>
      <c r="G41" s="5" t="str">
        <f t="shared" si="1"/>
        <v>#9400D3</v>
      </c>
      <c r="H41" s="129" t="s">
        <v>26</v>
      </c>
      <c r="I41" s="4">
        <f>IFERROR(MATCH(B41,SysColours!A:A,0),0)</f>
        <v>106</v>
      </c>
      <c r="J41" s="4" t="str">
        <f ca="1">IF(AND(I41&lt;&gt;0,OFFSET(SysColours!$A$1,I41-1,4)=F41),"dupe","")</f>
        <v>dupe</v>
      </c>
    </row>
    <row r="42" spans="2:10" x14ac:dyDescent="0.25">
      <c r="B42" s="4" t="s">
        <v>75</v>
      </c>
      <c r="C42" s="4">
        <v>255</v>
      </c>
      <c r="D42" s="4">
        <v>20</v>
      </c>
      <c r="E42" s="4">
        <v>147</v>
      </c>
      <c r="F42" s="4">
        <v>9639167</v>
      </c>
      <c r="G42" s="5" t="str">
        <f t="shared" si="1"/>
        <v>#FF1493</v>
      </c>
      <c r="H42" s="130" t="s">
        <v>26</v>
      </c>
      <c r="I42" s="4">
        <f>IFERROR(MATCH(B42,SysColours!A:A,0),0)</f>
        <v>66</v>
      </c>
      <c r="J42" s="4" t="str">
        <f ca="1">IF(AND(I42&lt;&gt;0,OFFSET(SysColours!$A$1,I42-1,4)=F42),"dupe","")</f>
        <v>dupe</v>
      </c>
    </row>
    <row r="43" spans="2:10" x14ac:dyDescent="0.25">
      <c r="B43" s="4" t="s">
        <v>76</v>
      </c>
      <c r="C43" s="4">
        <v>0</v>
      </c>
      <c r="D43" s="4">
        <v>191</v>
      </c>
      <c r="E43" s="4">
        <v>255</v>
      </c>
      <c r="F43" s="4">
        <v>16760576</v>
      </c>
      <c r="G43" s="5" t="str">
        <f t="shared" si="1"/>
        <v>#00BFFF</v>
      </c>
      <c r="H43" s="30" t="s">
        <v>26</v>
      </c>
      <c r="I43" s="4">
        <f>IFERROR(MATCH(B43,SysColours!A:A,0),0)</f>
        <v>185</v>
      </c>
      <c r="J43" s="4" t="str">
        <f ca="1">IF(AND(I43&lt;&gt;0,OFFSET(SysColours!$A$1,I43-1,4)=F43),"dupe","")</f>
        <v>dupe</v>
      </c>
    </row>
    <row r="44" spans="2:10" x14ac:dyDescent="0.25">
      <c r="B44" s="4" t="s">
        <v>77</v>
      </c>
      <c r="C44" s="4">
        <v>105</v>
      </c>
      <c r="D44" s="4">
        <v>105</v>
      </c>
      <c r="E44" s="4">
        <v>105</v>
      </c>
      <c r="F44" s="4">
        <v>6908265</v>
      </c>
      <c r="G44" s="5" t="str">
        <f t="shared" si="1"/>
        <v>#696969</v>
      </c>
      <c r="H44" s="131" t="s">
        <v>26</v>
      </c>
      <c r="I44" s="4">
        <f>IFERROR(MATCH(B44,SysColours!A:A,0),0)</f>
        <v>586</v>
      </c>
      <c r="J44" s="4" t="str">
        <f ca="1">IF(AND(I44&lt;&gt;0,OFFSET(SysColours!$A$1,I44-1,4)=F44),"dupe","")</f>
        <v>dupe</v>
      </c>
    </row>
    <row r="45" spans="2:10" x14ac:dyDescent="0.25">
      <c r="B45" s="4" t="s">
        <v>78</v>
      </c>
      <c r="C45" s="4">
        <v>105</v>
      </c>
      <c r="D45" s="4">
        <v>105</v>
      </c>
      <c r="E45" s="4">
        <v>105</v>
      </c>
      <c r="F45" s="4">
        <v>6908265</v>
      </c>
      <c r="G45" s="5" t="str">
        <f t="shared" si="1"/>
        <v>#696969</v>
      </c>
      <c r="H45" s="131" t="s">
        <v>26</v>
      </c>
      <c r="I45" s="4">
        <f>IFERROR(MATCH(B45,SysColours!A:A,0),0)</f>
        <v>587</v>
      </c>
      <c r="J45" s="4" t="str">
        <f ca="1">IF(AND(I45&lt;&gt;0,OFFSET(SysColours!$A$1,I45-1,4)=F45),"dupe","")</f>
        <v>dupe</v>
      </c>
    </row>
    <row r="46" spans="2:10" x14ac:dyDescent="0.25">
      <c r="B46" s="4" t="s">
        <v>79</v>
      </c>
      <c r="C46" s="4">
        <v>30</v>
      </c>
      <c r="D46" s="4">
        <v>144</v>
      </c>
      <c r="E46" s="4">
        <v>255</v>
      </c>
      <c r="F46" s="4">
        <v>16748574</v>
      </c>
      <c r="G46" s="5" t="str">
        <f t="shared" si="1"/>
        <v>#1E90FF</v>
      </c>
      <c r="H46" s="132" t="s">
        <v>26</v>
      </c>
      <c r="I46" s="4">
        <f>IFERROR(MATCH(B46,SysColours!A:A,0),0)</f>
        <v>163</v>
      </c>
      <c r="J46" s="4" t="str">
        <f ca="1">IF(AND(I46&lt;&gt;0,OFFSET(SysColours!$A$1,I46-1,4)=F46),"dupe","")</f>
        <v>dupe</v>
      </c>
    </row>
    <row r="47" spans="2:10" x14ac:dyDescent="0.25">
      <c r="B47" s="4" t="s">
        <v>80</v>
      </c>
      <c r="C47" s="4">
        <v>178</v>
      </c>
      <c r="D47" s="4">
        <v>34</v>
      </c>
      <c r="E47" s="4">
        <v>34</v>
      </c>
      <c r="F47" s="4">
        <v>2237106</v>
      </c>
      <c r="G47" s="5" t="str">
        <f t="shared" si="1"/>
        <v>#B22222</v>
      </c>
      <c r="H47" s="133" t="s">
        <v>26</v>
      </c>
      <c r="I47" s="4">
        <f>IFERROR(MATCH(B47,SysColours!A:A,0),0)</f>
        <v>26</v>
      </c>
      <c r="J47" s="4" t="str">
        <f ca="1">IF(AND(I47&lt;&gt;0,OFFSET(SysColours!$A$1,I47-1,4)=F47),"dupe","")</f>
        <v>dupe</v>
      </c>
    </row>
    <row r="48" spans="2:10" x14ac:dyDescent="0.25">
      <c r="B48" s="4" t="s">
        <v>81</v>
      </c>
      <c r="C48" s="4">
        <v>255</v>
      </c>
      <c r="D48" s="4">
        <v>250</v>
      </c>
      <c r="E48" s="4">
        <v>240</v>
      </c>
      <c r="F48" s="4">
        <v>15792895</v>
      </c>
      <c r="G48" s="5" t="str">
        <f t="shared" si="1"/>
        <v>#FFFAF0</v>
      </c>
      <c r="H48" s="31" t="s">
        <v>26</v>
      </c>
      <c r="I48" s="4">
        <f>IFERROR(MATCH(B48,SysColours!A:A,0),0)</f>
        <v>357</v>
      </c>
      <c r="J48" s="4" t="str">
        <f ca="1">IF(AND(I48&lt;&gt;0,OFFSET(SysColours!$A$1,I48-1,4)=F48),"dupe","")</f>
        <v>dupe</v>
      </c>
    </row>
    <row r="49" spans="2:10" x14ac:dyDescent="0.25">
      <c r="B49" s="4" t="s">
        <v>82</v>
      </c>
      <c r="C49" s="4">
        <v>34</v>
      </c>
      <c r="D49" s="4">
        <v>139</v>
      </c>
      <c r="E49" s="4">
        <v>34</v>
      </c>
      <c r="F49" s="4">
        <v>2263842</v>
      </c>
      <c r="G49" s="5" t="str">
        <f t="shared" si="1"/>
        <v>#228B22</v>
      </c>
      <c r="H49" s="134" t="s">
        <v>26</v>
      </c>
      <c r="I49" s="4">
        <f>IFERROR(MATCH(B49,SysColours!A:A,0),0)</f>
        <v>279</v>
      </c>
      <c r="J49" s="4" t="str">
        <f ca="1">IF(AND(I49&lt;&gt;0,OFFSET(SysColours!$A$1,I49-1,4)=F49),"dupe","")</f>
        <v>dupe</v>
      </c>
    </row>
    <row r="50" spans="2:10" x14ac:dyDescent="0.25">
      <c r="B50" s="4" t="s">
        <v>83</v>
      </c>
      <c r="C50" s="4">
        <v>255</v>
      </c>
      <c r="D50" s="4">
        <v>0</v>
      </c>
      <c r="E50" s="4">
        <v>255</v>
      </c>
      <c r="F50" s="4">
        <v>16711935</v>
      </c>
      <c r="G50" s="5" t="str">
        <f t="shared" si="1"/>
        <v>#FF00FF</v>
      </c>
      <c r="H50" s="135" t="s">
        <v>26</v>
      </c>
      <c r="I50" s="4">
        <f>IFERROR(MATCH(B50,SysColours!A:A,0),0)</f>
        <v>92</v>
      </c>
      <c r="J50" s="4" t="str">
        <f ca="1">IF(AND(I50&lt;&gt;0,OFFSET(SysColours!$A$1,I50-1,4)=F50),"dupe","")</f>
        <v>dupe</v>
      </c>
    </row>
    <row r="51" spans="2:10" x14ac:dyDescent="0.25">
      <c r="B51" s="4" t="s">
        <v>84</v>
      </c>
      <c r="C51" s="4">
        <v>220</v>
      </c>
      <c r="D51" s="4">
        <v>220</v>
      </c>
      <c r="E51" s="4">
        <v>220</v>
      </c>
      <c r="F51" s="4">
        <v>14474460</v>
      </c>
      <c r="G51" s="5" t="str">
        <f t="shared" si="1"/>
        <v>#DCDCDC</v>
      </c>
      <c r="H51" s="32" t="s">
        <v>26</v>
      </c>
      <c r="I51" s="4">
        <f>IFERROR(MATCH(B51,SysColours!A:A,0),0)</f>
        <v>488</v>
      </c>
      <c r="J51" s="4" t="str">
        <f ca="1">IF(AND(I51&lt;&gt;0,OFFSET(SysColours!$A$1,I51-1,4)=F51),"dupe","")</f>
        <v>dupe</v>
      </c>
    </row>
    <row r="52" spans="2:10" x14ac:dyDescent="0.25">
      <c r="B52" s="4" t="s">
        <v>85</v>
      </c>
      <c r="C52" s="4">
        <v>248</v>
      </c>
      <c r="D52" s="4">
        <v>248</v>
      </c>
      <c r="E52" s="4">
        <v>255</v>
      </c>
      <c r="F52" s="4">
        <v>16775416</v>
      </c>
      <c r="G52" s="5" t="str">
        <f t="shared" si="1"/>
        <v>#F8F8FF</v>
      </c>
      <c r="H52" s="33" t="s">
        <v>26</v>
      </c>
      <c r="I52" s="4">
        <f>IFERROR(MATCH(B52,SysColours!A:A,0),0)</f>
        <v>132</v>
      </c>
      <c r="J52" s="4" t="str">
        <f ca="1">IF(AND(I52&lt;&gt;0,OFFSET(SysColours!$A$1,I52-1,4)=F52),"dupe","")</f>
        <v>dupe</v>
      </c>
    </row>
    <row r="53" spans="2:10" x14ac:dyDescent="0.25">
      <c r="B53" s="4" t="s">
        <v>86</v>
      </c>
      <c r="C53" s="4">
        <v>255</v>
      </c>
      <c r="D53" s="4">
        <v>215</v>
      </c>
      <c r="E53" s="4">
        <v>0</v>
      </c>
      <c r="F53" s="4">
        <v>55295</v>
      </c>
      <c r="G53" s="5" t="str">
        <f t="shared" si="1"/>
        <v>#FFD700</v>
      </c>
      <c r="H53" s="34" t="s">
        <v>26</v>
      </c>
      <c r="I53" s="4">
        <f>IFERROR(MATCH(B53,SysColours!A:A,0),0)</f>
        <v>333</v>
      </c>
      <c r="J53" s="4" t="str">
        <f ca="1">IF(AND(I53&lt;&gt;0,OFFSET(SysColours!$A$1,I53-1,4)=F53),"dupe","")</f>
        <v>dupe</v>
      </c>
    </row>
    <row r="54" spans="2:10" x14ac:dyDescent="0.25">
      <c r="B54" s="4" t="s">
        <v>177</v>
      </c>
      <c r="C54" s="4">
        <v>218</v>
      </c>
      <c r="D54" s="4">
        <v>165</v>
      </c>
      <c r="E54" s="4">
        <v>32</v>
      </c>
      <c r="F54" s="4">
        <v>2139610</v>
      </c>
      <c r="G54" s="5" t="str">
        <f t="shared" si="1"/>
        <v>#DAA520</v>
      </c>
      <c r="H54" s="35" t="s">
        <v>26</v>
      </c>
      <c r="I54" s="4">
        <f>IFERROR(MATCH(B54,SysColours!A:A,0),0)</f>
        <v>347</v>
      </c>
      <c r="J54" s="4" t="str">
        <f ca="1">IF(AND(I54&lt;&gt;0,OFFSET(SysColours!$A$1,I54-1,4)=F54),"dupe","")</f>
        <v>dupe</v>
      </c>
    </row>
    <row r="55" spans="2:10" x14ac:dyDescent="0.25">
      <c r="B55" s="4" t="s">
        <v>87</v>
      </c>
      <c r="C55" s="4">
        <v>128</v>
      </c>
      <c r="D55" s="4">
        <v>128</v>
      </c>
      <c r="E55" s="4">
        <v>128</v>
      </c>
      <c r="F55" s="4">
        <v>8421504</v>
      </c>
      <c r="G55" s="5" t="str">
        <f t="shared" si="1"/>
        <v>#808080</v>
      </c>
      <c r="H55" s="136" t="s">
        <v>26</v>
      </c>
      <c r="I55" s="4">
        <f>IFERROR(MATCH(B55,SysColours!A:A,0),0)</f>
        <v>569</v>
      </c>
      <c r="J55" s="4" t="str">
        <f ca="1">IF(AND(I55&lt;&gt;0,OFFSET(SysColours!$A$1,I55-1,4)=F55),"dupe","")</f>
        <v/>
      </c>
    </row>
    <row r="56" spans="2:10" x14ac:dyDescent="0.25">
      <c r="B56" s="4" t="s">
        <v>189</v>
      </c>
      <c r="C56" s="5">
        <v>229</v>
      </c>
      <c r="D56" s="5">
        <v>229</v>
      </c>
      <c r="E56" s="5">
        <v>229</v>
      </c>
      <c r="F56" s="4">
        <v>15066597</v>
      </c>
      <c r="G56" s="5" t="str">
        <f t="shared" si="1"/>
        <v>#E5E5E5</v>
      </c>
      <c r="H56" s="36" t="s">
        <v>26</v>
      </c>
      <c r="I56" s="4">
        <f>IFERROR(MATCH(B56,SysColours!A:A,0),0)</f>
        <v>650</v>
      </c>
      <c r="J56" s="4" t="str">
        <f ca="1">IF(AND(I56&lt;&gt;0,OFFSET(SysColours!$A$1,I56-1,4)=F56),"dupe","")</f>
        <v/>
      </c>
    </row>
    <row r="57" spans="2:10" x14ac:dyDescent="0.25">
      <c r="B57" s="4" t="s">
        <v>190</v>
      </c>
      <c r="C57" s="5">
        <v>204</v>
      </c>
      <c r="D57" s="5">
        <v>204</v>
      </c>
      <c r="E57" s="5">
        <v>204</v>
      </c>
      <c r="F57" s="4">
        <v>13421772</v>
      </c>
      <c r="G57" s="5" t="str">
        <f t="shared" si="1"/>
        <v>#CCCCCC</v>
      </c>
      <c r="H57" s="37" t="s">
        <v>26</v>
      </c>
      <c r="I57" s="4">
        <f>IFERROR(MATCH(B57,SysColours!A:A,0),0)</f>
        <v>630</v>
      </c>
      <c r="J57" s="4" t="str">
        <f ca="1">IF(AND(I57&lt;&gt;0,OFFSET(SysColours!$A$1,I57-1,4)=F57),"dupe","")</f>
        <v/>
      </c>
    </row>
    <row r="58" spans="2:10" x14ac:dyDescent="0.25">
      <c r="B58" s="4" t="s">
        <v>182</v>
      </c>
      <c r="C58" s="5">
        <v>179</v>
      </c>
      <c r="D58" s="5">
        <v>179</v>
      </c>
      <c r="E58" s="5">
        <v>179</v>
      </c>
      <c r="F58" s="4">
        <v>11776947</v>
      </c>
      <c r="G58" s="5" t="str">
        <f t="shared" si="1"/>
        <v>#B3B3B3</v>
      </c>
      <c r="H58" s="38" t="s">
        <v>26</v>
      </c>
      <c r="I58" s="4">
        <f>IFERROR(MATCH(B58,SysColours!A:A,0),0)</f>
        <v>610</v>
      </c>
      <c r="J58" s="4" t="str">
        <f ca="1">IF(AND(I58&lt;&gt;0,OFFSET(SysColours!$A$1,I58-1,4)=F58),"dupe","")</f>
        <v/>
      </c>
    </row>
    <row r="59" spans="2:10" x14ac:dyDescent="0.25">
      <c r="B59" s="4" t="s">
        <v>183</v>
      </c>
      <c r="C59" s="5">
        <v>153</v>
      </c>
      <c r="D59" s="5">
        <v>153</v>
      </c>
      <c r="E59" s="5">
        <v>153</v>
      </c>
      <c r="F59" s="4">
        <v>10066329</v>
      </c>
      <c r="G59" s="5" t="str">
        <f t="shared" si="1"/>
        <v>#999999</v>
      </c>
      <c r="H59" s="39" t="s">
        <v>26</v>
      </c>
      <c r="I59" s="4">
        <f>IFERROR(MATCH(B59,SysColours!A:A,0),0)</f>
        <v>590</v>
      </c>
      <c r="J59" s="4" t="str">
        <f ca="1">IF(AND(I59&lt;&gt;0,OFFSET(SysColours!$A$1,I59-1,4)=F59),"dupe","")</f>
        <v/>
      </c>
    </row>
    <row r="60" spans="2:10" x14ac:dyDescent="0.25">
      <c r="B60" s="4" t="s">
        <v>184</v>
      </c>
      <c r="C60" s="4">
        <v>128</v>
      </c>
      <c r="D60" s="4">
        <v>128</v>
      </c>
      <c r="E60" s="4">
        <v>128</v>
      </c>
      <c r="F60" s="4">
        <v>8421504</v>
      </c>
      <c r="G60" s="5" t="str">
        <f t="shared" si="1"/>
        <v>#808080</v>
      </c>
      <c r="H60" s="136" t="s">
        <v>26</v>
      </c>
      <c r="I60" s="4">
        <f>IFERROR(MATCH(B60,SysColours!A:A,0),0)</f>
        <v>567</v>
      </c>
      <c r="J60" s="4" t="str">
        <f ca="1">IF(AND(I60&lt;&gt;0,OFFSET(SysColours!$A$1,I60-1,4)=F60),"dupe","")</f>
        <v/>
      </c>
    </row>
    <row r="61" spans="2:10" x14ac:dyDescent="0.25">
      <c r="B61" s="4" t="s">
        <v>185</v>
      </c>
      <c r="C61" s="5">
        <v>102</v>
      </c>
      <c r="D61" s="5">
        <v>102</v>
      </c>
      <c r="E61" s="5">
        <v>102</v>
      </c>
      <c r="F61" s="4">
        <v>6710886</v>
      </c>
      <c r="G61" s="5" t="str">
        <f t="shared" si="1"/>
        <v>#666666</v>
      </c>
      <c r="H61" s="137" t="s">
        <v>26</v>
      </c>
      <c r="I61" s="4">
        <f>IFERROR(MATCH(B61,SysColours!A:A,0),0)</f>
        <v>546</v>
      </c>
      <c r="J61" s="4" t="str">
        <f ca="1">IF(AND(I61&lt;&gt;0,OFFSET(SysColours!$A$1,I61-1,4)=F61),"dupe","")</f>
        <v/>
      </c>
    </row>
    <row r="62" spans="2:10" x14ac:dyDescent="0.25">
      <c r="B62" s="4" t="s">
        <v>186</v>
      </c>
      <c r="C62" s="4">
        <v>76</v>
      </c>
      <c r="D62" s="4">
        <v>76</v>
      </c>
      <c r="E62" s="4">
        <v>76</v>
      </c>
      <c r="F62" s="4">
        <v>5000268</v>
      </c>
      <c r="G62" s="5" t="str">
        <f t="shared" si="1"/>
        <v>#4C4C4C</v>
      </c>
      <c r="H62" s="138" t="s">
        <v>26</v>
      </c>
      <c r="I62" s="4">
        <f>IFERROR(MATCH(B62,SysColours!A:A,0),0)</f>
        <v>524</v>
      </c>
      <c r="J62" s="4" t="str">
        <f ca="1">IF(AND(I62&lt;&gt;0,OFFSET(SysColours!$A$1,I62-1,4)=F62),"dupe","")</f>
        <v/>
      </c>
    </row>
    <row r="63" spans="2:10" x14ac:dyDescent="0.25">
      <c r="B63" s="4" t="s">
        <v>187</v>
      </c>
      <c r="C63" s="5">
        <v>51</v>
      </c>
      <c r="D63" s="5">
        <v>51</v>
      </c>
      <c r="E63" s="5">
        <v>51</v>
      </c>
      <c r="F63" s="4">
        <v>3355443</v>
      </c>
      <c r="G63" s="5" t="str">
        <f t="shared" si="1"/>
        <v>#333333</v>
      </c>
      <c r="H63" s="139" t="s">
        <v>26</v>
      </c>
      <c r="I63" s="4">
        <f>IFERROR(MATCH(B63,SysColours!A:A,0),0)</f>
        <v>503</v>
      </c>
      <c r="J63" s="4" t="str">
        <f ca="1">IF(AND(I63&lt;&gt;0,OFFSET(SysColours!$A$1,I63-1,4)=F63),"dupe","")</f>
        <v/>
      </c>
    </row>
    <row r="64" spans="2:10" x14ac:dyDescent="0.25">
      <c r="B64" s="4" t="s">
        <v>188</v>
      </c>
      <c r="C64" s="4">
        <v>26</v>
      </c>
      <c r="D64" s="4">
        <v>26</v>
      </c>
      <c r="E64" s="4">
        <v>26</v>
      </c>
      <c r="F64" s="4">
        <v>1710618</v>
      </c>
      <c r="G64" s="5" t="str">
        <f t="shared" si="1"/>
        <v>#1A1A1A</v>
      </c>
      <c r="H64" s="140" t="s">
        <v>26</v>
      </c>
      <c r="I64" s="4">
        <f>IFERROR(MATCH(B64,SysColours!A:A,0),0)</f>
        <v>480</v>
      </c>
      <c r="J64" s="4" t="str">
        <f ca="1">IF(AND(I64&lt;&gt;0,OFFSET(SysColours!$A$1,I64-1,4)=F64),"dupe","")</f>
        <v/>
      </c>
    </row>
    <row r="65" spans="2:10" x14ac:dyDescent="0.25">
      <c r="B65" s="4" t="s">
        <v>88</v>
      </c>
      <c r="C65" s="4">
        <v>0</v>
      </c>
      <c r="D65" s="4">
        <v>128</v>
      </c>
      <c r="E65" s="4">
        <v>0</v>
      </c>
      <c r="F65" s="4">
        <v>32768</v>
      </c>
      <c r="G65" s="5" t="str">
        <f t="shared" si="1"/>
        <v>#008000</v>
      </c>
      <c r="H65" s="141" t="s">
        <v>26</v>
      </c>
      <c r="I65" s="4">
        <f>IFERROR(MATCH(B65,SysColours!A:A,0),0)</f>
        <v>281</v>
      </c>
      <c r="J65" s="4" t="str">
        <f ca="1">IF(AND(I65&lt;&gt;0,OFFSET(SysColours!$A$1,I65-1,4)=F65),"dupe","")</f>
        <v>dupe</v>
      </c>
    </row>
    <row r="66" spans="2:10" x14ac:dyDescent="0.25">
      <c r="B66" s="4" t="s">
        <v>89</v>
      </c>
      <c r="C66" s="4">
        <v>173</v>
      </c>
      <c r="D66" s="4">
        <v>255</v>
      </c>
      <c r="E66" s="4">
        <v>47</v>
      </c>
      <c r="F66" s="4">
        <v>3145645</v>
      </c>
      <c r="G66" s="5" t="str">
        <f t="shared" si="1"/>
        <v>#ADFF2F</v>
      </c>
      <c r="H66" s="40" t="s">
        <v>26</v>
      </c>
      <c r="I66" s="4">
        <f>IFERROR(MATCH(B66,SysColours!A:A,0),0)</f>
        <v>289</v>
      </c>
      <c r="J66" s="4" t="str">
        <f ca="1">IF(AND(I66&lt;&gt;0,OFFSET(SysColours!$A$1,I66-1,4)=F66),"dupe","")</f>
        <v>dupe</v>
      </c>
    </row>
    <row r="67" spans="2:10" x14ac:dyDescent="0.25">
      <c r="B67" s="4" t="s">
        <v>181</v>
      </c>
      <c r="C67" s="4">
        <v>128</v>
      </c>
      <c r="D67" s="4">
        <v>128</v>
      </c>
      <c r="E67" s="4">
        <v>128</v>
      </c>
      <c r="F67" s="4">
        <v>8421504</v>
      </c>
      <c r="G67" s="5" t="str">
        <f t="shared" ref="G67:G98" si="2">rgb2hex(F67)</f>
        <v>#808080</v>
      </c>
      <c r="H67" s="136" t="s">
        <v>26</v>
      </c>
      <c r="I67" s="4">
        <f>IFERROR(MATCH(B67,SysColours!A:A,0),0)</f>
        <v>0</v>
      </c>
      <c r="J67" s="4" t="e">
        <f ca="1">IF(AND(I67&lt;&gt;0,OFFSET(SysColours!$A$1,I67-1,4)=F67),"dupe","")</f>
        <v>#REF!</v>
      </c>
    </row>
    <row r="68" spans="2:10" x14ac:dyDescent="0.25">
      <c r="B68" s="4" t="s">
        <v>27</v>
      </c>
      <c r="C68" s="5">
        <v>229</v>
      </c>
      <c r="D68" s="5">
        <v>229</v>
      </c>
      <c r="E68" s="5">
        <v>229</v>
      </c>
      <c r="F68" s="4">
        <v>15066597</v>
      </c>
      <c r="G68" s="5" t="str">
        <f t="shared" si="2"/>
        <v>#E5E5E5</v>
      </c>
      <c r="H68" s="36" t="s">
        <v>26</v>
      </c>
      <c r="I68" s="4">
        <f>IFERROR(MATCH(B68,SysColours!A:A,0),0)</f>
        <v>651</v>
      </c>
      <c r="J68" s="4" t="str">
        <f ca="1">IF(AND(I68&lt;&gt;0,OFFSET(SysColours!$A$1,I68-1,4)=F68),"dupe","")</f>
        <v/>
      </c>
    </row>
    <row r="69" spans="2:10" x14ac:dyDescent="0.25">
      <c r="B69" s="4" t="s">
        <v>28</v>
      </c>
      <c r="C69" s="5">
        <v>204</v>
      </c>
      <c r="D69" s="5">
        <v>204</v>
      </c>
      <c r="E69" s="5">
        <v>204</v>
      </c>
      <c r="F69" s="4">
        <v>13421772</v>
      </c>
      <c r="G69" s="5" t="str">
        <f t="shared" si="2"/>
        <v>#CCCCCC</v>
      </c>
      <c r="H69" s="37" t="s">
        <v>26</v>
      </c>
      <c r="I69" s="4">
        <f>IFERROR(MATCH(B69,SysColours!A:A,0),0)</f>
        <v>631</v>
      </c>
      <c r="J69" s="4" t="str">
        <f ca="1">IF(AND(I69&lt;&gt;0,OFFSET(SysColours!$A$1,I69-1,4)=F69),"dupe","")</f>
        <v/>
      </c>
    </row>
    <row r="70" spans="2:10" x14ac:dyDescent="0.25">
      <c r="B70" s="4" t="s">
        <v>33</v>
      </c>
      <c r="C70" s="5">
        <v>179</v>
      </c>
      <c r="D70" s="5">
        <v>179</v>
      </c>
      <c r="E70" s="5">
        <v>179</v>
      </c>
      <c r="F70" s="4">
        <v>11776947</v>
      </c>
      <c r="G70" s="5" t="str">
        <f t="shared" si="2"/>
        <v>#B3B3B3</v>
      </c>
      <c r="H70" s="38" t="s">
        <v>26</v>
      </c>
      <c r="I70" s="4">
        <f>IFERROR(MATCH(B70,SysColours!A:A,0),0)</f>
        <v>611</v>
      </c>
      <c r="J70" s="4" t="str">
        <f ca="1">IF(AND(I70&lt;&gt;0,OFFSET(SysColours!$A$1,I70-1,4)=F70),"dupe","")</f>
        <v/>
      </c>
    </row>
    <row r="71" spans="2:10" x14ac:dyDescent="0.25">
      <c r="B71" s="4" t="s">
        <v>29</v>
      </c>
      <c r="C71" s="5">
        <v>153</v>
      </c>
      <c r="D71" s="5">
        <v>153</v>
      </c>
      <c r="E71" s="5">
        <v>153</v>
      </c>
      <c r="F71" s="4">
        <v>10066329</v>
      </c>
      <c r="G71" s="5" t="str">
        <f t="shared" si="2"/>
        <v>#999999</v>
      </c>
      <c r="H71" s="39" t="s">
        <v>26</v>
      </c>
      <c r="I71" s="4">
        <f>IFERROR(MATCH(B71,SysColours!A:A,0),0)</f>
        <v>591</v>
      </c>
      <c r="J71" s="4" t="str">
        <f ca="1">IF(AND(I71&lt;&gt;0,OFFSET(SysColours!$A$1,I71-1,4)=F71),"dupe","")</f>
        <v/>
      </c>
    </row>
    <row r="72" spans="2:10" x14ac:dyDescent="0.25">
      <c r="B72" s="4" t="s">
        <v>32</v>
      </c>
      <c r="C72" s="4">
        <v>128</v>
      </c>
      <c r="D72" s="4">
        <v>128</v>
      </c>
      <c r="E72" s="4">
        <v>128</v>
      </c>
      <c r="F72" s="4">
        <v>8421504</v>
      </c>
      <c r="G72" s="5" t="str">
        <f t="shared" si="2"/>
        <v>#808080</v>
      </c>
      <c r="H72" s="136" t="s">
        <v>26</v>
      </c>
      <c r="I72" s="4">
        <f>IFERROR(MATCH(B72,SysColours!A:A,0),0)</f>
        <v>568</v>
      </c>
      <c r="J72" s="4" t="str">
        <f ca="1">IF(AND(I72&lt;&gt;0,OFFSET(SysColours!$A$1,I72-1,4)=F72),"dupe","")</f>
        <v/>
      </c>
    </row>
    <row r="73" spans="2:10" x14ac:dyDescent="0.25">
      <c r="B73" s="4" t="s">
        <v>30</v>
      </c>
      <c r="C73" s="5">
        <v>102</v>
      </c>
      <c r="D73" s="5">
        <v>102</v>
      </c>
      <c r="E73" s="5">
        <v>102</v>
      </c>
      <c r="F73" s="4">
        <v>6710886</v>
      </c>
      <c r="G73" s="5" t="str">
        <f t="shared" si="2"/>
        <v>#666666</v>
      </c>
      <c r="H73" s="137" t="s">
        <v>26</v>
      </c>
      <c r="I73" s="4">
        <f>IFERROR(MATCH(B73,SysColours!A:A,0),0)</f>
        <v>547</v>
      </c>
      <c r="J73" s="4" t="str">
        <f ca="1">IF(AND(I73&lt;&gt;0,OFFSET(SysColours!$A$1,I73-1,4)=F73),"dupe","")</f>
        <v/>
      </c>
    </row>
    <row r="74" spans="2:10" x14ac:dyDescent="0.25">
      <c r="B74" s="4" t="s">
        <v>34</v>
      </c>
      <c r="C74" s="4">
        <v>76</v>
      </c>
      <c r="D74" s="4">
        <v>76</v>
      </c>
      <c r="E74" s="4">
        <v>76</v>
      </c>
      <c r="F74" s="4">
        <v>5000268</v>
      </c>
      <c r="G74" s="5" t="str">
        <f t="shared" si="2"/>
        <v>#4C4C4C</v>
      </c>
      <c r="H74" s="138" t="s">
        <v>26</v>
      </c>
      <c r="I74" s="4">
        <f>IFERROR(MATCH(B74,SysColours!A:A,0),0)</f>
        <v>525</v>
      </c>
      <c r="J74" s="4" t="str">
        <f ca="1">IF(AND(I74&lt;&gt;0,OFFSET(SysColours!$A$1,I74-1,4)=F74),"dupe","")</f>
        <v/>
      </c>
    </row>
    <row r="75" spans="2:10" x14ac:dyDescent="0.25">
      <c r="B75" s="4" t="s">
        <v>31</v>
      </c>
      <c r="C75" s="5">
        <v>51</v>
      </c>
      <c r="D75" s="5">
        <v>51</v>
      </c>
      <c r="E75" s="5">
        <v>51</v>
      </c>
      <c r="F75" s="4">
        <v>3355443</v>
      </c>
      <c r="G75" s="5" t="str">
        <f t="shared" si="2"/>
        <v>#333333</v>
      </c>
      <c r="H75" s="139" t="s">
        <v>26</v>
      </c>
      <c r="I75" s="4">
        <f>IFERROR(MATCH(B75,SysColours!A:A,0),0)</f>
        <v>504</v>
      </c>
      <c r="J75" s="4" t="str">
        <f ca="1">IF(AND(I75&lt;&gt;0,OFFSET(SysColours!$A$1,I75-1,4)=F75),"dupe","")</f>
        <v/>
      </c>
    </row>
    <row r="76" spans="2:10" x14ac:dyDescent="0.25">
      <c r="B76" s="4" t="s">
        <v>35</v>
      </c>
      <c r="C76" s="4">
        <v>26</v>
      </c>
      <c r="D76" s="4">
        <v>26</v>
      </c>
      <c r="E76" s="4">
        <v>26</v>
      </c>
      <c r="F76" s="4">
        <v>1710618</v>
      </c>
      <c r="G76" s="5" t="str">
        <f t="shared" si="2"/>
        <v>#1A1A1A</v>
      </c>
      <c r="H76" s="140" t="s">
        <v>26</v>
      </c>
      <c r="I76" s="4">
        <f>IFERROR(MATCH(B76,SysColours!A:A,0),0)</f>
        <v>481</v>
      </c>
      <c r="J76" s="4" t="str">
        <f ca="1">IF(AND(I76&lt;&gt;0,OFFSET(SysColours!$A$1,I76-1,4)=F76),"dupe","")</f>
        <v/>
      </c>
    </row>
    <row r="77" spans="2:10" x14ac:dyDescent="0.25">
      <c r="B77" s="4" t="s">
        <v>179</v>
      </c>
      <c r="C77" s="4">
        <v>240</v>
      </c>
      <c r="D77" s="4">
        <v>255</v>
      </c>
      <c r="E77" s="4">
        <v>240</v>
      </c>
      <c r="F77" s="4">
        <v>15794160</v>
      </c>
      <c r="G77" s="5" t="str">
        <f t="shared" si="2"/>
        <v>#F0FFF0</v>
      </c>
      <c r="H77" s="41" t="s">
        <v>26</v>
      </c>
      <c r="I77" s="4">
        <f>IFERROR(MATCH(B77,SysColours!A:A,0),0)</f>
        <v>258</v>
      </c>
      <c r="J77" s="4" t="str">
        <f ca="1">IF(AND(I77&lt;&gt;0,OFFSET(SysColours!$A$1,I77-1,4)=F77),"dupe","")</f>
        <v>dupe</v>
      </c>
    </row>
    <row r="78" spans="2:10" x14ac:dyDescent="0.25">
      <c r="B78" s="4" t="s">
        <v>90</v>
      </c>
      <c r="C78" s="4">
        <v>255</v>
      </c>
      <c r="D78" s="4">
        <v>105</v>
      </c>
      <c r="E78" s="4">
        <v>180</v>
      </c>
      <c r="F78" s="4">
        <v>11823615</v>
      </c>
      <c r="G78" s="5" t="str">
        <f t="shared" si="2"/>
        <v>#FF69B4</v>
      </c>
      <c r="H78" s="42" t="s">
        <v>26</v>
      </c>
      <c r="I78" s="4">
        <f>IFERROR(MATCH(B78,SysColours!A:A,0),0)</f>
        <v>65</v>
      </c>
      <c r="J78" s="4" t="str">
        <f ca="1">IF(AND(I78&lt;&gt;0,OFFSET(SysColours!$A$1,I78-1,4)=F78),"dupe","")</f>
        <v>dupe</v>
      </c>
    </row>
    <row r="79" spans="2:10" x14ac:dyDescent="0.25">
      <c r="B79" s="4" t="s">
        <v>91</v>
      </c>
      <c r="C79" s="4">
        <v>205</v>
      </c>
      <c r="D79" s="4">
        <v>92</v>
      </c>
      <c r="E79" s="4">
        <v>92</v>
      </c>
      <c r="F79" s="4">
        <v>6053069</v>
      </c>
      <c r="G79" s="5" t="str">
        <f t="shared" si="2"/>
        <v>#CD5C5C</v>
      </c>
      <c r="H79" s="142" t="s">
        <v>26</v>
      </c>
      <c r="I79" s="4">
        <f>IFERROR(MATCH(B79,SysColours!A:A,0),0)</f>
        <v>16</v>
      </c>
      <c r="J79" s="4" t="str">
        <f ca="1">IF(AND(I79&lt;&gt;0,OFFSET(SysColours!$A$1,I79-1,4)=F79),"dupe","")</f>
        <v>dupe</v>
      </c>
    </row>
    <row r="80" spans="2:10" x14ac:dyDescent="0.25">
      <c r="B80" s="4" t="s">
        <v>92</v>
      </c>
      <c r="C80" s="4">
        <v>75</v>
      </c>
      <c r="D80" s="4">
        <v>0</v>
      </c>
      <c r="E80" s="4">
        <v>130</v>
      </c>
      <c r="F80" s="4">
        <v>8519755</v>
      </c>
      <c r="G80" s="5" t="str">
        <f t="shared" si="2"/>
        <v>#4B0082</v>
      </c>
      <c r="H80" s="143" t="s">
        <v>26</v>
      </c>
      <c r="I80" s="4">
        <f>IFERROR(MATCH(B80,SysColours!A:A,0),0)</f>
        <v>113</v>
      </c>
      <c r="J80" s="4" t="str">
        <f ca="1">IF(AND(I80&lt;&gt;0,OFFSET(SysColours!$A$1,I80-1,4)=F80),"dupe","")</f>
        <v>dupe</v>
      </c>
    </row>
    <row r="81" spans="2:10" x14ac:dyDescent="0.25">
      <c r="B81" s="4" t="s">
        <v>93</v>
      </c>
      <c r="C81" s="4">
        <v>255</v>
      </c>
      <c r="D81" s="4">
        <v>255</v>
      </c>
      <c r="E81" s="4">
        <v>240</v>
      </c>
      <c r="F81" s="4">
        <v>15794175</v>
      </c>
      <c r="G81" s="5" t="str">
        <f t="shared" si="2"/>
        <v>#FFFFF0</v>
      </c>
      <c r="H81" s="43" t="s">
        <v>26</v>
      </c>
      <c r="I81" s="4">
        <f>IFERROR(MATCH(B81,SysColours!A:A,0),0)</f>
        <v>301</v>
      </c>
      <c r="J81" s="4" t="str">
        <f ca="1">IF(AND(I81&lt;&gt;0,OFFSET(SysColours!$A$1,I81-1,4)=F81),"dupe","")</f>
        <v>dupe</v>
      </c>
    </row>
    <row r="82" spans="2:10" x14ac:dyDescent="0.25">
      <c r="B82" s="4" t="s">
        <v>94</v>
      </c>
      <c r="C82" s="4">
        <v>240</v>
      </c>
      <c r="D82" s="4">
        <v>230</v>
      </c>
      <c r="E82" s="4">
        <v>140</v>
      </c>
      <c r="F82" s="4">
        <v>9234160</v>
      </c>
      <c r="G82" s="5" t="str">
        <f t="shared" si="2"/>
        <v>#F0E68C</v>
      </c>
      <c r="H82" s="44" t="s">
        <v>26</v>
      </c>
      <c r="I82" s="4">
        <f>IFERROR(MATCH(B82,SysColours!A:A,0),0)</f>
        <v>328</v>
      </c>
      <c r="J82" s="4" t="str">
        <f ca="1">IF(AND(I82&lt;&gt;0,OFFSET(SysColours!$A$1,I82-1,4)=F82),"dupe","")</f>
        <v>dupe</v>
      </c>
    </row>
    <row r="83" spans="2:10" x14ac:dyDescent="0.25">
      <c r="B83" s="4" t="s">
        <v>95</v>
      </c>
      <c r="C83" s="4">
        <v>230</v>
      </c>
      <c r="D83" s="4">
        <v>230</v>
      </c>
      <c r="E83" s="4">
        <v>250</v>
      </c>
      <c r="F83" s="4">
        <v>16443110</v>
      </c>
      <c r="G83" s="5" t="str">
        <f t="shared" si="2"/>
        <v>#E6E6FA</v>
      </c>
      <c r="H83" s="45" t="s">
        <v>26</v>
      </c>
      <c r="I83" s="4">
        <f>IFERROR(MATCH(B83,SysColours!A:A,0),0)</f>
        <v>133</v>
      </c>
      <c r="J83" s="4" t="str">
        <f ca="1">IF(AND(I83&lt;&gt;0,OFFSET(SysColours!$A$1,I83-1,4)=F83),"dupe","")</f>
        <v>dupe</v>
      </c>
    </row>
    <row r="84" spans="2:10" x14ac:dyDescent="0.25">
      <c r="B84" s="4" t="s">
        <v>96</v>
      </c>
      <c r="C84" s="4">
        <v>255</v>
      </c>
      <c r="D84" s="4">
        <v>240</v>
      </c>
      <c r="E84" s="4">
        <v>245</v>
      </c>
      <c r="F84" s="4">
        <v>16118015</v>
      </c>
      <c r="G84" s="5" t="str">
        <f t="shared" si="2"/>
        <v>#FFF0F5</v>
      </c>
      <c r="H84" s="46" t="s">
        <v>26</v>
      </c>
      <c r="I84" s="4">
        <f>IFERROR(MATCH(B84,SysColours!A:A,0),0)</f>
        <v>51</v>
      </c>
      <c r="J84" s="4" t="str">
        <f ca="1">IF(AND(I84&lt;&gt;0,OFFSET(SysColours!$A$1,I84-1,4)=F84),"dupe","")</f>
        <v>dupe</v>
      </c>
    </row>
    <row r="85" spans="2:10" x14ac:dyDescent="0.25">
      <c r="B85" s="4" t="s">
        <v>97</v>
      </c>
      <c r="C85" s="4">
        <v>124</v>
      </c>
      <c r="D85" s="4">
        <v>252</v>
      </c>
      <c r="E85" s="4">
        <v>0</v>
      </c>
      <c r="F85" s="4">
        <v>64636</v>
      </c>
      <c r="G85" s="5" t="str">
        <f t="shared" si="2"/>
        <v>#7CFC00</v>
      </c>
      <c r="H85" s="47" t="s">
        <v>26</v>
      </c>
      <c r="I85" s="4">
        <f>IFERROR(MATCH(B85,SysColours!A:A,0),0)</f>
        <v>283</v>
      </c>
      <c r="J85" s="4" t="str">
        <f ca="1">IF(AND(I85&lt;&gt;0,OFFSET(SysColours!$A$1,I85-1,4)=F85),"dupe","")</f>
        <v>dupe</v>
      </c>
    </row>
    <row r="86" spans="2:10" x14ac:dyDescent="0.25">
      <c r="B86" s="4" t="s">
        <v>98</v>
      </c>
      <c r="C86" s="4">
        <v>255</v>
      </c>
      <c r="D86" s="4">
        <v>250</v>
      </c>
      <c r="E86" s="4">
        <v>205</v>
      </c>
      <c r="F86" s="4">
        <v>13499135</v>
      </c>
      <c r="G86" s="5" t="str">
        <f t="shared" si="2"/>
        <v>#FFFACD</v>
      </c>
      <c r="H86" s="48" t="s">
        <v>26</v>
      </c>
      <c r="I86" s="4">
        <f>IFERROR(MATCH(B86,SysColours!A:A,0),0)</f>
        <v>326</v>
      </c>
      <c r="J86" s="4" t="str">
        <f ca="1">IF(AND(I86&lt;&gt;0,OFFSET(SysColours!$A$1,I86-1,4)=F86),"dupe","")</f>
        <v>dupe</v>
      </c>
    </row>
    <row r="87" spans="2:10" x14ac:dyDescent="0.25">
      <c r="B87" s="4" t="s">
        <v>99</v>
      </c>
      <c r="C87" s="4">
        <v>173</v>
      </c>
      <c r="D87" s="4">
        <v>216</v>
      </c>
      <c r="E87" s="4">
        <v>230</v>
      </c>
      <c r="F87" s="4">
        <v>15128749</v>
      </c>
      <c r="G87" s="5" t="str">
        <f t="shared" si="2"/>
        <v>#ADD8E6</v>
      </c>
      <c r="H87" s="49" t="s">
        <v>26</v>
      </c>
      <c r="I87" s="4">
        <f>IFERROR(MATCH(B87,SysColours!A:A,0),0)</f>
        <v>192</v>
      </c>
      <c r="J87" s="4" t="str">
        <f ca="1">IF(AND(I87&lt;&gt;0,OFFSET(SysColours!$A$1,I87-1,4)=F87),"dupe","")</f>
        <v>dupe</v>
      </c>
    </row>
    <row r="88" spans="2:10" x14ac:dyDescent="0.25">
      <c r="B88" s="4" t="s">
        <v>100</v>
      </c>
      <c r="C88" s="4">
        <v>240</v>
      </c>
      <c r="D88" s="4">
        <v>128</v>
      </c>
      <c r="E88" s="4">
        <v>128</v>
      </c>
      <c r="F88" s="4">
        <v>8421616</v>
      </c>
      <c r="G88" s="5" t="str">
        <f t="shared" si="2"/>
        <v>#F08080</v>
      </c>
      <c r="H88" s="50" t="s">
        <v>26</v>
      </c>
      <c r="I88" s="4">
        <f>IFERROR(MATCH(B88,SysColours!A:A,0),0)</f>
        <v>8</v>
      </c>
      <c r="J88" s="4" t="str">
        <f ca="1">IF(AND(I88&lt;&gt;0,OFFSET(SysColours!$A$1,I88-1,4)=F88),"dupe","")</f>
        <v>dupe</v>
      </c>
    </row>
    <row r="89" spans="2:10" x14ac:dyDescent="0.25">
      <c r="B89" s="4" t="s">
        <v>101</v>
      </c>
      <c r="C89" s="4">
        <v>224</v>
      </c>
      <c r="D89" s="4">
        <v>255</v>
      </c>
      <c r="E89" s="4">
        <v>255</v>
      </c>
      <c r="F89" s="4">
        <v>16777184</v>
      </c>
      <c r="G89" s="5" t="str">
        <f t="shared" si="2"/>
        <v>#E0FFFF</v>
      </c>
      <c r="H89" s="51" t="s">
        <v>26</v>
      </c>
      <c r="I89" s="4">
        <f>IFERROR(MATCH(B89,SysColours!A:A,0),0)</f>
        <v>208</v>
      </c>
      <c r="J89" s="4" t="str">
        <f ca="1">IF(AND(I89&lt;&gt;0,OFFSET(SysColours!$A$1,I89-1,4)=F89),"dupe","")</f>
        <v>dupe</v>
      </c>
    </row>
    <row r="90" spans="2:10" x14ac:dyDescent="0.25">
      <c r="B90" s="4" t="s">
        <v>173</v>
      </c>
      <c r="C90" s="4">
        <v>250</v>
      </c>
      <c r="D90" s="4">
        <v>250</v>
      </c>
      <c r="E90" s="4">
        <v>210</v>
      </c>
      <c r="F90" s="4">
        <v>13826810</v>
      </c>
      <c r="G90" s="5" t="str">
        <f t="shared" si="2"/>
        <v>#FAFAD2</v>
      </c>
      <c r="H90" s="52" t="s">
        <v>26</v>
      </c>
      <c r="I90" s="4">
        <f>IFERROR(MATCH(B90,SysColours!A:A,0),0)</f>
        <v>307</v>
      </c>
      <c r="J90" s="4" t="str">
        <f ca="1">IF(AND(I90&lt;&gt;0,OFFSET(SysColours!$A$1,I90-1,4)=F90),"dupe","")</f>
        <v>dupe</v>
      </c>
    </row>
    <row r="91" spans="2:10" x14ac:dyDescent="0.25">
      <c r="B91" s="4" t="s">
        <v>102</v>
      </c>
      <c r="C91" s="4">
        <v>211</v>
      </c>
      <c r="D91" s="4">
        <v>211</v>
      </c>
      <c r="E91" s="4">
        <v>211</v>
      </c>
      <c r="F91" s="4">
        <v>13882323</v>
      </c>
      <c r="G91" s="5" t="str">
        <f t="shared" si="2"/>
        <v>#D3D3D3</v>
      </c>
      <c r="H91" s="53" t="s">
        <v>26</v>
      </c>
      <c r="I91" s="4">
        <f>IFERROR(MATCH(B91,SysColours!A:A,0),0)</f>
        <v>497</v>
      </c>
      <c r="J91" s="4" t="str">
        <f ca="1">IF(AND(I91&lt;&gt;0,OFFSET(SysColours!$A$1,I91-1,4)=F91),"dupe","")</f>
        <v>dupe</v>
      </c>
    </row>
    <row r="92" spans="2:10" x14ac:dyDescent="0.25">
      <c r="B92" s="4" t="s">
        <v>103</v>
      </c>
      <c r="C92" s="4">
        <v>144</v>
      </c>
      <c r="D92" s="4">
        <v>238</v>
      </c>
      <c r="E92" s="4">
        <v>144</v>
      </c>
      <c r="F92" s="4">
        <v>9498256</v>
      </c>
      <c r="G92" s="5" t="str">
        <f t="shared" si="2"/>
        <v>#90EE90</v>
      </c>
      <c r="H92" s="54" t="s">
        <v>26</v>
      </c>
      <c r="I92" s="4">
        <f>IFERROR(MATCH(B92,SysColours!A:A,0),0)</f>
        <v>266</v>
      </c>
      <c r="J92" s="4" t="str">
        <f ca="1">IF(AND(I92&lt;&gt;0,OFFSET(SysColours!$A$1,I92-1,4)=F92),"dupe","")</f>
        <v>dupe</v>
      </c>
    </row>
    <row r="93" spans="2:10" x14ac:dyDescent="0.25">
      <c r="B93" s="4" t="s">
        <v>104</v>
      </c>
      <c r="C93" s="4">
        <v>211</v>
      </c>
      <c r="D93" s="4">
        <v>211</v>
      </c>
      <c r="E93" s="4">
        <v>211</v>
      </c>
      <c r="F93" s="4">
        <v>13882323</v>
      </c>
      <c r="G93" s="5" t="str">
        <f t="shared" si="2"/>
        <v>#D3D3D3</v>
      </c>
      <c r="H93" s="53" t="s">
        <v>26</v>
      </c>
      <c r="I93" s="4">
        <f>IFERROR(MATCH(B93,SysColours!A:A,0),0)</f>
        <v>498</v>
      </c>
      <c r="J93" s="4" t="str">
        <f ca="1">IF(AND(I93&lt;&gt;0,OFFSET(SysColours!$A$1,I93-1,4)=F93),"dupe","")</f>
        <v>dupe</v>
      </c>
    </row>
    <row r="94" spans="2:10" x14ac:dyDescent="0.25">
      <c r="B94" s="4" t="s">
        <v>105</v>
      </c>
      <c r="C94" s="4">
        <v>255</v>
      </c>
      <c r="D94" s="4">
        <v>182</v>
      </c>
      <c r="E94" s="4">
        <v>193</v>
      </c>
      <c r="F94" s="4">
        <v>12695295</v>
      </c>
      <c r="G94" s="5" t="str">
        <f t="shared" si="2"/>
        <v>#FFB6C1</v>
      </c>
      <c r="H94" s="55" t="s">
        <v>26</v>
      </c>
      <c r="I94" s="4">
        <f>IFERROR(MATCH(B94,SysColours!A:A,0),0)</f>
        <v>39</v>
      </c>
      <c r="J94" s="4" t="str">
        <f ca="1">IF(AND(I94&lt;&gt;0,OFFSET(SysColours!$A$1,I94-1,4)=F94),"dupe","")</f>
        <v>dupe</v>
      </c>
    </row>
    <row r="95" spans="2:10" x14ac:dyDescent="0.25">
      <c r="B95" s="4" t="s">
        <v>106</v>
      </c>
      <c r="C95" s="4">
        <v>255</v>
      </c>
      <c r="D95" s="4">
        <v>160</v>
      </c>
      <c r="E95" s="4">
        <v>122</v>
      </c>
      <c r="F95" s="4">
        <v>8036607</v>
      </c>
      <c r="G95" s="5" t="str">
        <f t="shared" si="2"/>
        <v>#FFA07A</v>
      </c>
      <c r="H95" s="56" t="s">
        <v>26</v>
      </c>
      <c r="I95" s="4">
        <f>IFERROR(MATCH(B95,SysColours!A:A,0),0)</f>
        <v>427</v>
      </c>
      <c r="J95" s="4" t="str">
        <f ca="1">IF(AND(I95&lt;&gt;0,OFFSET(SysColours!$A$1,I95-1,4)=F95),"dupe","")</f>
        <v>dupe</v>
      </c>
    </row>
    <row r="96" spans="2:10" x14ac:dyDescent="0.25">
      <c r="B96" s="4" t="s">
        <v>106</v>
      </c>
      <c r="C96" s="4">
        <v>255</v>
      </c>
      <c r="D96" s="4">
        <v>160</v>
      </c>
      <c r="E96" s="4">
        <v>122</v>
      </c>
      <c r="F96" s="4">
        <v>8036607</v>
      </c>
      <c r="G96" s="5" t="str">
        <f t="shared" si="2"/>
        <v>#FFA07A</v>
      </c>
      <c r="H96" s="56" t="s">
        <v>26</v>
      </c>
      <c r="I96" s="4">
        <f>IFERROR(MATCH(B96,SysColours!A:A,0),0)</f>
        <v>427</v>
      </c>
      <c r="J96" s="4" t="str">
        <f ca="1">IF(AND(I96&lt;&gt;0,OFFSET(SysColours!$A$1,I96-1,4)=F96),"dupe","")</f>
        <v>dupe</v>
      </c>
    </row>
    <row r="97" spans="2:10" x14ac:dyDescent="0.25">
      <c r="B97" s="4" t="s">
        <v>107</v>
      </c>
      <c r="C97" s="4">
        <v>32</v>
      </c>
      <c r="D97" s="4">
        <v>178</v>
      </c>
      <c r="E97" s="4">
        <v>170</v>
      </c>
      <c r="F97" s="4">
        <v>11186720</v>
      </c>
      <c r="G97" s="5" t="str">
        <f t="shared" si="2"/>
        <v>#20B2AA</v>
      </c>
      <c r="H97" s="57" t="s">
        <v>26</v>
      </c>
      <c r="I97" s="4">
        <f>IFERROR(MATCH(B97,SysColours!A:A,0),0)</f>
        <v>236</v>
      </c>
      <c r="J97" s="4" t="str">
        <f ca="1">IF(AND(I97&lt;&gt;0,OFFSET(SysColours!$A$1,I97-1,4)=F97),"dupe","")</f>
        <v>dupe</v>
      </c>
    </row>
    <row r="98" spans="2:10" x14ac:dyDescent="0.25">
      <c r="B98" s="4" t="s">
        <v>108</v>
      </c>
      <c r="C98" s="4">
        <v>135</v>
      </c>
      <c r="D98" s="4">
        <v>206</v>
      </c>
      <c r="E98" s="4">
        <v>250</v>
      </c>
      <c r="F98" s="4">
        <v>16436871</v>
      </c>
      <c r="G98" s="5" t="str">
        <f t="shared" si="2"/>
        <v>#87CEFA</v>
      </c>
      <c r="H98" s="58" t="s">
        <v>26</v>
      </c>
      <c r="I98" s="4">
        <f>IFERROR(MATCH(B98,SysColours!A:A,0),0)</f>
        <v>178</v>
      </c>
      <c r="J98" s="4" t="str">
        <f ca="1">IF(AND(I98&lt;&gt;0,OFFSET(SysColours!$A$1,I98-1,4)=F98),"dupe","")</f>
        <v>dupe</v>
      </c>
    </row>
    <row r="99" spans="2:10" x14ac:dyDescent="0.25">
      <c r="B99" s="4" t="s">
        <v>109</v>
      </c>
      <c r="C99" s="4">
        <v>119</v>
      </c>
      <c r="D99" s="4">
        <v>136</v>
      </c>
      <c r="E99" s="4">
        <v>153</v>
      </c>
      <c r="F99" s="4">
        <v>10061943</v>
      </c>
      <c r="G99" s="5" t="str">
        <f t="shared" ref="G99:G130" si="3">rgb2hex(F99)</f>
        <v>#778899</v>
      </c>
      <c r="H99" s="144" t="s">
        <v>26</v>
      </c>
      <c r="I99" s="4">
        <f>IFERROR(MATCH(B99,SysColours!A:A,0),0)</f>
        <v>159</v>
      </c>
      <c r="J99" s="4" t="str">
        <f ca="1">IF(AND(I99&lt;&gt;0,OFFSET(SysColours!$A$1,I99-1,4)=F99),"dupe","")</f>
        <v>dupe</v>
      </c>
    </row>
    <row r="100" spans="2:10" x14ac:dyDescent="0.25">
      <c r="B100" s="4" t="s">
        <v>110</v>
      </c>
      <c r="C100" s="4">
        <v>119</v>
      </c>
      <c r="D100" s="4">
        <v>136</v>
      </c>
      <c r="E100" s="4">
        <v>153</v>
      </c>
      <c r="F100" s="4">
        <v>10061943</v>
      </c>
      <c r="G100" s="5" t="str">
        <f t="shared" si="3"/>
        <v>#778899</v>
      </c>
      <c r="H100" s="144" t="s">
        <v>26</v>
      </c>
      <c r="I100" s="4">
        <f>IFERROR(MATCH(B100,SysColours!A:A,0),0)</f>
        <v>160</v>
      </c>
      <c r="J100" s="4" t="str">
        <f ca="1">IF(AND(I100&lt;&gt;0,OFFSET(SysColours!$A$1,I100-1,4)=F100),"dupe","")</f>
        <v>dupe</v>
      </c>
    </row>
    <row r="101" spans="2:10" x14ac:dyDescent="0.25">
      <c r="B101" s="4" t="s">
        <v>111</v>
      </c>
      <c r="C101" s="4">
        <v>176</v>
      </c>
      <c r="D101" s="4">
        <v>196</v>
      </c>
      <c r="E101" s="4">
        <v>222</v>
      </c>
      <c r="F101" s="4">
        <v>14599344</v>
      </c>
      <c r="G101" s="5" t="str">
        <f t="shared" si="3"/>
        <v>#B0C4DE</v>
      </c>
      <c r="H101" s="59" t="s">
        <v>26</v>
      </c>
      <c r="I101" s="4">
        <f>IFERROR(MATCH(B101,SysColours!A:A,0),0)</f>
        <v>150</v>
      </c>
      <c r="J101" s="4" t="str">
        <f ca="1">IF(AND(I101&lt;&gt;0,OFFSET(SysColours!$A$1,I101-1,4)=F101),"dupe","")</f>
        <v>dupe</v>
      </c>
    </row>
    <row r="102" spans="2:10" x14ac:dyDescent="0.25">
      <c r="B102" s="4" t="s">
        <v>112</v>
      </c>
      <c r="C102" s="4">
        <v>255</v>
      </c>
      <c r="D102" s="4">
        <v>255</v>
      </c>
      <c r="E102" s="4">
        <v>224</v>
      </c>
      <c r="F102" s="4">
        <v>14745599</v>
      </c>
      <c r="G102" s="5" t="str">
        <f t="shared" si="3"/>
        <v>#FFFFE0</v>
      </c>
      <c r="H102" s="60" t="s">
        <v>26</v>
      </c>
      <c r="I102" s="4">
        <f>IFERROR(MATCH(B102,SysColours!A:A,0),0)</f>
        <v>303</v>
      </c>
      <c r="J102" s="4" t="str">
        <f ca="1">IF(AND(I102&lt;&gt;0,OFFSET(SysColours!$A$1,I102-1,4)=F102),"dupe","")</f>
        <v>dupe</v>
      </c>
    </row>
    <row r="103" spans="2:10" x14ac:dyDescent="0.25">
      <c r="B103" s="4" t="s">
        <v>113</v>
      </c>
      <c r="C103" s="4">
        <v>0</v>
      </c>
      <c r="D103" s="4">
        <v>255</v>
      </c>
      <c r="E103" s="4">
        <v>0</v>
      </c>
      <c r="F103" s="4">
        <v>65280</v>
      </c>
      <c r="G103" s="5" t="str">
        <f t="shared" si="3"/>
        <v>#00FF00</v>
      </c>
      <c r="H103" s="61" t="s">
        <v>26</v>
      </c>
      <c r="I103" s="4">
        <f>IFERROR(MATCH(B103,SysColours!A:A,0),0)</f>
        <v>273</v>
      </c>
      <c r="J103" s="4" t="str">
        <f ca="1">IF(AND(I103&lt;&gt;0,OFFSET(SysColours!$A$1,I103-1,4)=F103),"dupe","")</f>
        <v>dupe</v>
      </c>
    </row>
    <row r="104" spans="2:10" x14ac:dyDescent="0.25">
      <c r="B104" s="4" t="s">
        <v>114</v>
      </c>
      <c r="C104" s="4">
        <v>50</v>
      </c>
      <c r="D104" s="4">
        <v>205</v>
      </c>
      <c r="E104" s="4">
        <v>50</v>
      </c>
      <c r="F104" s="4">
        <v>3329330</v>
      </c>
      <c r="G104" s="5" t="str">
        <f t="shared" si="3"/>
        <v>#32CD32</v>
      </c>
      <c r="H104" s="62" t="s">
        <v>26</v>
      </c>
      <c r="I104" s="4">
        <f>IFERROR(MATCH(B104,SysColours!A:A,0),0)</f>
        <v>274</v>
      </c>
      <c r="J104" s="4" t="str">
        <f ca="1">IF(AND(I104&lt;&gt;0,OFFSET(SysColours!$A$1,I104-1,4)=F104),"dupe","")</f>
        <v>dupe</v>
      </c>
    </row>
    <row r="105" spans="2:10" x14ac:dyDescent="0.25">
      <c r="B105" s="4" t="s">
        <v>115</v>
      </c>
      <c r="C105" s="4">
        <v>250</v>
      </c>
      <c r="D105" s="4">
        <v>240</v>
      </c>
      <c r="E105" s="4">
        <v>230</v>
      </c>
      <c r="F105" s="4">
        <v>15134970</v>
      </c>
      <c r="G105" s="5" t="str">
        <f t="shared" si="3"/>
        <v>#FAF0E6</v>
      </c>
      <c r="H105" s="63" t="s">
        <v>26</v>
      </c>
      <c r="I105" s="4">
        <f>IFERROR(MATCH(B105,SysColours!A:A,0),0)</f>
        <v>395</v>
      </c>
      <c r="J105" s="4" t="str">
        <f ca="1">IF(AND(I105&lt;&gt;0,OFFSET(SysColours!$A$1,I105-1,4)=F105),"dupe","")</f>
        <v>dupe</v>
      </c>
    </row>
    <row r="106" spans="2:10" x14ac:dyDescent="0.25">
      <c r="B106" s="4" t="s">
        <v>116</v>
      </c>
      <c r="C106" s="4">
        <v>255</v>
      </c>
      <c r="D106" s="4">
        <v>0</v>
      </c>
      <c r="E106" s="4">
        <v>255</v>
      </c>
      <c r="F106" s="4">
        <v>16711935</v>
      </c>
      <c r="G106" s="5" t="str">
        <f t="shared" si="3"/>
        <v>#FF00FF</v>
      </c>
      <c r="H106" s="135" t="s">
        <v>26</v>
      </c>
      <c r="I106" s="4">
        <f>IFERROR(MATCH(B106,SysColours!A:A,0),0)</f>
        <v>93</v>
      </c>
      <c r="J106" s="4" t="str">
        <f ca="1">IF(AND(I106&lt;&gt;0,OFFSET(SysColours!$A$1,I106-1,4)=F106),"dupe","")</f>
        <v>dupe</v>
      </c>
    </row>
    <row r="107" spans="2:10" x14ac:dyDescent="0.25">
      <c r="B107" s="4" t="s">
        <v>117</v>
      </c>
      <c r="C107" s="4">
        <v>128</v>
      </c>
      <c r="D107" s="4">
        <v>0</v>
      </c>
      <c r="E107" s="4">
        <v>0</v>
      </c>
      <c r="F107" s="4">
        <v>128</v>
      </c>
      <c r="G107" s="5" t="str">
        <f t="shared" si="3"/>
        <v>#800000</v>
      </c>
      <c r="H107" s="145" t="s">
        <v>26</v>
      </c>
      <c r="I107" s="4">
        <f>IFERROR(MATCH(B107,SysColours!A:A,0),0)</f>
        <v>34</v>
      </c>
      <c r="J107" s="4" t="str">
        <f ca="1">IF(AND(I107&lt;&gt;0,OFFSET(SysColours!$A$1,I107-1,4)=F107),"dupe","")</f>
        <v>dupe</v>
      </c>
    </row>
    <row r="108" spans="2:10" x14ac:dyDescent="0.25">
      <c r="B108" s="4" t="s">
        <v>176</v>
      </c>
      <c r="C108" s="4">
        <v>102</v>
      </c>
      <c r="D108" s="4">
        <v>205</v>
      </c>
      <c r="E108" s="4">
        <v>170</v>
      </c>
      <c r="F108" s="4">
        <v>11193702</v>
      </c>
      <c r="G108" s="5" t="str">
        <f t="shared" si="3"/>
        <v>#66CDAA</v>
      </c>
      <c r="H108" s="64" t="s">
        <v>26</v>
      </c>
      <c r="I108" s="4">
        <f>IFERROR(MATCH(B108,SysColours!A:A,0),0)</f>
        <v>243</v>
      </c>
      <c r="J108" s="4" t="str">
        <f ca="1">IF(AND(I108&lt;&gt;0,OFFSET(SysColours!$A$1,I108-1,4)=F108),"dupe","")</f>
        <v>dupe</v>
      </c>
    </row>
    <row r="109" spans="2:10" x14ac:dyDescent="0.25">
      <c r="B109" s="4" t="s">
        <v>118</v>
      </c>
      <c r="C109" s="4">
        <v>0</v>
      </c>
      <c r="D109" s="4">
        <v>0</v>
      </c>
      <c r="E109" s="4">
        <v>205</v>
      </c>
      <c r="F109" s="4">
        <v>13434880</v>
      </c>
      <c r="G109" s="5" t="str">
        <f t="shared" si="3"/>
        <v>#0000CD</v>
      </c>
      <c r="H109" s="146" t="s">
        <v>26</v>
      </c>
      <c r="I109" s="4">
        <f>IFERROR(MATCH(B109,SysColours!A:A,0),0)</f>
        <v>138</v>
      </c>
      <c r="J109" s="4" t="str">
        <f ca="1">IF(AND(I109&lt;&gt;0,OFFSET(SysColours!$A$1,I109-1,4)=F109),"dupe","")</f>
        <v>dupe</v>
      </c>
    </row>
    <row r="110" spans="2:10" x14ac:dyDescent="0.25">
      <c r="B110" s="4" t="s">
        <v>119</v>
      </c>
      <c r="C110" s="4">
        <v>186</v>
      </c>
      <c r="D110" s="4">
        <v>85</v>
      </c>
      <c r="E110" s="4">
        <v>211</v>
      </c>
      <c r="F110" s="4">
        <v>13850042</v>
      </c>
      <c r="G110" s="5" t="str">
        <f t="shared" si="3"/>
        <v>#BA55D3</v>
      </c>
      <c r="H110" s="147" t="s">
        <v>26</v>
      </c>
      <c r="I110" s="4">
        <f>IFERROR(MATCH(B110,SysColours!A:A,0),0)</f>
        <v>101</v>
      </c>
      <c r="J110" s="4" t="str">
        <f ca="1">IF(AND(I110&lt;&gt;0,OFFSET(SysColours!$A$1,I110-1,4)=F110),"dupe","")</f>
        <v>dupe</v>
      </c>
    </row>
    <row r="111" spans="2:10" x14ac:dyDescent="0.25">
      <c r="B111" s="4" t="s">
        <v>120</v>
      </c>
      <c r="C111" s="4">
        <v>147</v>
      </c>
      <c r="D111" s="4">
        <v>112</v>
      </c>
      <c r="E111" s="4">
        <v>219</v>
      </c>
      <c r="F111" s="4">
        <v>14381203</v>
      </c>
      <c r="G111" s="5" t="str">
        <f t="shared" si="3"/>
        <v>#9370DB</v>
      </c>
      <c r="H111" s="148" t="s">
        <v>26</v>
      </c>
      <c r="I111" s="4">
        <f>IFERROR(MATCH(B111,SysColours!A:A,0),0)</f>
        <v>119</v>
      </c>
      <c r="J111" s="4" t="str">
        <f ca="1">IF(AND(I111&lt;&gt;0,OFFSET(SysColours!$A$1,I111-1,4)=F111),"dupe","")</f>
        <v>dupe</v>
      </c>
    </row>
    <row r="112" spans="2:10" x14ac:dyDescent="0.25">
      <c r="B112" s="4" t="s">
        <v>121</v>
      </c>
      <c r="C112" s="4">
        <v>60</v>
      </c>
      <c r="D112" s="4">
        <v>179</v>
      </c>
      <c r="E112" s="4">
        <v>113</v>
      </c>
      <c r="F112" s="4">
        <v>7451452</v>
      </c>
      <c r="G112" s="5" t="str">
        <f t="shared" si="3"/>
        <v>#3CB371</v>
      </c>
      <c r="H112" s="65" t="s">
        <v>26</v>
      </c>
      <c r="I112" s="4">
        <f>IFERROR(MATCH(B112,SysColours!A:A,0),0)</f>
        <v>251</v>
      </c>
      <c r="J112" s="4" t="str">
        <f ca="1">IF(AND(I112&lt;&gt;0,OFFSET(SysColours!$A$1,I112-1,4)=F112),"dupe","")</f>
        <v>dupe</v>
      </c>
    </row>
    <row r="113" spans="2:10" x14ac:dyDescent="0.25">
      <c r="B113" s="4" t="s">
        <v>122</v>
      </c>
      <c r="C113" s="4">
        <v>123</v>
      </c>
      <c r="D113" s="4">
        <v>104</v>
      </c>
      <c r="E113" s="4">
        <v>238</v>
      </c>
      <c r="F113" s="4">
        <v>15624315</v>
      </c>
      <c r="G113" s="5" t="str">
        <f t="shared" si="3"/>
        <v>#7B68EE</v>
      </c>
      <c r="H113" s="149" t="s">
        <v>26</v>
      </c>
      <c r="I113" s="4">
        <f>IFERROR(MATCH(B113,SysColours!A:A,0),0)</f>
        <v>126</v>
      </c>
      <c r="J113" s="4" t="str">
        <f ca="1">IF(AND(I113&lt;&gt;0,OFFSET(SysColours!$A$1,I113-1,4)=F113),"dupe","")</f>
        <v>dupe</v>
      </c>
    </row>
    <row r="114" spans="2:10" x14ac:dyDescent="0.25">
      <c r="B114" s="4" t="s">
        <v>123</v>
      </c>
      <c r="C114" s="4">
        <v>0</v>
      </c>
      <c r="D114" s="4">
        <v>250</v>
      </c>
      <c r="E114" s="4">
        <v>154</v>
      </c>
      <c r="F114" s="4">
        <v>10156544</v>
      </c>
      <c r="G114" s="5" t="str">
        <f t="shared" si="3"/>
        <v>#00FA9A</v>
      </c>
      <c r="H114" s="66" t="s">
        <v>26</v>
      </c>
      <c r="I114" s="4">
        <f>IFERROR(MATCH(B114,SysColours!A:A,0),0)</f>
        <v>244</v>
      </c>
      <c r="J114" s="4" t="str">
        <f ca="1">IF(AND(I114&lt;&gt;0,OFFSET(SysColours!$A$1,I114-1,4)=F114),"dupe","")</f>
        <v>dupe</v>
      </c>
    </row>
    <row r="115" spans="2:10" x14ac:dyDescent="0.25">
      <c r="B115" s="4" t="s">
        <v>124</v>
      </c>
      <c r="C115" s="4">
        <v>72</v>
      </c>
      <c r="D115" s="4">
        <v>209</v>
      </c>
      <c r="E115" s="4">
        <v>204</v>
      </c>
      <c r="F115" s="4">
        <v>13422920</v>
      </c>
      <c r="G115" s="5" t="str">
        <f t="shared" si="3"/>
        <v>#48D1CC</v>
      </c>
      <c r="H115" s="67" t="s">
        <v>26</v>
      </c>
      <c r="I115" s="4">
        <f>IFERROR(MATCH(B115,SysColours!A:A,0),0)</f>
        <v>235</v>
      </c>
      <c r="J115" s="4" t="str">
        <f ca="1">IF(AND(I115&lt;&gt;0,OFFSET(SysColours!$A$1,I115-1,4)=F115),"dupe","")</f>
        <v>dupe</v>
      </c>
    </row>
    <row r="116" spans="2:10" x14ac:dyDescent="0.25">
      <c r="B116" s="4" t="s">
        <v>125</v>
      </c>
      <c r="C116" s="4">
        <v>199</v>
      </c>
      <c r="D116" s="4">
        <v>21</v>
      </c>
      <c r="E116" s="4">
        <v>133</v>
      </c>
      <c r="F116" s="4">
        <v>8721863</v>
      </c>
      <c r="G116" s="5" t="str">
        <f t="shared" si="3"/>
        <v>#C71585</v>
      </c>
      <c r="H116" s="150" t="s">
        <v>26</v>
      </c>
      <c r="I116" s="4">
        <f>IFERROR(MATCH(B116,SysColours!A:A,0),0)</f>
        <v>75</v>
      </c>
      <c r="J116" s="4" t="str">
        <f ca="1">IF(AND(I116&lt;&gt;0,OFFSET(SysColours!$A$1,I116-1,4)=F116),"dupe","")</f>
        <v>dupe</v>
      </c>
    </row>
    <row r="117" spans="2:10" x14ac:dyDescent="0.25">
      <c r="B117" s="4" t="s">
        <v>126</v>
      </c>
      <c r="C117" s="4">
        <v>25</v>
      </c>
      <c r="D117" s="4">
        <v>25</v>
      </c>
      <c r="E117" s="4">
        <v>112</v>
      </c>
      <c r="F117" s="4">
        <v>7346457</v>
      </c>
      <c r="G117" s="5" t="str">
        <f t="shared" si="3"/>
        <v>#191970</v>
      </c>
      <c r="H117" s="151" t="s">
        <v>26</v>
      </c>
      <c r="I117" s="4">
        <f>IFERROR(MATCH(B117,SysColours!A:A,0),0)</f>
        <v>141</v>
      </c>
      <c r="J117" s="4" t="str">
        <f ca="1">IF(AND(I117&lt;&gt;0,OFFSET(SysColours!$A$1,I117-1,4)=F117),"dupe","")</f>
        <v>dupe</v>
      </c>
    </row>
    <row r="118" spans="2:10" x14ac:dyDescent="0.25">
      <c r="B118" s="4" t="s">
        <v>127</v>
      </c>
      <c r="C118" s="4">
        <v>245</v>
      </c>
      <c r="D118" s="4">
        <v>255</v>
      </c>
      <c r="E118" s="4">
        <v>250</v>
      </c>
      <c r="F118" s="4">
        <v>16449525</v>
      </c>
      <c r="G118" s="5" t="str">
        <f t="shared" si="3"/>
        <v>#F5FFFA</v>
      </c>
      <c r="H118" s="68" t="s">
        <v>26</v>
      </c>
      <c r="I118" s="4">
        <f>IFERROR(MATCH(B118,SysColours!A:A,0),0)</f>
        <v>245</v>
      </c>
      <c r="J118" s="4" t="str">
        <f ca="1">IF(AND(I118&lt;&gt;0,OFFSET(SysColours!$A$1,I118-1,4)=F118),"dupe","")</f>
        <v>dupe</v>
      </c>
    </row>
    <row r="119" spans="2:10" x14ac:dyDescent="0.25">
      <c r="B119" s="4" t="s">
        <v>128</v>
      </c>
      <c r="C119" s="4">
        <v>255</v>
      </c>
      <c r="D119" s="4">
        <v>228</v>
      </c>
      <c r="E119" s="4">
        <v>225</v>
      </c>
      <c r="F119" s="4">
        <v>14804223</v>
      </c>
      <c r="G119" s="5" t="str">
        <f t="shared" si="3"/>
        <v>#FFE4E1</v>
      </c>
      <c r="H119" s="69" t="s">
        <v>26</v>
      </c>
      <c r="I119" s="4">
        <f>IFERROR(MATCH(B119,SysColours!A:A,0),0)</f>
        <v>453</v>
      </c>
      <c r="J119" s="4" t="str">
        <f ca="1">IF(AND(I119&lt;&gt;0,OFFSET(SysColours!$A$1,I119-1,4)=F119),"dupe","")</f>
        <v>dupe</v>
      </c>
    </row>
    <row r="120" spans="2:10" x14ac:dyDescent="0.25">
      <c r="B120" s="4" t="s">
        <v>129</v>
      </c>
      <c r="C120" s="4">
        <v>255</v>
      </c>
      <c r="D120" s="4">
        <v>228</v>
      </c>
      <c r="E120" s="4">
        <v>181</v>
      </c>
      <c r="F120" s="4">
        <v>11920639</v>
      </c>
      <c r="G120" s="5" t="str">
        <f t="shared" si="3"/>
        <v>#FFE4B5</v>
      </c>
      <c r="H120" s="70" t="s">
        <v>26</v>
      </c>
      <c r="I120" s="4">
        <f>IFERROR(MATCH(B120,SysColours!A:A,0),0)</f>
        <v>369</v>
      </c>
      <c r="J120" s="4" t="str">
        <f ca="1">IF(AND(I120&lt;&gt;0,OFFSET(SysColours!$A$1,I120-1,4)=F120),"dupe","")</f>
        <v>dupe</v>
      </c>
    </row>
    <row r="121" spans="2:10" x14ac:dyDescent="0.25">
      <c r="B121" s="4" t="s">
        <v>130</v>
      </c>
      <c r="C121" s="4">
        <v>255</v>
      </c>
      <c r="D121" s="4">
        <v>222</v>
      </c>
      <c r="E121" s="4">
        <v>173</v>
      </c>
      <c r="F121" s="4">
        <v>11394815</v>
      </c>
      <c r="G121" s="5" t="str">
        <f t="shared" si="3"/>
        <v>#FFDEAD</v>
      </c>
      <c r="H121" s="71" t="s">
        <v>26</v>
      </c>
      <c r="I121" s="4">
        <f>IFERROR(MATCH(B121,SysColours!A:A,0),0)</f>
        <v>373</v>
      </c>
      <c r="J121" s="4" t="str">
        <f ca="1">IF(AND(I121&lt;&gt;0,OFFSET(SysColours!$A$1,I121-1,4)=F121),"dupe","")</f>
        <v>dupe</v>
      </c>
    </row>
    <row r="122" spans="2:10" x14ac:dyDescent="0.25">
      <c r="B122" s="4" t="s">
        <v>131</v>
      </c>
      <c r="C122" s="4">
        <v>0</v>
      </c>
      <c r="D122" s="4">
        <v>0</v>
      </c>
      <c r="E122" s="4">
        <v>128</v>
      </c>
      <c r="F122" s="4">
        <v>8388608</v>
      </c>
      <c r="G122" s="5" t="str">
        <f t="shared" si="3"/>
        <v>#000080</v>
      </c>
      <c r="H122" s="152" t="s">
        <v>26</v>
      </c>
      <c r="I122" s="4">
        <f>IFERROR(MATCH(B122,SysColours!A:A,0),0)</f>
        <v>142</v>
      </c>
      <c r="J122" s="4" t="str">
        <f ca="1">IF(AND(I122&lt;&gt;0,OFFSET(SysColours!$A$1,I122-1,4)=F122),"dupe","")</f>
        <v>dupe</v>
      </c>
    </row>
    <row r="123" spans="2:10" x14ac:dyDescent="0.25">
      <c r="B123" s="4" t="s">
        <v>132</v>
      </c>
      <c r="C123" s="4">
        <v>253</v>
      </c>
      <c r="D123" s="4">
        <v>245</v>
      </c>
      <c r="E123" s="4">
        <v>230</v>
      </c>
      <c r="F123" s="4">
        <v>15136253</v>
      </c>
      <c r="G123" s="5" t="str">
        <f t="shared" si="3"/>
        <v>#FDF5E6</v>
      </c>
      <c r="H123" s="72" t="s">
        <v>26</v>
      </c>
      <c r="I123" s="4">
        <f>IFERROR(MATCH(B123,SysColours!A:A,0),0)</f>
        <v>359</v>
      </c>
      <c r="J123" s="4" t="str">
        <f ca="1">IF(AND(I123&lt;&gt;0,OFFSET(SysColours!$A$1,I123-1,4)=F123),"dupe","")</f>
        <v>dupe</v>
      </c>
    </row>
    <row r="124" spans="2:10" x14ac:dyDescent="0.25">
      <c r="B124" s="4" t="s">
        <v>133</v>
      </c>
      <c r="C124" s="4">
        <v>128</v>
      </c>
      <c r="D124" s="4">
        <v>128</v>
      </c>
      <c r="E124" s="4">
        <v>0</v>
      </c>
      <c r="F124" s="4">
        <v>32896</v>
      </c>
      <c r="G124" s="5" t="str">
        <f t="shared" si="3"/>
        <v>#808000</v>
      </c>
      <c r="H124" s="153" t="s">
        <v>26</v>
      </c>
      <c r="I124" s="4">
        <f>IFERROR(MATCH(B124,SysColours!A:A,0),0)</f>
        <v>318</v>
      </c>
      <c r="J124" s="4" t="str">
        <f ca="1">IF(AND(I124&lt;&gt;0,OFFSET(SysColours!$A$1,I124-1,4)=F124),"dupe","")</f>
        <v>dupe</v>
      </c>
    </row>
    <row r="125" spans="2:10" x14ac:dyDescent="0.25">
      <c r="B125" s="4" t="s">
        <v>134</v>
      </c>
      <c r="C125" s="4">
        <v>107</v>
      </c>
      <c r="D125" s="4">
        <v>142</v>
      </c>
      <c r="E125" s="4">
        <v>35</v>
      </c>
      <c r="F125" s="4">
        <v>2330219</v>
      </c>
      <c r="G125" s="5" t="str">
        <f t="shared" si="3"/>
        <v>#6B8E23</v>
      </c>
      <c r="H125" s="154" t="s">
        <v>26</v>
      </c>
      <c r="I125" s="4">
        <f>IFERROR(MATCH(B125,SysColours!A:A,0),0)</f>
        <v>295</v>
      </c>
      <c r="J125" s="4" t="str">
        <f ca="1">IF(AND(I125&lt;&gt;0,OFFSET(SysColours!$A$1,I125-1,4)=F125),"dupe","")</f>
        <v>dupe</v>
      </c>
    </row>
    <row r="126" spans="2:10" x14ac:dyDescent="0.25">
      <c r="B126" s="4" t="s">
        <v>135</v>
      </c>
      <c r="C126" s="4">
        <v>255</v>
      </c>
      <c r="D126" s="4">
        <v>165</v>
      </c>
      <c r="E126" s="4">
        <v>0</v>
      </c>
      <c r="F126" s="4">
        <v>42495</v>
      </c>
      <c r="G126" s="5" t="str">
        <f t="shared" si="3"/>
        <v>#FFA500</v>
      </c>
      <c r="H126" s="73" t="s">
        <v>26</v>
      </c>
      <c r="I126" s="4">
        <f>IFERROR(MATCH(B126,SysColours!A:A,0),0)</f>
        <v>363</v>
      </c>
      <c r="J126" s="4" t="str">
        <f ca="1">IF(AND(I126&lt;&gt;0,OFFSET(SysColours!$A$1,I126-1,4)=F126),"dupe","")</f>
        <v>dupe</v>
      </c>
    </row>
    <row r="127" spans="2:10" x14ac:dyDescent="0.25">
      <c r="B127" s="4" t="s">
        <v>136</v>
      </c>
      <c r="C127" s="4">
        <v>255</v>
      </c>
      <c r="D127" s="4">
        <v>69</v>
      </c>
      <c r="E127" s="4">
        <v>0</v>
      </c>
      <c r="F127" s="4">
        <v>17919</v>
      </c>
      <c r="G127" s="5" t="str">
        <f t="shared" si="3"/>
        <v>#FF4500</v>
      </c>
      <c r="H127" s="155" t="s">
        <v>26</v>
      </c>
      <c r="I127" s="4">
        <f>IFERROR(MATCH(B127,SysColours!A:A,0),0)</f>
        <v>432</v>
      </c>
      <c r="J127" s="4" t="str">
        <f ca="1">IF(AND(I127&lt;&gt;0,OFFSET(SysColours!$A$1,I127-1,4)=F127),"dupe","")</f>
        <v>dupe</v>
      </c>
    </row>
    <row r="128" spans="2:10" x14ac:dyDescent="0.25">
      <c r="B128" s="4" t="s">
        <v>137</v>
      </c>
      <c r="C128" s="4">
        <v>218</v>
      </c>
      <c r="D128" s="4">
        <v>112</v>
      </c>
      <c r="E128" s="4">
        <v>214</v>
      </c>
      <c r="F128" s="4">
        <v>14053594</v>
      </c>
      <c r="G128" s="5" t="str">
        <f t="shared" si="3"/>
        <v>#DA70D6</v>
      </c>
      <c r="H128" s="74" t="s">
        <v>26</v>
      </c>
      <c r="I128" s="4">
        <f>IFERROR(MATCH(B128,SysColours!A:A,0),0)</f>
        <v>78</v>
      </c>
      <c r="J128" s="4" t="str">
        <f ca="1">IF(AND(I128&lt;&gt;0,OFFSET(SysColours!$A$1,I128-1,4)=F128),"dupe","")</f>
        <v>dupe</v>
      </c>
    </row>
    <row r="129" spans="2:10" x14ac:dyDescent="0.25">
      <c r="B129" s="4" t="s">
        <v>174</v>
      </c>
      <c r="C129" s="4">
        <v>238</v>
      </c>
      <c r="D129" s="4">
        <v>232</v>
      </c>
      <c r="E129" s="4">
        <v>170</v>
      </c>
      <c r="F129" s="4">
        <v>11200750</v>
      </c>
      <c r="G129" s="5" t="str">
        <f t="shared" si="3"/>
        <v>#EEE8AA</v>
      </c>
      <c r="H129" s="75" t="s">
        <v>26</v>
      </c>
      <c r="I129" s="4">
        <f>IFERROR(MATCH(B129,SysColours!A:A,0),0)</f>
        <v>325</v>
      </c>
      <c r="J129" s="4" t="str">
        <f ca="1">IF(AND(I129&lt;&gt;0,OFFSET(SysColours!$A$1,I129-1,4)=F129),"dupe","")</f>
        <v>dupe</v>
      </c>
    </row>
    <row r="130" spans="2:10" x14ac:dyDescent="0.25">
      <c r="B130" s="4" t="s">
        <v>37</v>
      </c>
      <c r="C130" s="4">
        <v>152</v>
      </c>
      <c r="D130" s="4">
        <v>251</v>
      </c>
      <c r="E130" s="4">
        <v>152</v>
      </c>
      <c r="F130" s="4">
        <v>10025880</v>
      </c>
      <c r="G130" s="5" t="str">
        <f t="shared" si="3"/>
        <v>#98FB98</v>
      </c>
      <c r="H130" s="76" t="s">
        <v>26</v>
      </c>
      <c r="I130" s="4">
        <f>IFERROR(MATCH(B130,SysColours!A:A,0),0)</f>
        <v>264</v>
      </c>
      <c r="J130" s="4" t="str">
        <f ca="1">IF(AND(I130&lt;&gt;0,OFFSET(SysColours!$A$1,I130-1,4)=F130),"dupe","")</f>
        <v>dupe</v>
      </c>
    </row>
    <row r="131" spans="2:10" x14ac:dyDescent="0.25">
      <c r="B131" s="4" t="s">
        <v>138</v>
      </c>
      <c r="C131" s="4">
        <v>175</v>
      </c>
      <c r="D131" s="4">
        <v>238</v>
      </c>
      <c r="E131" s="4">
        <v>238</v>
      </c>
      <c r="F131" s="4">
        <v>15658671</v>
      </c>
      <c r="G131" s="5" t="str">
        <f t="shared" ref="G131:G162" si="4">rgb2hex(F131)</f>
        <v>#AFEEEE</v>
      </c>
      <c r="H131" s="77" t="s">
        <v>26</v>
      </c>
      <c r="I131" s="4">
        <f>IFERROR(MATCH(B131,SysColours!A:A,0),0)</f>
        <v>213</v>
      </c>
      <c r="J131" s="4" t="str">
        <f ca="1">IF(AND(I131&lt;&gt;0,OFFSET(SysColours!$A$1,I131-1,4)=F131),"dupe","")</f>
        <v>dupe</v>
      </c>
    </row>
    <row r="132" spans="2:10" x14ac:dyDescent="0.25">
      <c r="B132" s="4" t="s">
        <v>139</v>
      </c>
      <c r="C132" s="4">
        <v>219</v>
      </c>
      <c r="D132" s="4">
        <v>112</v>
      </c>
      <c r="E132" s="4">
        <v>147</v>
      </c>
      <c r="F132" s="4">
        <v>9662683</v>
      </c>
      <c r="G132" s="5" t="str">
        <f t="shared" si="4"/>
        <v>#DB7093</v>
      </c>
      <c r="H132" s="156" t="s">
        <v>26</v>
      </c>
      <c r="I132" s="4">
        <f>IFERROR(MATCH(B132,SysColours!A:A,0),0)</f>
        <v>47</v>
      </c>
      <c r="J132" s="4" t="str">
        <f ca="1">IF(AND(I132&lt;&gt;0,OFFSET(SysColours!$A$1,I132-1,4)=F132),"dupe","")</f>
        <v>dupe</v>
      </c>
    </row>
    <row r="133" spans="2:10" x14ac:dyDescent="0.25">
      <c r="B133" s="4" t="s">
        <v>140</v>
      </c>
      <c r="C133" s="4">
        <v>255</v>
      </c>
      <c r="D133" s="4">
        <v>239</v>
      </c>
      <c r="E133" s="4">
        <v>213</v>
      </c>
      <c r="F133" s="4">
        <v>14020607</v>
      </c>
      <c r="G133" s="5" t="str">
        <f t="shared" si="4"/>
        <v>#FFEFD5</v>
      </c>
      <c r="H133" s="78" t="s">
        <v>26</v>
      </c>
      <c r="I133" s="4">
        <f>IFERROR(MATCH(B133,SysColours!A:A,0),0)</f>
        <v>370</v>
      </c>
      <c r="J133" s="4" t="str">
        <f ca="1">IF(AND(I133&lt;&gt;0,OFFSET(SysColours!$A$1,I133-1,4)=F133),"dupe","")</f>
        <v>dupe</v>
      </c>
    </row>
    <row r="134" spans="2:10" x14ac:dyDescent="0.25">
      <c r="B134" s="4" t="s">
        <v>141</v>
      </c>
      <c r="C134" s="4">
        <v>255</v>
      </c>
      <c r="D134" s="4">
        <v>218</v>
      </c>
      <c r="E134" s="4">
        <v>185</v>
      </c>
      <c r="F134" s="4">
        <v>12180223</v>
      </c>
      <c r="G134" s="5" t="str">
        <f t="shared" si="4"/>
        <v>#FFDAB9</v>
      </c>
      <c r="H134" s="79" t="s">
        <v>26</v>
      </c>
      <c r="I134" s="4">
        <f>IFERROR(MATCH(B134,SysColours!A:A,0),0)</f>
        <v>404</v>
      </c>
      <c r="J134" s="4" t="str">
        <f ca="1">IF(AND(I134&lt;&gt;0,OFFSET(SysColours!$A$1,I134-1,4)=F134),"dupe","")</f>
        <v>dupe</v>
      </c>
    </row>
    <row r="135" spans="2:10" x14ac:dyDescent="0.25">
      <c r="B135" s="4" t="s">
        <v>142</v>
      </c>
      <c r="C135" s="4">
        <v>205</v>
      </c>
      <c r="D135" s="4">
        <v>133</v>
      </c>
      <c r="E135" s="4">
        <v>63</v>
      </c>
      <c r="F135" s="4">
        <v>4163021</v>
      </c>
      <c r="G135" s="5" t="str">
        <f t="shared" si="4"/>
        <v>#CD853F</v>
      </c>
      <c r="H135" s="80" t="s">
        <v>26</v>
      </c>
      <c r="I135" s="4">
        <f>IFERROR(MATCH(B135,SysColours!A:A,0),0)</f>
        <v>399</v>
      </c>
      <c r="J135" s="4" t="str">
        <f ca="1">IF(AND(I135&lt;&gt;0,OFFSET(SysColours!$A$1,I135-1,4)=F135),"dupe","")</f>
        <v>dupe</v>
      </c>
    </row>
    <row r="136" spans="2:10" x14ac:dyDescent="0.25">
      <c r="B136" s="4" t="s">
        <v>143</v>
      </c>
      <c r="C136" s="4">
        <v>255</v>
      </c>
      <c r="D136" s="4">
        <v>192</v>
      </c>
      <c r="E136" s="4">
        <v>203</v>
      </c>
      <c r="F136" s="4">
        <v>13353215</v>
      </c>
      <c r="G136" s="5" t="str">
        <f t="shared" si="4"/>
        <v>#FFC0CB</v>
      </c>
      <c r="H136" s="81" t="s">
        <v>26</v>
      </c>
      <c r="I136" s="4">
        <f>IFERROR(MATCH(B136,SysColours!A:A,0),0)</f>
        <v>40</v>
      </c>
      <c r="J136" s="4" t="str">
        <f ca="1">IF(AND(I136&lt;&gt;0,OFFSET(SysColours!$A$1,I136-1,4)=F136),"dupe","")</f>
        <v>dupe</v>
      </c>
    </row>
    <row r="137" spans="2:10" x14ac:dyDescent="0.25">
      <c r="B137" s="4" t="s">
        <v>144</v>
      </c>
      <c r="C137" s="4">
        <v>221</v>
      </c>
      <c r="D137" s="4">
        <v>160</v>
      </c>
      <c r="E137" s="4">
        <v>221</v>
      </c>
      <c r="F137" s="4">
        <v>14524637</v>
      </c>
      <c r="G137" s="5" t="str">
        <f t="shared" si="4"/>
        <v>#DDA0DD</v>
      </c>
      <c r="H137" s="82" t="s">
        <v>26</v>
      </c>
      <c r="I137" s="4">
        <f>IFERROR(MATCH(B137,SysColours!A:A,0),0)</f>
        <v>88</v>
      </c>
      <c r="J137" s="4" t="str">
        <f ca="1">IF(AND(I137&lt;&gt;0,OFFSET(SysColours!$A$1,I137-1,4)=F137),"dupe","")</f>
        <v>dupe</v>
      </c>
    </row>
    <row r="138" spans="2:10" x14ac:dyDescent="0.25">
      <c r="B138" s="4" t="s">
        <v>145</v>
      </c>
      <c r="C138" s="4">
        <v>176</v>
      </c>
      <c r="D138" s="4">
        <v>224</v>
      </c>
      <c r="E138" s="4">
        <v>230</v>
      </c>
      <c r="F138" s="4">
        <v>15130800</v>
      </c>
      <c r="G138" s="5" t="str">
        <f t="shared" si="4"/>
        <v>#B0E0E6</v>
      </c>
      <c r="H138" s="83" t="s">
        <v>26</v>
      </c>
      <c r="I138" s="4">
        <f>IFERROR(MATCH(B138,SysColours!A:A,0),0)</f>
        <v>194</v>
      </c>
      <c r="J138" s="4" t="str">
        <f ca="1">IF(AND(I138&lt;&gt;0,OFFSET(SysColours!$A$1,I138-1,4)=F138),"dupe","")</f>
        <v>dupe</v>
      </c>
    </row>
    <row r="139" spans="2:10" x14ac:dyDescent="0.25">
      <c r="B139" s="4" t="s">
        <v>146</v>
      </c>
      <c r="C139" s="4">
        <v>128</v>
      </c>
      <c r="D139" s="4">
        <v>0</v>
      </c>
      <c r="E139" s="4">
        <v>128</v>
      </c>
      <c r="F139" s="4">
        <v>8388736</v>
      </c>
      <c r="G139" s="5" t="str">
        <f t="shared" si="4"/>
        <v>#800080</v>
      </c>
      <c r="H139" s="157" t="s">
        <v>26</v>
      </c>
      <c r="I139" s="4">
        <f>IFERROR(MATCH(B139,SysColours!A:A,0),0)</f>
        <v>100</v>
      </c>
      <c r="J139" s="4" t="str">
        <f ca="1">IF(AND(I139&lt;&gt;0,OFFSET(SysColours!$A$1,I139-1,4)=F139),"dupe","")</f>
        <v>dupe</v>
      </c>
    </row>
    <row r="140" spans="2:10" x14ac:dyDescent="0.25">
      <c r="B140" s="4" t="s">
        <v>24</v>
      </c>
      <c r="C140" s="4">
        <v>255</v>
      </c>
      <c r="D140" s="4">
        <v>0</v>
      </c>
      <c r="E140" s="4">
        <v>0</v>
      </c>
      <c r="F140" s="4">
        <v>255</v>
      </c>
      <c r="G140" s="5" t="str">
        <f t="shared" si="4"/>
        <v>#FF0000</v>
      </c>
      <c r="H140" s="158" t="s">
        <v>26</v>
      </c>
      <c r="I140" s="4">
        <f>IFERROR(MATCH(B140,SysColours!A:A,0),0)</f>
        <v>21</v>
      </c>
      <c r="J140" s="4" t="str">
        <f ca="1">IF(AND(I140&lt;&gt;0,OFFSET(SysColours!$A$1,I140-1,4)=F140),"dupe","")</f>
        <v>dupe</v>
      </c>
    </row>
    <row r="141" spans="2:10" x14ac:dyDescent="0.25">
      <c r="B141" s="4" t="s">
        <v>147</v>
      </c>
      <c r="C141" s="4">
        <v>188</v>
      </c>
      <c r="D141" s="4">
        <v>143</v>
      </c>
      <c r="E141" s="4">
        <v>143</v>
      </c>
      <c r="F141" s="4">
        <v>9408444</v>
      </c>
      <c r="G141" s="5" t="str">
        <f t="shared" si="4"/>
        <v>#BC8F8F</v>
      </c>
      <c r="H141" s="84" t="s">
        <v>26</v>
      </c>
      <c r="I141" s="4">
        <f>IFERROR(MATCH(B141,SysColours!A:A,0),0)</f>
        <v>12</v>
      </c>
      <c r="J141" s="4" t="str">
        <f ca="1">IF(AND(I141&lt;&gt;0,OFFSET(SysColours!$A$1,I141-1,4)=F141),"dupe","")</f>
        <v>dupe</v>
      </c>
    </row>
    <row r="142" spans="2:10" x14ac:dyDescent="0.25">
      <c r="B142" s="4" t="s">
        <v>148</v>
      </c>
      <c r="C142" s="4">
        <v>65</v>
      </c>
      <c r="D142" s="4">
        <v>105</v>
      </c>
      <c r="E142" s="4">
        <v>225</v>
      </c>
      <c r="F142" s="4">
        <v>14772545</v>
      </c>
      <c r="G142" s="5" t="str">
        <f t="shared" si="4"/>
        <v>#4169E1</v>
      </c>
      <c r="H142" s="159" t="s">
        <v>26</v>
      </c>
      <c r="I142" s="4">
        <f>IFERROR(MATCH(B142,SysColours!A:A,0),0)</f>
        <v>144</v>
      </c>
      <c r="J142" s="4" t="str">
        <f ca="1">IF(AND(I142&lt;&gt;0,OFFSET(SysColours!$A$1,I142-1,4)=F142),"dupe","")</f>
        <v>dupe</v>
      </c>
    </row>
    <row r="143" spans="2:10" x14ac:dyDescent="0.25">
      <c r="B143" s="4" t="s">
        <v>149</v>
      </c>
      <c r="C143" s="4">
        <v>139</v>
      </c>
      <c r="D143" s="4">
        <v>69</v>
      </c>
      <c r="E143" s="4">
        <v>19</v>
      </c>
      <c r="F143" s="4">
        <v>1262987</v>
      </c>
      <c r="G143" s="5" t="str">
        <f t="shared" si="4"/>
        <v>#8B4513</v>
      </c>
      <c r="H143" s="160" t="s">
        <v>26</v>
      </c>
      <c r="I143" s="4">
        <f>IFERROR(MATCH(B143,SysColours!A:A,0),0)</f>
        <v>418</v>
      </c>
      <c r="J143" s="4" t="str">
        <f ca="1">IF(AND(I143&lt;&gt;0,OFFSET(SysColours!$A$1,I143-1,4)=F143),"dupe","")</f>
        <v>dupe</v>
      </c>
    </row>
    <row r="144" spans="2:10" x14ac:dyDescent="0.25">
      <c r="B144" s="4" t="s">
        <v>150</v>
      </c>
      <c r="C144" s="4">
        <v>250</v>
      </c>
      <c r="D144" s="4">
        <v>128</v>
      </c>
      <c r="E144" s="4">
        <v>114</v>
      </c>
      <c r="F144" s="4">
        <v>7504122</v>
      </c>
      <c r="G144" s="5" t="str">
        <f t="shared" si="4"/>
        <v>#FA8072</v>
      </c>
      <c r="H144" s="85" t="s">
        <v>26</v>
      </c>
      <c r="I144" s="4">
        <f>IFERROR(MATCH(B144,SysColours!A:A,0),0)</f>
        <v>455</v>
      </c>
      <c r="J144" s="4" t="str">
        <f ca="1">IF(AND(I144&lt;&gt;0,OFFSET(SysColours!$A$1,I144-1,4)=F144),"dupe","")</f>
        <v>dupe</v>
      </c>
    </row>
    <row r="145" spans="2:10" x14ac:dyDescent="0.25">
      <c r="B145" s="4" t="s">
        <v>151</v>
      </c>
      <c r="C145" s="4">
        <v>244</v>
      </c>
      <c r="D145" s="4">
        <v>164</v>
      </c>
      <c r="E145" s="4">
        <v>96</v>
      </c>
      <c r="F145" s="4">
        <v>6333684</v>
      </c>
      <c r="G145" s="5" t="str">
        <f t="shared" si="4"/>
        <v>#F4A460</v>
      </c>
      <c r="H145" s="86" t="s">
        <v>26</v>
      </c>
      <c r="I145" s="4">
        <f>IFERROR(MATCH(B145,SysColours!A:A,0),0)</f>
        <v>409</v>
      </c>
      <c r="J145" s="4" t="str">
        <f ca="1">IF(AND(I145&lt;&gt;0,OFFSET(SysColours!$A$1,I145-1,4)=F145),"dupe","")</f>
        <v>dupe</v>
      </c>
    </row>
    <row r="146" spans="2:10" x14ac:dyDescent="0.25">
      <c r="B146" s="4" t="s">
        <v>152</v>
      </c>
      <c r="C146" s="4">
        <v>46</v>
      </c>
      <c r="D146" s="4">
        <v>139</v>
      </c>
      <c r="E146" s="4">
        <v>87</v>
      </c>
      <c r="F146" s="4">
        <v>5737262</v>
      </c>
      <c r="G146" s="5" t="str">
        <f t="shared" si="4"/>
        <v>#2E8B57</v>
      </c>
      <c r="H146" s="161" t="s">
        <v>26</v>
      </c>
      <c r="I146" s="4">
        <f>IFERROR(MATCH(B146,SysColours!A:A,0),0)</f>
        <v>252</v>
      </c>
      <c r="J146" s="4" t="str">
        <f ca="1">IF(AND(I146&lt;&gt;0,OFFSET(SysColours!$A$1,I146-1,4)=F146),"dupe","")</f>
        <v>dupe</v>
      </c>
    </row>
    <row r="147" spans="2:10" x14ac:dyDescent="0.25">
      <c r="B147" s="4" t="s">
        <v>180</v>
      </c>
      <c r="C147" s="4">
        <v>255</v>
      </c>
      <c r="D147" s="4">
        <v>245</v>
      </c>
      <c r="E147" s="4">
        <v>238</v>
      </c>
      <c r="F147" s="4">
        <v>15660543</v>
      </c>
      <c r="G147" s="5" t="str">
        <f t="shared" si="4"/>
        <v>#FFF5EE</v>
      </c>
      <c r="H147" s="87" t="s">
        <v>26</v>
      </c>
      <c r="I147" s="4">
        <f>IFERROR(MATCH(B147,SysColours!A:A,0),0)</f>
        <v>419</v>
      </c>
      <c r="J147" s="4" t="str">
        <f ca="1">IF(AND(I147&lt;&gt;0,OFFSET(SysColours!$A$1,I147-1,4)=F147),"dupe","")</f>
        <v>dupe</v>
      </c>
    </row>
    <row r="148" spans="2:10" x14ac:dyDescent="0.25">
      <c r="B148" s="4" t="s">
        <v>153</v>
      </c>
      <c r="C148" s="4">
        <v>160</v>
      </c>
      <c r="D148" s="4">
        <v>82</v>
      </c>
      <c r="E148" s="4">
        <v>45</v>
      </c>
      <c r="F148" s="4">
        <v>2970272</v>
      </c>
      <c r="G148" s="5" t="str">
        <f t="shared" si="4"/>
        <v>#A0522D</v>
      </c>
      <c r="H148" s="162" t="s">
        <v>26</v>
      </c>
      <c r="I148" s="4">
        <f>IFERROR(MATCH(B148,SysColours!A:A,0),0)</f>
        <v>422</v>
      </c>
      <c r="J148" s="4" t="str">
        <f ca="1">IF(AND(I148&lt;&gt;0,OFFSET(SysColours!$A$1,I148-1,4)=F148),"dupe","")</f>
        <v>dupe</v>
      </c>
    </row>
    <row r="149" spans="2:10" x14ac:dyDescent="0.25">
      <c r="B149" s="4" t="s">
        <v>154</v>
      </c>
      <c r="C149" s="4">
        <v>192</v>
      </c>
      <c r="D149" s="4">
        <v>192</v>
      </c>
      <c r="E149" s="4">
        <v>192</v>
      </c>
      <c r="F149" s="4">
        <v>12632256</v>
      </c>
      <c r="G149" s="5" t="str">
        <f t="shared" si="4"/>
        <v>#C0C0C0</v>
      </c>
      <c r="H149" s="88" t="s">
        <v>26</v>
      </c>
      <c r="I149" s="4">
        <f>IFERROR(MATCH(B149,SysColours!A:A,0),0)</f>
        <v>513</v>
      </c>
      <c r="J149" s="4" t="str">
        <f ca="1">IF(AND(I149&lt;&gt;0,OFFSET(SysColours!$A$1,I149-1,4)=F149),"dupe","")</f>
        <v>dupe</v>
      </c>
    </row>
    <row r="150" spans="2:10" x14ac:dyDescent="0.25">
      <c r="B150" s="4" t="s">
        <v>155</v>
      </c>
      <c r="C150" s="4">
        <v>135</v>
      </c>
      <c r="D150" s="4">
        <v>206</v>
      </c>
      <c r="E150" s="4">
        <v>235</v>
      </c>
      <c r="F150" s="4">
        <v>15453831</v>
      </c>
      <c r="G150" s="5" t="str">
        <f t="shared" si="4"/>
        <v>#87CEEB</v>
      </c>
      <c r="H150" s="89" t="s">
        <v>26</v>
      </c>
      <c r="I150" s="4">
        <f>IFERROR(MATCH(B150,SysColours!A:A,0),0)</f>
        <v>183</v>
      </c>
      <c r="J150" s="4" t="str">
        <f ca="1">IF(AND(I150&lt;&gt;0,OFFSET(SysColours!$A$1,I150-1,4)=F150),"dupe","")</f>
        <v>dupe</v>
      </c>
    </row>
    <row r="151" spans="2:10" x14ac:dyDescent="0.25">
      <c r="B151" s="4" t="s">
        <v>156</v>
      </c>
      <c r="C151" s="4">
        <v>106</v>
      </c>
      <c r="D151" s="4">
        <v>90</v>
      </c>
      <c r="E151" s="4">
        <v>205</v>
      </c>
      <c r="F151" s="4">
        <v>13458026</v>
      </c>
      <c r="G151" s="5" t="str">
        <f t="shared" si="4"/>
        <v>#6A5ACD</v>
      </c>
      <c r="H151" s="163" t="s">
        <v>26</v>
      </c>
      <c r="I151" s="4">
        <f>IFERROR(MATCH(B151,SysColours!A:A,0),0)</f>
        <v>127</v>
      </c>
      <c r="J151" s="4" t="str">
        <f ca="1">IF(AND(I151&lt;&gt;0,OFFSET(SysColours!$A$1,I151-1,4)=F151),"dupe","")</f>
        <v>dupe</v>
      </c>
    </row>
    <row r="152" spans="2:10" x14ac:dyDescent="0.25">
      <c r="B152" s="4" t="s">
        <v>157</v>
      </c>
      <c r="C152" s="4">
        <v>112</v>
      </c>
      <c r="D152" s="4">
        <v>128</v>
      </c>
      <c r="E152" s="4">
        <v>144</v>
      </c>
      <c r="F152" s="4">
        <v>9470064</v>
      </c>
      <c r="G152" s="5" t="str">
        <f t="shared" si="4"/>
        <v>#708090</v>
      </c>
      <c r="H152" s="164" t="s">
        <v>26</v>
      </c>
      <c r="I152" s="4">
        <f>IFERROR(MATCH(B152,SysColours!A:A,0),0)</f>
        <v>161</v>
      </c>
      <c r="J152" s="4" t="str">
        <f ca="1">IF(AND(I152&lt;&gt;0,OFFSET(SysColours!$A$1,I152-1,4)=F152),"dupe","")</f>
        <v>dupe</v>
      </c>
    </row>
    <row r="153" spans="2:10" x14ac:dyDescent="0.25">
      <c r="B153" s="4" t="s">
        <v>158</v>
      </c>
      <c r="C153" s="4">
        <v>112</v>
      </c>
      <c r="D153" s="4">
        <v>128</v>
      </c>
      <c r="E153" s="4">
        <v>144</v>
      </c>
      <c r="F153" s="4">
        <v>9470064</v>
      </c>
      <c r="G153" s="5" t="str">
        <f t="shared" si="4"/>
        <v>#708090</v>
      </c>
      <c r="H153" s="164" t="s">
        <v>26</v>
      </c>
      <c r="I153" s="4">
        <f>IFERROR(MATCH(B153,SysColours!A:A,0),0)</f>
        <v>162</v>
      </c>
      <c r="J153" s="4" t="str">
        <f ca="1">IF(AND(I153&lt;&gt;0,OFFSET(SysColours!$A$1,I153-1,4)=F153),"dupe","")</f>
        <v>dupe</v>
      </c>
    </row>
    <row r="154" spans="2:10" x14ac:dyDescent="0.25">
      <c r="B154" s="4" t="s">
        <v>159</v>
      </c>
      <c r="C154" s="4">
        <v>255</v>
      </c>
      <c r="D154" s="4">
        <v>250</v>
      </c>
      <c r="E154" s="4">
        <v>250</v>
      </c>
      <c r="F154" s="4">
        <v>16448255</v>
      </c>
      <c r="G154" s="5" t="str">
        <f t="shared" si="4"/>
        <v>#FFFAFA</v>
      </c>
      <c r="H154" s="90" t="s">
        <v>26</v>
      </c>
      <c r="I154" s="4">
        <f>IFERROR(MATCH(B154,SysColours!A:A,0),0)</f>
        <v>2</v>
      </c>
      <c r="J154" s="4" t="str">
        <f ca="1">IF(AND(I154&lt;&gt;0,OFFSET(SysColours!$A$1,I154-1,4)=F154),"dupe","")</f>
        <v>dupe</v>
      </c>
    </row>
    <row r="155" spans="2:10" x14ac:dyDescent="0.25">
      <c r="B155" s="4" t="s">
        <v>160</v>
      </c>
      <c r="C155" s="4">
        <v>0</v>
      </c>
      <c r="D155" s="4">
        <v>255</v>
      </c>
      <c r="E155" s="4">
        <v>127</v>
      </c>
      <c r="F155" s="4">
        <v>8388352</v>
      </c>
      <c r="G155" s="5" t="str">
        <f t="shared" si="4"/>
        <v>#00FF7F</v>
      </c>
      <c r="H155" s="91" t="s">
        <v>26</v>
      </c>
      <c r="I155" s="4">
        <f>IFERROR(MATCH(B155,SysColours!A:A,0),0)</f>
        <v>246</v>
      </c>
      <c r="J155" s="4" t="str">
        <f ca="1">IF(AND(I155&lt;&gt;0,OFFSET(SysColours!$A$1,I155-1,4)=F155),"dupe","")</f>
        <v>dupe</v>
      </c>
    </row>
    <row r="156" spans="2:10" x14ac:dyDescent="0.25">
      <c r="B156" s="4" t="s">
        <v>161</v>
      </c>
      <c r="C156" s="4">
        <v>70</v>
      </c>
      <c r="D156" s="4">
        <v>130</v>
      </c>
      <c r="E156" s="4">
        <v>180</v>
      </c>
      <c r="F156" s="4">
        <v>11829830</v>
      </c>
      <c r="G156" s="5" t="str">
        <f t="shared" si="4"/>
        <v>#4682B4</v>
      </c>
      <c r="H156" s="165" t="s">
        <v>26</v>
      </c>
      <c r="I156" s="4">
        <f>IFERROR(MATCH(B156,SysColours!A:A,0),0)</f>
        <v>170</v>
      </c>
      <c r="J156" s="4" t="str">
        <f ca="1">IF(AND(I156&lt;&gt;0,OFFSET(SysColours!$A$1,I156-1,4)=F156),"dupe","")</f>
        <v>dupe</v>
      </c>
    </row>
    <row r="157" spans="2:10" x14ac:dyDescent="0.25">
      <c r="B157" s="4" t="s">
        <v>162</v>
      </c>
      <c r="C157" s="4">
        <v>210</v>
      </c>
      <c r="D157" s="4">
        <v>180</v>
      </c>
      <c r="E157" s="4">
        <v>140</v>
      </c>
      <c r="F157" s="4">
        <v>9221330</v>
      </c>
      <c r="G157" s="5" t="str">
        <f t="shared" si="4"/>
        <v>#D2B48C</v>
      </c>
      <c r="H157" s="92" t="s">
        <v>26</v>
      </c>
      <c r="I157" s="4">
        <f>IFERROR(MATCH(B157,SysColours!A:A,0),0)</f>
        <v>379</v>
      </c>
      <c r="J157" s="4" t="str">
        <f ca="1">IF(AND(I157&lt;&gt;0,OFFSET(SysColours!$A$1,I157-1,4)=F157),"dupe","")</f>
        <v>dupe</v>
      </c>
    </row>
    <row r="158" spans="2:10" x14ac:dyDescent="0.25">
      <c r="B158" s="4" t="s">
        <v>163</v>
      </c>
      <c r="C158" s="4">
        <v>0</v>
      </c>
      <c r="D158" s="4">
        <v>128</v>
      </c>
      <c r="E158" s="4">
        <v>128</v>
      </c>
      <c r="F158" s="4">
        <v>8421376</v>
      </c>
      <c r="G158" s="5" t="str">
        <f t="shared" si="4"/>
        <v>#008080</v>
      </c>
      <c r="H158" s="166" t="s">
        <v>26</v>
      </c>
      <c r="I158" s="4">
        <f>IFERROR(MATCH(B158,SysColours!A:A,0),0)</f>
        <v>232</v>
      </c>
      <c r="J158" s="4" t="str">
        <f ca="1">IF(AND(I158&lt;&gt;0,OFFSET(SysColours!$A$1,I158-1,4)=F158),"dupe","")</f>
        <v>dupe</v>
      </c>
    </row>
    <row r="159" spans="2:10" x14ac:dyDescent="0.25">
      <c r="B159" s="4" t="s">
        <v>164</v>
      </c>
      <c r="C159" s="4">
        <v>216</v>
      </c>
      <c r="D159" s="4">
        <v>191</v>
      </c>
      <c r="E159" s="4">
        <v>216</v>
      </c>
      <c r="F159" s="4">
        <v>14204888</v>
      </c>
      <c r="G159" s="5" t="str">
        <f t="shared" si="4"/>
        <v>#D8BFD8</v>
      </c>
      <c r="H159" s="93" t="s">
        <v>26</v>
      </c>
      <c r="I159" s="4">
        <f>IFERROR(MATCH(B159,SysColours!A:A,0),0)</f>
        <v>86</v>
      </c>
      <c r="J159" s="4" t="str">
        <f ca="1">IF(AND(I159&lt;&gt;0,OFFSET(SysColours!$A$1,I159-1,4)=F159),"dupe","")</f>
        <v>dupe</v>
      </c>
    </row>
    <row r="160" spans="2:10" x14ac:dyDescent="0.25">
      <c r="B160" s="4" t="s">
        <v>165</v>
      </c>
      <c r="C160" s="4">
        <v>255</v>
      </c>
      <c r="D160" s="4">
        <v>99</v>
      </c>
      <c r="E160" s="4">
        <v>71</v>
      </c>
      <c r="F160" s="4">
        <v>4678655</v>
      </c>
      <c r="G160" s="5" t="str">
        <f t="shared" si="4"/>
        <v>#FF6347</v>
      </c>
      <c r="H160" s="167" t="s">
        <v>26</v>
      </c>
      <c r="I160" s="4">
        <f>IFERROR(MATCH(B160,SysColours!A:A,0),0)</f>
        <v>447</v>
      </c>
      <c r="J160" s="4" t="str">
        <f ca="1">IF(AND(I160&lt;&gt;0,OFFSET(SysColours!$A$1,I160-1,4)=F160),"dupe","")</f>
        <v>dupe</v>
      </c>
    </row>
    <row r="161" spans="2:10" x14ac:dyDescent="0.25">
      <c r="B161" s="4" t="s">
        <v>166</v>
      </c>
      <c r="C161" s="4">
        <v>64</v>
      </c>
      <c r="D161" s="4">
        <v>224</v>
      </c>
      <c r="E161" s="4">
        <v>208</v>
      </c>
      <c r="F161" s="4">
        <v>13688896</v>
      </c>
      <c r="G161" s="5" t="str">
        <f t="shared" si="4"/>
        <v>#40E0D0</v>
      </c>
      <c r="H161" s="94" t="s">
        <v>26</v>
      </c>
      <c r="I161" s="4">
        <f>IFERROR(MATCH(B161,SysColours!A:A,0),0)</f>
        <v>237</v>
      </c>
      <c r="J161" s="4" t="str">
        <f ca="1">IF(AND(I161&lt;&gt;0,OFFSET(SysColours!$A$1,I161-1,4)=F161),"dupe","")</f>
        <v>dupe</v>
      </c>
    </row>
    <row r="162" spans="2:10" x14ac:dyDescent="0.25">
      <c r="B162" s="4" t="s">
        <v>167</v>
      </c>
      <c r="C162" s="4">
        <v>238</v>
      </c>
      <c r="D162" s="4">
        <v>130</v>
      </c>
      <c r="E162" s="4">
        <v>238</v>
      </c>
      <c r="F162" s="4">
        <v>15631086</v>
      </c>
      <c r="G162" s="5" t="str">
        <f t="shared" si="4"/>
        <v>#EE82EE</v>
      </c>
      <c r="H162" s="95" t="s">
        <v>26</v>
      </c>
      <c r="I162" s="4">
        <f>IFERROR(MATCH(B162,SysColours!A:A,0),0)</f>
        <v>89</v>
      </c>
      <c r="J162" s="4" t="str">
        <f ca="1">IF(AND(I162&lt;&gt;0,OFFSET(SysColours!$A$1,I162-1,4)=F162),"dupe","")</f>
        <v>dupe</v>
      </c>
    </row>
    <row r="163" spans="2:10" x14ac:dyDescent="0.25">
      <c r="B163" s="4" t="s">
        <v>168</v>
      </c>
      <c r="C163" s="4">
        <v>245</v>
      </c>
      <c r="D163" s="4">
        <v>222</v>
      </c>
      <c r="E163" s="4">
        <v>179</v>
      </c>
      <c r="F163" s="4">
        <v>11788021</v>
      </c>
      <c r="G163" s="5" t="str">
        <f t="shared" ref="G163:G176" si="5">rgb2hex(F163)</f>
        <v>#F5DEB3</v>
      </c>
      <c r="H163" s="96" t="s">
        <v>26</v>
      </c>
      <c r="I163" s="4">
        <f>IFERROR(MATCH(B163,SysColours!A:A,0),0)</f>
        <v>360</v>
      </c>
      <c r="J163" s="4" t="str">
        <f ca="1">IF(AND(I163&lt;&gt;0,OFFSET(SysColours!$A$1,I163-1,4)=F163),"dupe","")</f>
        <v>dupe</v>
      </c>
    </row>
    <row r="164" spans="2:10" x14ac:dyDescent="0.25">
      <c r="B164" s="4" t="s">
        <v>169</v>
      </c>
      <c r="C164" s="4">
        <v>255</v>
      </c>
      <c r="D164" s="4">
        <v>255</v>
      </c>
      <c r="E164" s="4">
        <v>255</v>
      </c>
      <c r="F164" s="4">
        <v>16777215</v>
      </c>
      <c r="G164" s="5" t="str">
        <f t="shared" si="5"/>
        <v>#FFFFFF</v>
      </c>
      <c r="H164" s="97" t="s">
        <v>26</v>
      </c>
      <c r="I164" s="4">
        <f>IFERROR(MATCH(B164,SysColours!A:A,0),0)</f>
        <v>457</v>
      </c>
      <c r="J164" s="4" t="str">
        <f ca="1">IF(AND(I164&lt;&gt;0,OFFSET(SysColours!$A$1,I164-1,4)=F164),"dupe","")</f>
        <v>dupe</v>
      </c>
    </row>
    <row r="165" spans="2:10" x14ac:dyDescent="0.25">
      <c r="B165" s="4" t="s">
        <v>170</v>
      </c>
      <c r="C165" s="4">
        <v>245</v>
      </c>
      <c r="D165" s="4">
        <v>245</v>
      </c>
      <c r="E165" s="4">
        <v>245</v>
      </c>
      <c r="F165" s="4">
        <v>16119285</v>
      </c>
      <c r="G165" s="5" t="str">
        <f t="shared" si="5"/>
        <v>#F5F5F5</v>
      </c>
      <c r="H165" s="98" t="s">
        <v>26</v>
      </c>
      <c r="I165" s="4">
        <f>IFERROR(MATCH(B165,SysColours!A:A,0),0)</f>
        <v>469</v>
      </c>
      <c r="J165" s="4" t="str">
        <f ca="1">IF(AND(I165&lt;&gt;0,OFFSET(SysColours!$A$1,I165-1,4)=F165),"dupe","")</f>
        <v>dupe</v>
      </c>
    </row>
    <row r="166" spans="2:10" x14ac:dyDescent="0.25">
      <c r="B166" s="4" t="s">
        <v>171</v>
      </c>
      <c r="C166" s="4">
        <v>255</v>
      </c>
      <c r="D166" s="4">
        <v>255</v>
      </c>
      <c r="E166" s="4">
        <v>0</v>
      </c>
      <c r="F166" s="4">
        <v>65535</v>
      </c>
      <c r="G166" s="5" t="str">
        <f t="shared" si="5"/>
        <v>#FFFF00</v>
      </c>
      <c r="H166" s="99" t="s">
        <v>26</v>
      </c>
      <c r="I166" s="4">
        <f>IFERROR(MATCH(B166,SysColours!A:A,0),0)</f>
        <v>313</v>
      </c>
      <c r="J166" s="4" t="str">
        <f ca="1">IF(AND(I166&lt;&gt;0,OFFSET(SysColours!$A$1,I166-1,4)=F166),"dupe","")</f>
        <v>dupe</v>
      </c>
    </row>
    <row r="167" spans="2:10" x14ac:dyDescent="0.25">
      <c r="B167" s="4" t="s">
        <v>172</v>
      </c>
      <c r="C167" s="4">
        <v>154</v>
      </c>
      <c r="D167" s="4">
        <v>205</v>
      </c>
      <c r="E167" s="4">
        <v>50</v>
      </c>
      <c r="F167" s="4">
        <v>3329434</v>
      </c>
      <c r="G167" s="5" t="str">
        <f t="shared" si="5"/>
        <v>#9ACD32</v>
      </c>
      <c r="H167" s="100" t="s">
        <v>26</v>
      </c>
      <c r="I167" s="4">
        <f>IFERROR(MATCH(B167,SysColours!A:A,0),0)</f>
        <v>299</v>
      </c>
      <c r="J167" s="4" t="str">
        <f ca="1">IF(AND(I167&lt;&gt;0,OFFSET(SysColours!$A$1,I167-1,4)=F167),"dupe","")</f>
        <v>dupe</v>
      </c>
    </row>
    <row r="168" spans="2:10" x14ac:dyDescent="0.25">
      <c r="B168" s="4" t="s">
        <v>191</v>
      </c>
      <c r="C168" s="4">
        <v>255</v>
      </c>
      <c r="D168" s="4">
        <v>106</v>
      </c>
      <c r="E168" s="4">
        <v>175</v>
      </c>
      <c r="F168" s="4">
        <f t="shared" ref="F168:F176" si="6">C168+256*D168+256*256*E168</f>
        <v>11496191</v>
      </c>
      <c r="G168" s="5" t="str">
        <f t="shared" si="5"/>
        <v>#FF6AAF</v>
      </c>
      <c r="H168" s="101" t="s">
        <v>26</v>
      </c>
      <c r="I168" s="4">
        <f>IFERROR(MATCH(B168,SysColours!A:A,0),0)</f>
        <v>0</v>
      </c>
      <c r="J168" s="4" t="e">
        <f ca="1">IF(AND(I168&lt;&gt;0,OFFSET(SysColours!$A$1,I168-1,4)=F168),"dupe","")</f>
        <v>#REF!</v>
      </c>
    </row>
    <row r="169" spans="2:10" x14ac:dyDescent="0.25">
      <c r="B169" s="4" t="s">
        <v>192</v>
      </c>
      <c r="C169" s="4">
        <v>255</v>
      </c>
      <c r="D169" s="4">
        <v>163</v>
      </c>
      <c r="E169" s="4">
        <v>205</v>
      </c>
      <c r="F169" s="4">
        <f t="shared" si="6"/>
        <v>13476863</v>
      </c>
      <c r="G169" s="5" t="str">
        <f t="shared" si="5"/>
        <v>#FFA3CD</v>
      </c>
      <c r="H169" s="102" t="s">
        <v>26</v>
      </c>
      <c r="I169" s="4">
        <f>IFERROR(MATCH(B169,SysColours!A:A,0),0)</f>
        <v>0</v>
      </c>
      <c r="J169" s="4" t="e">
        <f ca="1">IF(AND(I169&lt;&gt;0,OFFSET(SysColours!$A$1,I169-1,4)=F169),"dupe","")</f>
        <v>#REF!</v>
      </c>
    </row>
    <row r="170" spans="2:10" x14ac:dyDescent="0.25">
      <c r="B170" s="4" t="s">
        <v>143</v>
      </c>
      <c r="C170" s="4">
        <v>255</v>
      </c>
      <c r="D170" s="4">
        <v>192</v>
      </c>
      <c r="E170" s="4">
        <v>203</v>
      </c>
      <c r="F170" s="4">
        <f t="shared" si="6"/>
        <v>13353215</v>
      </c>
      <c r="G170" s="5" t="str">
        <f t="shared" si="5"/>
        <v>#FFC0CB</v>
      </c>
      <c r="H170" s="81" t="s">
        <v>26</v>
      </c>
      <c r="I170" s="4">
        <f>IFERROR(MATCH(B170,SysColours!A:A,0),0)</f>
        <v>40</v>
      </c>
      <c r="J170" s="4" t="str">
        <f ca="1">IF(AND(I170&lt;&gt;0,OFFSET(SysColours!$A$1,I170-1,4)=F170),"dupe","")</f>
        <v>dupe</v>
      </c>
    </row>
    <row r="171" spans="2:10" x14ac:dyDescent="0.25">
      <c r="B171" s="4" t="s">
        <v>193</v>
      </c>
      <c r="C171" s="4">
        <v>255</v>
      </c>
      <c r="D171" s="4">
        <v>190</v>
      </c>
      <c r="E171" s="4">
        <v>0</v>
      </c>
      <c r="F171" s="4">
        <f t="shared" si="6"/>
        <v>48895</v>
      </c>
      <c r="G171" s="5" t="str">
        <f t="shared" si="5"/>
        <v>#FFBE00</v>
      </c>
      <c r="H171" s="103" t="s">
        <v>26</v>
      </c>
      <c r="I171" s="4">
        <f>IFERROR(MATCH(B171,SysColours!A:A,0),0)</f>
        <v>0</v>
      </c>
      <c r="J171" s="4" t="e">
        <f ca="1">IF(AND(I171&lt;&gt;0,OFFSET(SysColours!$A$1,I171-1,4)=F171),"dupe","")</f>
        <v>#REF!</v>
      </c>
    </row>
    <row r="172" spans="2:10" x14ac:dyDescent="0.25">
      <c r="B172" s="4" t="s">
        <v>194</v>
      </c>
      <c r="C172" s="4">
        <v>255</v>
      </c>
      <c r="D172" s="4">
        <v>0</v>
      </c>
      <c r="E172" s="4">
        <v>0</v>
      </c>
      <c r="F172" s="4">
        <f t="shared" si="6"/>
        <v>255</v>
      </c>
      <c r="G172" s="5" t="str">
        <f t="shared" si="5"/>
        <v>#FF0000</v>
      </c>
      <c r="H172" s="158" t="s">
        <v>26</v>
      </c>
      <c r="I172" s="4">
        <f>IFERROR(MATCH(B172,SysColours!A:A,0),0)</f>
        <v>364</v>
      </c>
      <c r="J172" s="4" t="str">
        <f ca="1">IF(AND(I172&lt;&gt;0,OFFSET(SysColours!$A$1,I172-1,4)=F172),"dupe","")</f>
        <v/>
      </c>
    </row>
    <row r="173" spans="2:10" x14ac:dyDescent="0.25">
      <c r="B173" s="4" t="s">
        <v>195</v>
      </c>
      <c r="C173" s="4">
        <v>255</v>
      </c>
      <c r="D173" s="4">
        <v>15</v>
      </c>
      <c r="E173" s="4">
        <v>0</v>
      </c>
      <c r="F173" s="4">
        <f t="shared" si="6"/>
        <v>4095</v>
      </c>
      <c r="G173" s="5" t="str">
        <f t="shared" si="5"/>
        <v>#FF0F00</v>
      </c>
      <c r="H173" s="168" t="s">
        <v>26</v>
      </c>
      <c r="I173" s="4">
        <f>IFERROR(MATCH(B173,SysColours!A:A,0),0)</f>
        <v>365</v>
      </c>
      <c r="J173" s="4" t="str">
        <f ca="1">IF(AND(I173&lt;&gt;0,OFFSET(SysColours!$A$1,I173-1,4)=F173),"dupe","")</f>
        <v/>
      </c>
    </row>
    <row r="174" spans="2:10" x14ac:dyDescent="0.25">
      <c r="B174" s="4" t="s">
        <v>196</v>
      </c>
      <c r="C174" s="4">
        <v>255</v>
      </c>
      <c r="D174" s="4">
        <v>40</v>
      </c>
      <c r="E174" s="4">
        <v>0</v>
      </c>
      <c r="F174" s="4">
        <f t="shared" si="6"/>
        <v>10495</v>
      </c>
      <c r="G174" s="5" t="str">
        <f t="shared" si="5"/>
        <v>#FF2800</v>
      </c>
      <c r="H174" s="169" t="s">
        <v>26</v>
      </c>
      <c r="I174" s="4">
        <f>IFERROR(MATCH(B174,SysColours!A:A,0),0)</f>
        <v>366</v>
      </c>
      <c r="J174" s="4" t="str">
        <f ca="1">IF(AND(I174&lt;&gt;0,OFFSET(SysColours!$A$1,I174-1,4)=F174),"dupe","")</f>
        <v/>
      </c>
    </row>
    <row r="175" spans="2:10" x14ac:dyDescent="0.25">
      <c r="B175" s="4" t="s">
        <v>197</v>
      </c>
      <c r="C175" s="4">
        <v>255</v>
      </c>
      <c r="D175" s="4">
        <v>65</v>
      </c>
      <c r="E175" s="4">
        <v>0</v>
      </c>
      <c r="F175" s="4">
        <f t="shared" si="6"/>
        <v>16895</v>
      </c>
      <c r="G175" s="5" t="str">
        <f t="shared" si="5"/>
        <v>#FF4100</v>
      </c>
      <c r="H175" s="170" t="s">
        <v>26</v>
      </c>
      <c r="I175" s="4">
        <f>IFERROR(MATCH(B175,SysColours!A:A,0),0)</f>
        <v>367</v>
      </c>
      <c r="J175" s="4" t="str">
        <f ca="1">IF(AND(I175&lt;&gt;0,OFFSET(SysColours!$A$1,I175-1,4)=F175),"dupe","")</f>
        <v/>
      </c>
    </row>
    <row r="176" spans="2:10" x14ac:dyDescent="0.25">
      <c r="B176" s="4" t="s">
        <v>198</v>
      </c>
      <c r="C176" s="4">
        <v>255</v>
      </c>
      <c r="D176" s="4">
        <v>90</v>
      </c>
      <c r="E176" s="4">
        <v>0</v>
      </c>
      <c r="F176" s="4">
        <f t="shared" si="6"/>
        <v>23295</v>
      </c>
      <c r="G176" s="5" t="str">
        <f t="shared" si="5"/>
        <v>#FF5A00</v>
      </c>
      <c r="H176" s="171" t="s">
        <v>26</v>
      </c>
      <c r="I176" s="4">
        <f>IFERROR(MATCH(B176,SysColours!A:A,0),0)</f>
        <v>0</v>
      </c>
      <c r="J176" s="4" t="e">
        <f ca="1">IF(AND(I176&lt;&gt;0,OFFSET(SysColours!$A$1,I176-1,4)=F176),"dupe","")</f>
        <v>#REF!</v>
      </c>
    </row>
    <row r="177" spans="2:10" x14ac:dyDescent="0.25">
      <c r="B177" s="4" t="s">
        <v>199</v>
      </c>
      <c r="C177" s="4">
        <v>255</v>
      </c>
      <c r="D177" s="4">
        <v>115</v>
      </c>
      <c r="E177" s="4">
        <v>0</v>
      </c>
      <c r="F177" s="4">
        <v>29695</v>
      </c>
      <c r="G177" s="5" t="s">
        <v>280</v>
      </c>
      <c r="H177" s="172" t="s">
        <v>26</v>
      </c>
      <c r="I177" s="4">
        <f>IFERROR(MATCH(B177,SysColours!A:A,0),0)</f>
        <v>0</v>
      </c>
      <c r="J177" s="4" t="e">
        <f ca="1">IF(AND(I177&lt;&gt;0,OFFSET(SysColours!$A$1,I177-1,4)=F177),"dupe","")</f>
        <v>#REF!</v>
      </c>
    </row>
    <row r="178" spans="2:10" x14ac:dyDescent="0.25">
      <c r="B178" s="4" t="s">
        <v>200</v>
      </c>
      <c r="C178" s="4">
        <v>255</v>
      </c>
      <c r="D178" s="4">
        <v>140</v>
      </c>
      <c r="E178" s="4">
        <v>0</v>
      </c>
      <c r="F178" s="4">
        <f t="shared" ref="F178:F189" si="7">C178+256*D178+256*256*E178</f>
        <v>36095</v>
      </c>
      <c r="G178" s="5" t="str">
        <f t="shared" ref="G178:G189" si="8">rgb2hex(F178)</f>
        <v>#FF8C00</v>
      </c>
      <c r="H178" s="26" t="s">
        <v>26</v>
      </c>
      <c r="I178" s="4">
        <f>IFERROR(MATCH(B178,SysColours!A:A,0),0)</f>
        <v>0</v>
      </c>
      <c r="J178" s="4" t="e">
        <f ca="1">IF(AND(I178&lt;&gt;0,OFFSET(SysColours!$A$1,I178-1,4)=F178),"dupe","")</f>
        <v>#REF!</v>
      </c>
    </row>
    <row r="179" spans="2:10" x14ac:dyDescent="0.25">
      <c r="B179" s="4" t="s">
        <v>201</v>
      </c>
      <c r="C179" s="4">
        <v>255</v>
      </c>
      <c r="D179" s="4">
        <v>165</v>
      </c>
      <c r="E179" s="4">
        <v>0</v>
      </c>
      <c r="F179" s="4">
        <f t="shared" si="7"/>
        <v>42495</v>
      </c>
      <c r="G179" s="5" t="str">
        <f t="shared" si="8"/>
        <v>#FFA500</v>
      </c>
      <c r="H179" s="73" t="s">
        <v>26</v>
      </c>
      <c r="I179" s="4">
        <f>IFERROR(MATCH(B179,SysColours!A:A,0),0)</f>
        <v>0</v>
      </c>
      <c r="J179" s="4" t="e">
        <f ca="1">IF(AND(I179&lt;&gt;0,OFFSET(SysColours!$A$1,I179-1,4)=F179),"dupe","")</f>
        <v>#REF!</v>
      </c>
    </row>
    <row r="180" spans="2:10" x14ac:dyDescent="0.25">
      <c r="B180" s="4" t="s">
        <v>202</v>
      </c>
      <c r="C180" s="4">
        <v>255</v>
      </c>
      <c r="D180" s="4">
        <v>190</v>
      </c>
      <c r="E180" s="4">
        <v>0</v>
      </c>
      <c r="F180" s="4">
        <f t="shared" si="7"/>
        <v>48895</v>
      </c>
      <c r="G180" s="5" t="str">
        <f t="shared" si="8"/>
        <v>#FFBE00</v>
      </c>
      <c r="H180" s="103" t="s">
        <v>26</v>
      </c>
      <c r="I180" s="4">
        <f>IFERROR(MATCH(B180,SysColours!A:A,0),0)</f>
        <v>0</v>
      </c>
      <c r="J180" s="4" t="e">
        <f ca="1">IF(AND(I180&lt;&gt;0,OFFSET(SysColours!$A$1,I180-1,4)=F180),"dupe","")</f>
        <v>#REF!</v>
      </c>
    </row>
    <row r="181" spans="2:10" x14ac:dyDescent="0.25">
      <c r="B181" s="4" t="s">
        <v>203</v>
      </c>
      <c r="C181" s="4">
        <v>255</v>
      </c>
      <c r="D181" s="4">
        <v>215</v>
      </c>
      <c r="E181" s="4">
        <v>0</v>
      </c>
      <c r="F181" s="4">
        <f t="shared" si="7"/>
        <v>55295</v>
      </c>
      <c r="G181" s="5" t="str">
        <f t="shared" si="8"/>
        <v>#FFD700</v>
      </c>
      <c r="H181" s="34" t="s">
        <v>26</v>
      </c>
      <c r="I181" s="4">
        <f>IFERROR(MATCH(B181,SysColours!A:A,0),0)</f>
        <v>0</v>
      </c>
      <c r="J181" s="4" t="e">
        <f ca="1">IF(AND(I181&lt;&gt;0,OFFSET(SysColours!$A$1,I181-1,4)=F181),"dupe","")</f>
        <v>#REF!</v>
      </c>
    </row>
    <row r="182" spans="2:10" x14ac:dyDescent="0.25">
      <c r="B182" s="4" t="s">
        <v>204</v>
      </c>
      <c r="C182" s="4">
        <v>255</v>
      </c>
      <c r="D182" s="4">
        <v>240</v>
      </c>
      <c r="E182" s="4">
        <v>0</v>
      </c>
      <c r="F182" s="4">
        <f t="shared" si="7"/>
        <v>61695</v>
      </c>
      <c r="G182" s="5" t="str">
        <f t="shared" si="8"/>
        <v>#FFF000</v>
      </c>
      <c r="H182" s="104" t="s">
        <v>26</v>
      </c>
      <c r="I182" s="4">
        <f>IFERROR(MATCH(B182,SysColours!A:A,0),0)</f>
        <v>0</v>
      </c>
      <c r="J182" s="4" t="e">
        <f ca="1">IF(AND(I182&lt;&gt;0,OFFSET(SysColours!$A$1,I182-1,4)=F182),"dupe","")</f>
        <v>#REF!</v>
      </c>
    </row>
    <row r="183" spans="2:10" x14ac:dyDescent="0.25">
      <c r="B183" s="4" t="s">
        <v>205</v>
      </c>
      <c r="C183" s="4">
        <v>255</v>
      </c>
      <c r="D183" s="4">
        <v>255</v>
      </c>
      <c r="E183" s="4">
        <v>0</v>
      </c>
      <c r="F183" s="4">
        <f t="shared" si="7"/>
        <v>65535</v>
      </c>
      <c r="G183" s="5" t="str">
        <f t="shared" si="8"/>
        <v>#FFFF00</v>
      </c>
      <c r="H183" s="99" t="s">
        <v>26</v>
      </c>
      <c r="I183" s="4">
        <f>IFERROR(MATCH(B183,SysColours!A:A,0),0)</f>
        <v>0</v>
      </c>
      <c r="J183" s="4" t="e">
        <f ca="1">IF(AND(I183&lt;&gt;0,OFFSET(SysColours!$A$1,I183-1,4)=F183),"dupe","")</f>
        <v>#REF!</v>
      </c>
    </row>
    <row r="184" spans="2:10" x14ac:dyDescent="0.25">
      <c r="B184" s="4" t="s">
        <v>207</v>
      </c>
      <c r="C184" s="4">
        <v>0</v>
      </c>
      <c r="D184" s="4">
        <v>0</v>
      </c>
      <c r="E184" s="4">
        <v>0</v>
      </c>
      <c r="F184" s="4">
        <f t="shared" si="7"/>
        <v>0</v>
      </c>
      <c r="G184" s="5" t="str">
        <f t="shared" si="8"/>
        <v>#000000</v>
      </c>
      <c r="H184" s="113" t="s">
        <v>26</v>
      </c>
      <c r="I184" s="4">
        <f>IFERROR(MATCH(B184,SysColours!A:A,0),0)</f>
        <v>0</v>
      </c>
      <c r="J184" s="4" t="e">
        <f ca="1">IF(AND(I184&lt;&gt;0,OFFSET(SysColours!$A$1,I184-1,4)=F184),"dupe","")</f>
        <v>#REF!</v>
      </c>
    </row>
    <row r="185" spans="2:10" x14ac:dyDescent="0.25">
      <c r="B185" s="4" t="s">
        <v>208</v>
      </c>
      <c r="C185" s="4">
        <v>255</v>
      </c>
      <c r="D185" s="4">
        <v>0</v>
      </c>
      <c r="E185" s="4">
        <v>0</v>
      </c>
      <c r="F185" s="4">
        <f t="shared" si="7"/>
        <v>255</v>
      </c>
      <c r="G185" s="5" t="str">
        <f t="shared" si="8"/>
        <v>#FF0000</v>
      </c>
      <c r="H185" s="158" t="s">
        <v>26</v>
      </c>
      <c r="I185" s="4">
        <f>IFERROR(MATCH(B185,SysColours!A:A,0),0)</f>
        <v>0</v>
      </c>
      <c r="J185" s="4" t="e">
        <f ca="1">IF(AND(I185&lt;&gt;0,OFFSET(SysColours!$A$1,I185-1,4)=F185),"dupe","")</f>
        <v>#REF!</v>
      </c>
    </row>
    <row r="186" spans="2:10" x14ac:dyDescent="0.25">
      <c r="B186" s="4" t="s">
        <v>209</v>
      </c>
      <c r="C186" s="4">
        <v>255</v>
      </c>
      <c r="D186" s="4">
        <v>127</v>
      </c>
      <c r="E186" s="4">
        <v>0</v>
      </c>
      <c r="F186" s="4">
        <f t="shared" si="7"/>
        <v>32767</v>
      </c>
      <c r="G186" s="5" t="str">
        <f t="shared" si="8"/>
        <v>#FF7F00</v>
      </c>
      <c r="H186" s="105" t="s">
        <v>26</v>
      </c>
      <c r="I186" s="4">
        <f>IFERROR(MATCH(B186,SysColours!A:A,0),0)</f>
        <v>0</v>
      </c>
      <c r="J186" s="4" t="e">
        <f ca="1">IF(AND(I186&lt;&gt;0,OFFSET(SysColours!$A$1,I186-1,4)=F186),"dupe","")</f>
        <v>#REF!</v>
      </c>
    </row>
    <row r="187" spans="2:10" x14ac:dyDescent="0.25">
      <c r="B187" s="4" t="s">
        <v>210</v>
      </c>
      <c r="C187" s="4">
        <v>255</v>
      </c>
      <c r="D187" s="4">
        <v>255</v>
      </c>
      <c r="E187" s="4">
        <v>0</v>
      </c>
      <c r="F187" s="4">
        <f t="shared" si="7"/>
        <v>65535</v>
      </c>
      <c r="G187" s="5" t="str">
        <f t="shared" si="8"/>
        <v>#FFFF00</v>
      </c>
      <c r="H187" s="99" t="s">
        <v>26</v>
      </c>
      <c r="I187" s="4">
        <f>IFERROR(MATCH(B187,SysColours!A:A,0),0)</f>
        <v>0</v>
      </c>
      <c r="J187" s="4" t="e">
        <f ca="1">IF(AND(I187&lt;&gt;0,OFFSET(SysColours!$A$1,I187-1,4)=F187),"dupe","")</f>
        <v>#REF!</v>
      </c>
    </row>
    <row r="188" spans="2:10" x14ac:dyDescent="0.25">
      <c r="B188" s="4" t="s">
        <v>211</v>
      </c>
      <c r="C188" s="4">
        <v>127</v>
      </c>
      <c r="D188" s="4">
        <v>255</v>
      </c>
      <c r="E188" s="4">
        <v>0</v>
      </c>
      <c r="F188" s="4">
        <f t="shared" si="7"/>
        <v>65407</v>
      </c>
      <c r="G188" s="5" t="str">
        <f t="shared" si="8"/>
        <v>#7FFF00</v>
      </c>
      <c r="H188" s="20" t="s">
        <v>26</v>
      </c>
      <c r="I188" s="4">
        <f>IFERROR(MATCH(B188,SysColours!A:A,0),0)</f>
        <v>0</v>
      </c>
      <c r="J188" s="4" t="e">
        <f ca="1">IF(AND(I188&lt;&gt;0,OFFSET(SysColours!$A$1,I188-1,4)=F188),"dupe","")</f>
        <v>#REF!</v>
      </c>
    </row>
    <row r="189" spans="2:10" x14ac:dyDescent="0.25">
      <c r="B189" s="4" t="s">
        <v>212</v>
      </c>
      <c r="C189" s="4">
        <v>0</v>
      </c>
      <c r="D189" s="4">
        <v>255</v>
      </c>
      <c r="E189" s="4">
        <v>0</v>
      </c>
      <c r="F189" s="4">
        <f t="shared" si="7"/>
        <v>65280</v>
      </c>
      <c r="G189" s="5" t="str">
        <f t="shared" si="8"/>
        <v>#00FF00</v>
      </c>
      <c r="H189" s="61" t="s">
        <v>26</v>
      </c>
      <c r="I189" s="4">
        <f>IFERROR(MATCH(B189,SysColours!A:A,0),0)</f>
        <v>0</v>
      </c>
      <c r="J189" s="4" t="e">
        <f ca="1">IF(AND(I189&lt;&gt;0,OFFSET(SysColours!$A$1,I189-1,4)=F189),"dupe","")</f>
        <v>#REF!</v>
      </c>
    </row>
    <row r="190" spans="2:10" x14ac:dyDescent="0.25">
      <c r="B190" s="4" t="s">
        <v>213</v>
      </c>
      <c r="C190" s="4">
        <v>0</v>
      </c>
      <c r="D190" s="4">
        <v>255</v>
      </c>
      <c r="E190" s="4">
        <v>127</v>
      </c>
      <c r="F190" s="4">
        <v>8388352</v>
      </c>
      <c r="G190" s="5" t="s">
        <v>281</v>
      </c>
      <c r="H190" s="91" t="s">
        <v>26</v>
      </c>
      <c r="I190" s="4">
        <f>IFERROR(MATCH(B190,SysColours!A:A,0),0)</f>
        <v>0</v>
      </c>
      <c r="J190" s="4" t="e">
        <f ca="1">IF(AND(I190&lt;&gt;0,OFFSET(SysColours!$A$1,I190-1,4)=F190),"dupe","")</f>
        <v>#REF!</v>
      </c>
    </row>
    <row r="191" spans="2:10" x14ac:dyDescent="0.25">
      <c r="B191" s="4" t="s">
        <v>214</v>
      </c>
      <c r="C191" s="4">
        <v>0</v>
      </c>
      <c r="D191" s="4">
        <v>255</v>
      </c>
      <c r="E191" s="4">
        <v>255</v>
      </c>
      <c r="F191" s="4">
        <f t="shared" ref="F191:F210" si="9">C191+256*D191+256*256*E191</f>
        <v>16776960</v>
      </c>
      <c r="G191" s="5" t="str">
        <f t="shared" ref="G191:G210" si="10">rgb2hex(F191)</f>
        <v>#00FFFF</v>
      </c>
      <c r="H191" s="12" t="s">
        <v>26</v>
      </c>
      <c r="I191" s="4">
        <f>IFERROR(MATCH(B191,SysColours!A:A,0),0)</f>
        <v>0</v>
      </c>
      <c r="J191" s="4" t="e">
        <f ca="1">IF(AND(I191&lt;&gt;0,OFFSET(SysColours!$A$1,I191-1,4)=F191),"dupe","")</f>
        <v>#REF!</v>
      </c>
    </row>
    <row r="192" spans="2:10" x14ac:dyDescent="0.25">
      <c r="B192" s="4" t="s">
        <v>215</v>
      </c>
      <c r="C192" s="4">
        <v>0</v>
      </c>
      <c r="D192" s="4">
        <v>127</v>
      </c>
      <c r="E192" s="4">
        <v>255</v>
      </c>
      <c r="F192" s="4">
        <f t="shared" si="9"/>
        <v>16744192</v>
      </c>
      <c r="G192" s="5" t="str">
        <f t="shared" si="10"/>
        <v>#007FFF</v>
      </c>
      <c r="H192" s="173" t="s">
        <v>26</v>
      </c>
      <c r="I192" s="4">
        <f>IFERROR(MATCH(B192,SysColours!A:A,0),0)</f>
        <v>0</v>
      </c>
      <c r="J192" s="4" t="e">
        <f ca="1">IF(AND(I192&lt;&gt;0,OFFSET(SysColours!$A$1,I192-1,4)=F192),"dupe","")</f>
        <v>#REF!</v>
      </c>
    </row>
    <row r="193" spans="2:10" x14ac:dyDescent="0.25">
      <c r="B193" s="4" t="s">
        <v>216</v>
      </c>
      <c r="C193" s="4">
        <v>0</v>
      </c>
      <c r="D193" s="4">
        <v>0</v>
      </c>
      <c r="E193" s="4">
        <v>255</v>
      </c>
      <c r="F193" s="4">
        <f t="shared" si="9"/>
        <v>16711680</v>
      </c>
      <c r="G193" s="5" t="str">
        <f t="shared" si="10"/>
        <v>#0000FF</v>
      </c>
      <c r="H193" s="114" t="s">
        <v>26</v>
      </c>
      <c r="I193" s="4">
        <f>IFERROR(MATCH(B193,SysColours!A:A,0),0)</f>
        <v>0</v>
      </c>
      <c r="J193" s="4" t="e">
        <f ca="1">IF(AND(I193&lt;&gt;0,OFFSET(SysColours!$A$1,I193-1,4)=F193),"dupe","")</f>
        <v>#REF!</v>
      </c>
    </row>
    <row r="194" spans="2:10" x14ac:dyDescent="0.25">
      <c r="B194" s="4" t="s">
        <v>217</v>
      </c>
      <c r="C194" s="4">
        <v>127</v>
      </c>
      <c r="D194" s="4">
        <v>0</v>
      </c>
      <c r="E194" s="4">
        <v>255</v>
      </c>
      <c r="F194" s="4">
        <f t="shared" si="9"/>
        <v>16711807</v>
      </c>
      <c r="G194" s="5" t="str">
        <f t="shared" si="10"/>
        <v>#7F00FF</v>
      </c>
      <c r="H194" s="174" t="s">
        <v>26</v>
      </c>
      <c r="I194" s="4">
        <f>IFERROR(MATCH(B194,SysColours!A:A,0),0)</f>
        <v>0</v>
      </c>
      <c r="J194" s="4" t="e">
        <f ca="1">IF(AND(I194&lt;&gt;0,OFFSET(SysColours!$A$1,I194-1,4)=F194),"dupe","")</f>
        <v>#REF!</v>
      </c>
    </row>
    <row r="195" spans="2:10" x14ac:dyDescent="0.25">
      <c r="B195" s="4" t="s">
        <v>218</v>
      </c>
      <c r="C195" s="4">
        <v>255</v>
      </c>
      <c r="D195" s="4">
        <v>0</v>
      </c>
      <c r="E195" s="4">
        <v>255</v>
      </c>
      <c r="F195" s="4">
        <f t="shared" si="9"/>
        <v>16711935</v>
      </c>
      <c r="G195" s="5" t="str">
        <f t="shared" si="10"/>
        <v>#FF00FF</v>
      </c>
      <c r="H195" s="135" t="s">
        <v>26</v>
      </c>
      <c r="I195" s="4">
        <f>IFERROR(MATCH(B195,SysColours!A:A,0),0)</f>
        <v>0</v>
      </c>
      <c r="J195" s="4" t="e">
        <f ca="1">IF(AND(I195&lt;&gt;0,OFFSET(SysColours!$A$1,I195-1,4)=F195),"dupe","")</f>
        <v>#REF!</v>
      </c>
    </row>
    <row r="196" spans="2:10" x14ac:dyDescent="0.25">
      <c r="B196" s="4" t="s">
        <v>206</v>
      </c>
      <c r="C196" s="4">
        <v>255</v>
      </c>
      <c r="D196" s="4">
        <v>255</v>
      </c>
      <c r="E196" s="4">
        <v>255</v>
      </c>
      <c r="F196" s="4">
        <f t="shared" si="9"/>
        <v>16777215</v>
      </c>
      <c r="G196" s="5" t="str">
        <f t="shared" si="10"/>
        <v>#FFFFFF</v>
      </c>
      <c r="H196" s="97" t="s">
        <v>26</v>
      </c>
      <c r="I196" s="4">
        <f>IFERROR(MATCH(B196,SysColours!A:A,0),0)</f>
        <v>0</v>
      </c>
      <c r="J196" s="4" t="e">
        <f ca="1">IF(AND(I196&lt;&gt;0,OFFSET(SysColours!$A$1,I196-1,4)=F196),"dupe","")</f>
        <v>#REF!</v>
      </c>
    </row>
    <row r="197" spans="2:10" x14ac:dyDescent="0.25">
      <c r="B197" s="4" t="s">
        <v>219</v>
      </c>
      <c r="C197" s="4">
        <v>165</v>
      </c>
      <c r="D197" s="4">
        <v>42</v>
      </c>
      <c r="E197" s="4">
        <v>42</v>
      </c>
      <c r="F197" s="4">
        <f t="shared" si="9"/>
        <v>2763429</v>
      </c>
      <c r="G197" s="5" t="str">
        <f t="shared" si="10"/>
        <v>#A52A2A</v>
      </c>
      <c r="H197" s="116" t="s">
        <v>26</v>
      </c>
      <c r="I197" s="4">
        <f>IFERROR(MATCH(B197,SysColours!A:A,0),0)</f>
        <v>0</v>
      </c>
      <c r="J197" s="4" t="e">
        <f ca="1">IF(AND(I197&lt;&gt;0,OFFSET(SysColours!$A$1,I197-1,4)=F197),"dupe","")</f>
        <v>#REF!</v>
      </c>
    </row>
    <row r="198" spans="2:10" x14ac:dyDescent="0.25">
      <c r="B198" s="4" t="s">
        <v>220</v>
      </c>
      <c r="C198" s="4">
        <v>139</v>
      </c>
      <c r="D198" s="4">
        <v>69</v>
      </c>
      <c r="E198" s="4">
        <v>19</v>
      </c>
      <c r="F198" s="4">
        <f t="shared" si="9"/>
        <v>1262987</v>
      </c>
      <c r="G198" s="5" t="str">
        <f t="shared" si="10"/>
        <v>#8B4513</v>
      </c>
      <c r="H198" s="160" t="s">
        <v>26</v>
      </c>
      <c r="I198" s="4">
        <f>IFERROR(MATCH(B198,SysColours!A:A,0),0)</f>
        <v>0</v>
      </c>
      <c r="J198" s="4" t="e">
        <f ca="1">IF(AND(I198&lt;&gt;0,OFFSET(SysColours!$A$1,I198-1,4)=F198),"dupe","")</f>
        <v>#REF!</v>
      </c>
    </row>
    <row r="199" spans="2:10" x14ac:dyDescent="0.25">
      <c r="B199" s="4" t="s">
        <v>221</v>
      </c>
      <c r="C199" s="4">
        <v>244</v>
      </c>
      <c r="D199" s="4">
        <v>164</v>
      </c>
      <c r="E199" s="4">
        <v>96</v>
      </c>
      <c r="F199" s="4">
        <f t="shared" si="9"/>
        <v>6333684</v>
      </c>
      <c r="G199" s="5" t="str">
        <f t="shared" si="10"/>
        <v>#F4A460</v>
      </c>
      <c r="H199" s="86" t="s">
        <v>26</v>
      </c>
      <c r="I199" s="4">
        <f>IFERROR(MATCH(B199,SysColours!A:A,0),0)</f>
        <v>0</v>
      </c>
      <c r="J199" s="4" t="e">
        <f ca="1">IF(AND(I199&lt;&gt;0,OFFSET(SysColours!$A$1,I199-1,4)=F199),"dupe","")</f>
        <v>#REF!</v>
      </c>
    </row>
    <row r="200" spans="2:10" x14ac:dyDescent="0.25">
      <c r="B200" s="4" t="s">
        <v>222</v>
      </c>
      <c r="C200" s="4">
        <v>255</v>
      </c>
      <c r="D200" s="4">
        <v>255</v>
      </c>
      <c r="E200" s="4">
        <v>0</v>
      </c>
      <c r="F200" s="4">
        <f t="shared" si="9"/>
        <v>65535</v>
      </c>
      <c r="G200" s="5" t="str">
        <f t="shared" si="10"/>
        <v>#FFFF00</v>
      </c>
      <c r="H200" s="99" t="s">
        <v>26</v>
      </c>
      <c r="I200" s="4">
        <f>IFERROR(MATCH(B200,SysColours!A:A,0),0)</f>
        <v>0</v>
      </c>
      <c r="J200" s="4" t="e">
        <f ca="1">IF(AND(I200&lt;&gt;0,OFFSET(SysColours!$A$1,I200-1,4)=F200),"dupe","")</f>
        <v>#REF!</v>
      </c>
    </row>
    <row r="201" spans="2:10" x14ac:dyDescent="0.25">
      <c r="B201" s="4" t="s">
        <v>223</v>
      </c>
      <c r="C201" s="4">
        <v>243</v>
      </c>
      <c r="D201" s="4">
        <v>237</v>
      </c>
      <c r="E201" s="4">
        <v>2</v>
      </c>
      <c r="F201" s="4">
        <f t="shared" si="9"/>
        <v>191987</v>
      </c>
      <c r="G201" s="5" t="str">
        <f t="shared" si="10"/>
        <v>#F3ED02</v>
      </c>
      <c r="H201" s="106" t="s">
        <v>26</v>
      </c>
      <c r="I201" s="4">
        <f>IFERROR(MATCH(B201,SysColours!A:A,0),0)</f>
        <v>0</v>
      </c>
      <c r="J201" s="4" t="e">
        <f ca="1">IF(AND(I201&lt;&gt;0,OFFSET(SysColours!$A$1,I201-1,4)=F201),"dupe","")</f>
        <v>#REF!</v>
      </c>
    </row>
    <row r="202" spans="2:10" x14ac:dyDescent="0.25">
      <c r="B202" s="4" t="s">
        <v>224</v>
      </c>
      <c r="C202" s="4">
        <v>231</v>
      </c>
      <c r="D202" s="4">
        <v>219</v>
      </c>
      <c r="E202" s="4">
        <v>4</v>
      </c>
      <c r="F202" s="4">
        <f t="shared" si="9"/>
        <v>318439</v>
      </c>
      <c r="G202" s="5" t="str">
        <f t="shared" si="10"/>
        <v>#E7DB04</v>
      </c>
      <c r="H202" s="107" t="s">
        <v>26</v>
      </c>
      <c r="I202" s="4">
        <f>IFERROR(MATCH(B202,SysColours!A:A,0),0)</f>
        <v>0</v>
      </c>
      <c r="J202" s="4" t="e">
        <f ca="1">IF(AND(I202&lt;&gt;0,OFFSET(SysColours!$A$1,I202-1,4)=F202),"dupe","")</f>
        <v>#REF!</v>
      </c>
    </row>
    <row r="203" spans="2:10" x14ac:dyDescent="0.25">
      <c r="B203" s="4" t="s">
        <v>225</v>
      </c>
      <c r="C203" s="4">
        <v>219</v>
      </c>
      <c r="D203" s="4">
        <v>201</v>
      </c>
      <c r="E203" s="4">
        <v>6</v>
      </c>
      <c r="F203" s="4">
        <f t="shared" si="9"/>
        <v>444891</v>
      </c>
      <c r="G203" s="5" t="str">
        <f t="shared" si="10"/>
        <v>#DBC906</v>
      </c>
      <c r="H203" s="108" t="s">
        <v>26</v>
      </c>
      <c r="I203" s="4">
        <f>IFERROR(MATCH(B203,SysColours!A:A,0),0)</f>
        <v>0</v>
      </c>
      <c r="J203" s="4" t="e">
        <f ca="1">IF(AND(I203&lt;&gt;0,OFFSET(SysColours!$A$1,I203-1,4)=F203),"dupe","")</f>
        <v>#REF!</v>
      </c>
    </row>
    <row r="204" spans="2:10" x14ac:dyDescent="0.25">
      <c r="B204" s="4" t="s">
        <v>226</v>
      </c>
      <c r="C204" s="4">
        <v>207</v>
      </c>
      <c r="D204" s="4">
        <v>183</v>
      </c>
      <c r="E204" s="4">
        <v>8</v>
      </c>
      <c r="F204" s="4">
        <f t="shared" si="9"/>
        <v>571343</v>
      </c>
      <c r="G204" s="5" t="str">
        <f t="shared" si="10"/>
        <v>#CFB708</v>
      </c>
      <c r="H204" s="109" t="s">
        <v>26</v>
      </c>
      <c r="I204" s="4">
        <f>IFERROR(MATCH(B204,SysColours!A:A,0),0)</f>
        <v>0</v>
      </c>
      <c r="J204" s="4" t="e">
        <f ca="1">IF(AND(I204&lt;&gt;0,OFFSET(SysColours!$A$1,I204-1,4)=F204),"dupe","")</f>
        <v>#REF!</v>
      </c>
    </row>
    <row r="205" spans="2:10" x14ac:dyDescent="0.25">
      <c r="B205" s="4" t="s">
        <v>227</v>
      </c>
      <c r="C205" s="4">
        <v>195</v>
      </c>
      <c r="D205" s="4">
        <v>165</v>
      </c>
      <c r="E205" s="4">
        <v>10</v>
      </c>
      <c r="F205" s="4">
        <f t="shared" si="9"/>
        <v>697795</v>
      </c>
      <c r="G205" s="5" t="str">
        <f t="shared" si="10"/>
        <v>#C3A50A</v>
      </c>
      <c r="H205" s="110" t="s">
        <v>26</v>
      </c>
      <c r="I205" s="4">
        <f>IFERROR(MATCH(B205,SysColours!A:A,0),0)</f>
        <v>0</v>
      </c>
      <c r="J205" s="4" t="e">
        <f ca="1">IF(AND(I205&lt;&gt;0,OFFSET(SysColours!$A$1,I205-1,4)=F205),"dupe","")</f>
        <v>#REF!</v>
      </c>
    </row>
    <row r="206" spans="2:10" x14ac:dyDescent="0.25">
      <c r="B206" s="4" t="s">
        <v>228</v>
      </c>
      <c r="C206" s="4">
        <v>183</v>
      </c>
      <c r="D206" s="4">
        <v>147</v>
      </c>
      <c r="E206" s="4">
        <v>12</v>
      </c>
      <c r="F206" s="4">
        <f t="shared" si="9"/>
        <v>824247</v>
      </c>
      <c r="G206" s="5" t="str">
        <f t="shared" si="10"/>
        <v>#B7930C</v>
      </c>
      <c r="H206" s="111" t="s">
        <v>26</v>
      </c>
      <c r="I206" s="4">
        <f>IFERROR(MATCH(B206,SysColours!A:A,0),0)</f>
        <v>0</v>
      </c>
      <c r="J206" s="4" t="e">
        <f ca="1">IF(AND(I206&lt;&gt;0,OFFSET(SysColours!$A$1,I206-1,4)=F206),"dupe","")</f>
        <v>#REF!</v>
      </c>
    </row>
    <row r="207" spans="2:10" x14ac:dyDescent="0.25">
      <c r="B207" s="4" t="s">
        <v>229</v>
      </c>
      <c r="C207" s="4">
        <v>171</v>
      </c>
      <c r="D207" s="4">
        <v>129</v>
      </c>
      <c r="E207" s="4">
        <v>14</v>
      </c>
      <c r="F207" s="4">
        <f t="shared" si="9"/>
        <v>950699</v>
      </c>
      <c r="G207" s="5" t="str">
        <f t="shared" si="10"/>
        <v>#AB810E</v>
      </c>
      <c r="H207" s="175" t="s">
        <v>26</v>
      </c>
      <c r="I207" s="4">
        <f>IFERROR(MATCH(B207,SysColours!A:A,0),0)</f>
        <v>0</v>
      </c>
      <c r="J207" s="4" t="e">
        <f ca="1">IF(AND(I207&lt;&gt;0,OFFSET(SysColours!$A$1,I207-1,4)=F207),"dupe","")</f>
        <v>#REF!</v>
      </c>
    </row>
    <row r="208" spans="2:10" x14ac:dyDescent="0.25">
      <c r="B208" s="4" t="s">
        <v>230</v>
      </c>
      <c r="C208" s="4">
        <v>159</v>
      </c>
      <c r="D208" s="4">
        <v>111</v>
      </c>
      <c r="E208" s="4">
        <v>16</v>
      </c>
      <c r="F208" s="4">
        <f t="shared" si="9"/>
        <v>1077151</v>
      </c>
      <c r="G208" s="5" t="str">
        <f t="shared" si="10"/>
        <v>#9F6F10</v>
      </c>
      <c r="H208" s="176" t="s">
        <v>26</v>
      </c>
      <c r="I208" s="4">
        <f>IFERROR(MATCH(B208,SysColours!A:A,0),0)</f>
        <v>0</v>
      </c>
      <c r="J208" s="4" t="e">
        <f ca="1">IF(AND(I208&lt;&gt;0,OFFSET(SysColours!$A$1,I208-1,4)=F208),"dupe","")</f>
        <v>#REF!</v>
      </c>
    </row>
    <row r="209" spans="2:10" x14ac:dyDescent="0.25">
      <c r="B209" s="4" t="s">
        <v>231</v>
      </c>
      <c r="C209" s="4">
        <v>147</v>
      </c>
      <c r="D209" s="4">
        <v>93</v>
      </c>
      <c r="E209" s="4">
        <v>18</v>
      </c>
      <c r="F209" s="4">
        <f t="shared" si="9"/>
        <v>1203603</v>
      </c>
      <c r="G209" s="5" t="str">
        <f t="shared" si="10"/>
        <v>#935D12</v>
      </c>
      <c r="H209" s="177" t="s">
        <v>26</v>
      </c>
      <c r="I209" s="4">
        <f>IFERROR(MATCH(B209,SysColours!A:A,0),0)</f>
        <v>0</v>
      </c>
      <c r="J209" s="4" t="e">
        <f ca="1">IF(AND(I209&lt;&gt;0,OFFSET(SysColours!$A$1,I209-1,4)=F209),"dupe","")</f>
        <v>#REF!</v>
      </c>
    </row>
    <row r="210" spans="2:10" x14ac:dyDescent="0.25">
      <c r="B210" s="4" t="s">
        <v>232</v>
      </c>
      <c r="C210" s="4">
        <v>135</v>
      </c>
      <c r="D210" s="4">
        <v>75</v>
      </c>
      <c r="E210" s="4">
        <v>20</v>
      </c>
      <c r="F210" s="4">
        <f t="shared" si="9"/>
        <v>1330055</v>
      </c>
      <c r="G210" s="5" t="str">
        <f t="shared" si="10"/>
        <v>#874B14</v>
      </c>
      <c r="H210" s="178" t="s">
        <v>26</v>
      </c>
      <c r="I210" s="4">
        <f>IFERROR(MATCH(B210,SysColours!A:A,0),0)</f>
        <v>0</v>
      </c>
      <c r="J210" s="4" t="e">
        <f ca="1">IF(AND(I210&lt;&gt;0,OFFSET(SysColours!$A$1,I210-1,4)=F210),"dupe","")</f>
        <v>#REF!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Gradients</vt:lpstr>
      <vt:lpstr>PDG</vt:lpstr>
      <vt:lpstr>Shapes</vt:lpstr>
      <vt:lpstr>SysColours</vt:lpstr>
      <vt:lpstr>Structure</vt:lpstr>
      <vt:lpstr>oldcolours</vt:lpstr>
      <vt:lpstr>Shapes!Print_Area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2021-04-14T13:20:20Z</dcterms:modified>
</cp:coreProperties>
</file>