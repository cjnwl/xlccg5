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9132" firstSheet="2" activeTab="12"/>
  </bookViews>
  <sheets>
    <sheet name="To do" sheetId="407" r:id="rId1"/>
    <sheet name="Parameters" sheetId="430" r:id="rId2"/>
    <sheet name="Sizes" sheetId="31" r:id="rId3"/>
    <sheet name="Templates" sheetId="34" r:id="rId4"/>
    <sheet name="Elements" sheetId="32" r:id="rId5"/>
    <sheet name="Schemes" sheetId="36" r:id="rId6"/>
    <sheet name="ElementColours" sheetId="35" r:id="rId7"/>
    <sheet name="Gradients" sheetId="426" state="hidden" r:id="rId8"/>
    <sheet name="SysColours" sheetId="465" r:id="rId9"/>
    <sheet name="UserColours" sheetId="622" r:id="rId10"/>
    <sheet name="Vietnam" sheetId="733" r:id="rId11"/>
    <sheet name="Sheet14" sheetId="828" r:id="rId12"/>
    <sheet name="Sheet15" sheetId="829" r:id="rId13"/>
  </sheets>
  <functionGroups builtInGroupCount="17"/>
  <definedNames>
    <definedName name="_xlnm._FilterDatabase" localSheetId="4" hidden="1">Elements!$A$1:$U$1</definedName>
    <definedName name="bordercolour">Parameters!$B$6</definedName>
    <definedName name="commonfolder">Parameters!$B$5</definedName>
    <definedName name="doublesided">Parameters!$B$7</definedName>
    <definedName name="imagefolder">Parameters!$B$4</definedName>
    <definedName name="margin">Parameters!$B$2</definedName>
    <definedName name="sprueheight">Parameters!$B$3</definedName>
  </definedNames>
  <calcPr calcId="145621"/>
</workbook>
</file>

<file path=xl/calcChain.xml><?xml version="1.0" encoding="utf-8"?>
<calcChain xmlns="http://schemas.openxmlformats.org/spreadsheetml/2006/main">
  <c r="D9" i="733" l="1"/>
  <c r="E9" i="733" s="1"/>
  <c r="D11" i="733"/>
  <c r="E11" i="733" s="1"/>
  <c r="D10" i="733"/>
  <c r="E10" i="733" s="1"/>
  <c r="E8" i="733" l="1"/>
  <c r="D8" i="733" l="1"/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E169" i="465" l="1"/>
  <c r="E170" i="465"/>
  <c r="E168" i="465"/>
  <c r="J3" i="622" l="1"/>
  <c r="J4" i="622"/>
  <c r="J5" i="622"/>
  <c r="J6" i="622"/>
  <c r="J7" i="622"/>
  <c r="J8" i="622"/>
  <c r="J9" i="622"/>
  <c r="J10" i="622"/>
  <c r="J11" i="622"/>
  <c r="J12" i="622"/>
  <c r="I3" i="622"/>
  <c r="I4" i="622"/>
  <c r="I5" i="622"/>
  <c r="I6" i="622"/>
  <c r="I7" i="622"/>
  <c r="I8" i="622"/>
  <c r="I9" i="622"/>
  <c r="I10" i="622"/>
  <c r="I11" i="622"/>
  <c r="I12" i="622"/>
  <c r="I13" i="622"/>
  <c r="E66" i="622" l="1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</calcChain>
</file>

<file path=xl/sharedStrings.xml><?xml version="1.0" encoding="utf-8"?>
<sst xmlns="http://schemas.openxmlformats.org/spreadsheetml/2006/main" count="760" uniqueCount="638">
  <si>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</si>
  <si>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</si>
  <si>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</si>
  <si>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</si>
  <si>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</si>
  <si>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</si>
  <si>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</si>
  <si>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</si>
  <si>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</si>
  <si>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</si>
  <si>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</si>
  <si>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</si>
  <si>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</si>
  <si>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</si>
  <si>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</si>
  <si>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</si>
  <si>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</si>
  <si>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</si>
  <si>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</si>
  <si>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</si>
  <si>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</si>
  <si>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</si>
  <si>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</si>
  <si>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</si>
  <si>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</si>
  <si>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</si>
  <si>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</si>
  <si>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</si>
  <si>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</si>
  <si>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</si>
  <si>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</si>
  <si>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</si>
  <si>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</si>
  <si>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</si>
  <si>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</si>
  <si>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</si>
  <si>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</si>
  <si>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</si>
  <si>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</si>
  <si>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</si>
  <si>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</si>
  <si>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</si>
  <si>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</si>
  <si>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</si>
  <si>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</si>
  <si>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</si>
  <si>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</si>
  <si>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Different size units (LCU, SCU, etc)</t>
  </si>
  <si>
    <t>Different shapes (rectangle, circle, hexagon, etc)</t>
  </si>
  <si>
    <t>Output formats: - CounterSheet/DTP/ZunTsu - Individual/Vassal - GTL/Cyberboard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</si>
  <si>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</si>
  <si>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</si>
  <si>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</si>
  <si>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</si>
  <si>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</si>
  <si>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</si>
  <si>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</si>
  <si>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</si>
  <si>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</si>
  <si>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</si>
  <si>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</si>
  <si>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</si>
  <si>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</si>
  <si>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</si>
  <si>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</si>
  <si>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</si>
  <si>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</si>
  <si>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</si>
  <si>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</si>
  <si>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Different coloured elements (eg: dots)</t>
  </si>
  <si>
    <t>Italic</t>
  </si>
  <si>
    <t>3.3: italic</t>
  </si>
  <si>
    <t>3.3: dbseek to simplify rewrites</t>
  </si>
  <si>
    <t>shapes:</t>
  </si>
  <si>
    <t>- basic done</t>
  </si>
  <si>
    <t>- rotation</t>
  </si>
  <si>
    <t>- variable fill colour (if -1 then transparent)</t>
  </si>
  <si>
    <t>- shape params p1 &amp; p2 (determine limits)</t>
  </si>
  <si>
    <t>p1</t>
  </si>
  <si>
    <t>p2</t>
  </si>
  <si>
    <t>angle</t>
  </si>
  <si>
    <t>- line</t>
  </si>
  <si>
    <t>- flip horizontal &amp; vertical</t>
  </si>
  <si>
    <t>p1p2</t>
  </si>
  <si>
    <t>line</t>
  </si>
  <si>
    <t>sizes</t>
  </si>
  <si>
    <t>angled text</t>
  </si>
  <si>
    <t>flip</t>
  </si>
  <si>
    <t>move unit f &amp; b fill to schemes tab</t>
  </si>
  <si>
    <t>write help file</t>
  </si>
  <si>
    <t>pdl</t>
  </si>
  <si>
    <t>pcl</t>
  </si>
  <si>
    <t>hpcl</t>
  </si>
  <si>
    <t>svg</t>
  </si>
  <si>
    <t>png</t>
  </si>
  <si>
    <t>scheme designer</t>
  </si>
  <si>
    <t>Width</t>
  </si>
  <si>
    <t>Height</t>
  </si>
  <si>
    <t>n identical counters</t>
  </si>
  <si>
    <t>separate app from data (à la AC)  ====&gt; v.5</t>
  </si>
  <si>
    <t>standalone compiled app ====&gt; v.6</t>
  </si>
  <si>
    <t>v4 (change of major version as change of structure)</t>
  </si>
  <si>
    <t>rewrite code</t>
  </si>
  <si>
    <t>image subfolder</t>
  </si>
  <si>
    <t>Margin</t>
  </si>
  <si>
    <t>Sprue Height</t>
  </si>
  <si>
    <t>Image folder</t>
  </si>
  <si>
    <t>Parameter</t>
  </si>
  <si>
    <t>Value</t>
  </si>
  <si>
    <t>pb with single gridsize for shapes (squares, circles)</t>
  </si>
  <si>
    <t>sprues, number of rows per bloc (depends on size)</t>
  </si>
  <si>
    <t xml:space="preserve">  =&gt; hgridsize and vgridsize</t>
  </si>
  <si>
    <t>coordinates (text/shape/image and line)</t>
  </si>
  <si>
    <t>flip/rotate pictures</t>
  </si>
  <si>
    <t>hex values for colours</t>
  </si>
  <si>
    <t>true colours on colours tab</t>
  </si>
  <si>
    <t>HGridsize</t>
  </si>
  <si>
    <t>VGridsize</t>
  </si>
  <si>
    <t>autoit, basic, awk, convert…</t>
  </si>
  <si>
    <t>generate svg file</t>
  </si>
  <si>
    <t>Half inch</t>
  </si>
  <si>
    <t>Five eighths</t>
  </si>
  <si>
    <t>Three quarters</t>
  </si>
  <si>
    <t>One inch</t>
  </si>
  <si>
    <t>US card width</t>
  </si>
  <si>
    <t>US card height</t>
  </si>
  <si>
    <t>increment values on identical counters (/+)</t>
  </si>
  <si>
    <t>v4.1</t>
  </si>
  <si>
    <t>double sided as option</t>
  </si>
  <si>
    <t>parameterize border colour</t>
  </si>
  <si>
    <t>check coordinates calculations</t>
  </si>
  <si>
    <t>x hides counter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</si>
  <si>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</si>
  <si>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</si>
  <si>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</si>
  <si>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</si>
  <si>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</si>
  <si>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</si>
  <si>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</si>
  <si>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</si>
  <si>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</si>
  <si>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Joker</t>
  </si>
  <si>
    <t>Ace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</si>
  <si>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</si>
  <si>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</si>
  <si>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</si>
  <si>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</si>
  <si>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</si>
  <si>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</si>
  <si>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</si>
  <si>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</si>
  <si>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</si>
  <si>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</si>
  <si>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</si>
  <si>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</si>
  <si>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</si>
  <si>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</si>
  <si>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</si>
  <si>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</si>
  <si>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</si>
  <si>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</si>
  <si>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</si>
  <si>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</si>
  <si>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</si>
  <si>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</si>
  <si>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</si>
  <si>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</si>
  <si>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</si>
  <si>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</si>
  <si>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</si>
  <si>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</si>
  <si>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</si>
  <si>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</si>
  <si>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</si>
  <si>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</si>
  <si>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</si>
  <si>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</si>
  <si>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</si>
  <si>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</si>
  <si>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</si>
  <si>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</si>
  <si>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</si>
  <si>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</si>
  <si>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</si>
  <si>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</si>
  <si>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</si>
  <si>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</si>
  <si>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</si>
  <si>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</si>
  <si>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</si>
  <si>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</si>
  <si>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</si>
  <si>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</si>
  <si>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</si>
  <si>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</si>
  <si>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</si>
  <si>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</si>
  <si>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</si>
  <si>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</si>
  <si>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</si>
  <si>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</si>
  <si>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</si>
  <si>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</si>
  <si>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</si>
  <si>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</si>
  <si>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</si>
  <si>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</si>
  <si>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</si>
  <si>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</si>
  <si>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</si>
  <si>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</si>
  <si>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</si>
  <si>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</si>
  <si>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</si>
  <si>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</si>
  <si>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</si>
  <si>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</si>
  <si>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</si>
  <si>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</si>
  <si>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</si>
  <si>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</si>
  <si>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</si>
  <si>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</si>
  <si>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</si>
  <si>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</si>
  <si>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</si>
  <si>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</si>
  <si>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</si>
  <si>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</si>
  <si>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</si>
  <si>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</si>
  <si>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</si>
  <si>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</si>
  <si>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</si>
  <si>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</si>
  <si>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</si>
  <si>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</si>
  <si>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</si>
  <si>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</si>
  <si>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</si>
  <si>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</si>
  <si>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</si>
  <si>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</si>
  <si>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</si>
  <si>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</si>
  <si>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</si>
  <si>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</si>
  <si>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</si>
  <si>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</si>
  <si>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</si>
  <si>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</si>
  <si>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</si>
  <si>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</si>
  <si>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</si>
  <si>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</si>
  <si>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</si>
  <si>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</si>
  <si>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</si>
  <si>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</si>
  <si>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</si>
  <si>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</si>
  <si>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</si>
  <si>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</si>
  <si>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</si>
  <si>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</si>
  <si>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</si>
  <si>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</si>
  <si>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</si>
  <si>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</si>
  <si>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</si>
  <si>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</si>
  <si>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</si>
  <si>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</si>
  <si>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</si>
  <si>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</si>
  <si>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</si>
  <si>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</si>
  <si>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</si>
  <si>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</si>
  <si>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don't move and resize with cells</t>
  </si>
  <si>
    <t xml:space="preserve">   if ++, till next value in field</t>
  </si>
  <si>
    <t>calculate column width and row height...</t>
  </si>
  <si>
    <t>template designer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</si>
  <si>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</si>
  <si>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</si>
  <si>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</si>
  <si>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</si>
  <si>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</si>
  <si>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</si>
  <si>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</si>
  <si>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</si>
  <si>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</si>
  <si>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</si>
  <si>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</si>
  <si>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</si>
  <si>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</si>
  <si>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</si>
  <si>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</si>
  <si>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</si>
  <si>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</si>
  <si>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</si>
  <si>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</si>
  <si>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</si>
  <si>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</si>
  <si>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</si>
  <si>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</si>
  <si>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</si>
  <si>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</si>
  <si>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</si>
  <si>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</si>
  <si>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</si>
  <si>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</si>
  <si>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</si>
  <si>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</si>
  <si>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</si>
  <si>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</si>
  <si>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</si>
  <si>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</si>
  <si>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</si>
  <si>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</si>
  <si>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</si>
  <si>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</si>
  <si>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</si>
  <si>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</si>
  <si>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</si>
  <si>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</si>
  <si>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</si>
  <si>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</si>
  <si>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</si>
  <si>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</si>
  <si>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</si>
  <si>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</si>
  <si>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</si>
  <si>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</si>
  <si>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</si>
  <si>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</si>
  <si>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</si>
  <si>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</si>
  <si>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</si>
  <si>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</si>
  <si>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</si>
  <si>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</si>
  <si>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</si>
  <si>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</si>
  <si>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</si>
  <si>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</si>
  <si>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</si>
  <si>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</si>
  <si>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</si>
  <si>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</si>
  <si>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</si>
  <si>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</si>
  <si>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</si>
  <si>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</si>
  <si>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</si>
  <si>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</si>
  <si>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</si>
  <si>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</si>
  <si>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</si>
  <si>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</si>
  <si>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</si>
  <si>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</si>
  <si>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</si>
  <si>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</si>
  <si>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</si>
  <si>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</si>
  <si>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</si>
  <si>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</si>
  <si>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</si>
  <si>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</si>
  <si>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</si>
  <si>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</si>
  <si>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</si>
  <si>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</si>
  <si>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</si>
  <si>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</si>
  <si>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</si>
  <si>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</si>
  <si>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</si>
  <si>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</si>
  <si>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</si>
  <si>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</si>
  <si>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</si>
  <si>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</si>
  <si>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</si>
  <si>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</si>
  <si>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</si>
  <si>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</si>
  <si>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</si>
  <si>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</si>
  <si>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</si>
  <si>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</si>
  <si>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</si>
  <si>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</si>
  <si>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</si>
  <si>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</si>
  <si>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</si>
  <si>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</si>
  <si>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</si>
  <si>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</si>
  <si>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</si>
  <si>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</si>
  <si>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</si>
  <si>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</si>
  <si>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</si>
  <si>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</si>
  <si>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</si>
  <si>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</si>
  <si>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</si>
  <si>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</si>
  <si>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</si>
  <si>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</si>
  <si>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</si>
  <si>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</si>
  <si>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</si>
  <si>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</si>
  <si>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</si>
  <si>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</si>
  <si>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</si>
  <si>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</si>
  <si>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</si>
  <si>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</si>
  <si>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</si>
  <si>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</si>
  <si>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</si>
  <si>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</si>
  <si>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</si>
  <si>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</si>
  <si>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</si>
  <si>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</si>
  <si>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</si>
  <si>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</si>
  <si>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</si>
  <si>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</si>
  <si>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</si>
  <si>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</si>
  <si>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</si>
  <si>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</si>
  <si>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</si>
  <si>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</si>
  <si>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</si>
  <si>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</si>
  <si>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</si>
  <si>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</si>
  <si>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</si>
  <si>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</si>
  <si>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</si>
  <si>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</si>
  <si>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</si>
  <si>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</si>
  <si>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</si>
  <si>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</si>
  <si>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</si>
  <si>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</si>
  <si>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</si>
  <si>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</si>
  <si>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</si>
  <si>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</si>
  <si>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</si>
  <si>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</si>
  <si>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</si>
  <si>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</si>
  <si>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</si>
  <si>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</si>
  <si>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</si>
  <si>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</si>
  <si>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</si>
  <si>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</si>
  <si>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</si>
  <si>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</si>
  <si>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</si>
  <si>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</si>
  <si>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</si>
  <si>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</si>
  <si>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</si>
  <si>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</si>
  <si>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</si>
  <si>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</si>
  <si>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</si>
  <si>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</si>
  <si>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</si>
  <si>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</si>
  <si>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</si>
  <si>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</si>
  <si>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</si>
  <si>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</si>
  <si>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</si>
  <si>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</si>
  <si>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</si>
  <si>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</si>
  <si>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</si>
  <si>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</si>
  <si>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</si>
  <si>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</si>
  <si>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</si>
  <si>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white</t>
  </si>
  <si>
    <t>Common image folder</t>
  </si>
  <si>
    <t>Look here if not found in previous folder</t>
  </si>
  <si>
    <t>BlockWidth</t>
  </si>
  <si>
    <t>BlockHeight</t>
  </si>
  <si>
    <t>flag</t>
  </si>
  <si>
    <t>pic</t>
  </si>
  <si>
    <t>middle</t>
  </si>
  <si>
    <t>right</t>
  </si>
  <si>
    <t>jdg ldr</t>
  </si>
  <si>
    <t>jdg fr ldr</t>
  </si>
  <si>
    <t>NAP flag France</t>
  </si>
  <si>
    <t>Klein</t>
  </si>
  <si>
    <t>jdg ma</t>
  </si>
  <si>
    <t>Lasalles</t>
  </si>
  <si>
    <t>reduced</t>
  </si>
  <si>
    <t>subunit</t>
  </si>
  <si>
    <t>elite</t>
  </si>
  <si>
    <t>heavy</t>
  </si>
  <si>
    <t>eng</t>
  </si>
  <si>
    <t>2</t>
  </si>
  <si>
    <t>SIZE</t>
  </si>
  <si>
    <t>TEMPLATE</t>
  </si>
  <si>
    <t>SCHEME</t>
  </si>
  <si>
    <t>JDG 3/4 inch</t>
  </si>
  <si>
    <t>3++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</si>
  <si>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</si>
  <si>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</si>
  <si>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</si>
  <si>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</si>
  <si>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</si>
  <si>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</si>
  <si>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</si>
  <si>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</si>
  <si>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</si>
  <si>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</si>
  <si>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</si>
  <si>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</si>
  <si>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</si>
  <si>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</si>
  <si>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</si>
  <si>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</si>
  <si>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</si>
  <si>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</si>
  <si>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</si>
  <si>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</si>
  <si>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</si>
  <si>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</si>
  <si>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</si>
  <si>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</si>
  <si>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</si>
  <si>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</si>
  <si>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</si>
  <si>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</si>
  <si>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</si>
  <si>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</si>
  <si>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</si>
  <si>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</si>
  <si>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</si>
  <si>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</si>
  <si>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</si>
  <si>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jdg fr ma</t>
  </si>
  <si>
    <t>overrides for all types of element</t>
  </si>
  <si>
    <t>image frame</t>
  </si>
  <si>
    <t>back values in same column : 4|2</t>
  </si>
  <si>
    <t>qty as fixed column after scheme</t>
  </si>
  <si>
    <t>check size and pos calculations, 1 pixel border around each unit</t>
  </si>
  <si>
    <t>overrides for font, size, all colours etc</t>
  </si>
  <si>
    <t>text outline</t>
  </si>
  <si>
    <t>element order</t>
  </si>
  <si>
    <t>define colour combos ? Eg : fauconnet = "black/salmon"</t>
  </si>
  <si>
    <t>russia_lt</t>
  </si>
  <si>
    <t>dpi, paper size</t>
  </si>
  <si>
    <t>viewport</t>
  </si>
  <si>
    <t>reverse: side-by-side, following, fronts-only backs-only</t>
  </si>
  <si>
    <t>attribute order (alignment on sheets tab)</t>
  </si>
  <si>
    <t>image aspect ratio (viewport)</t>
  </si>
  <si>
    <t>sizes, units (inches, cm)</t>
  </si>
  <si>
    <t>output: svg, png/jpg/bmp/etc, gtl, nandeck, imagemagick</t>
  </si>
  <si>
    <t>centre</t>
  </si>
  <si>
    <t>DarkPink</t>
  </si>
  <si>
    <t>FF6AAF</t>
  </si>
  <si>
    <t>DarkPink1</t>
  </si>
  <si>
    <t>arial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</si>
  <si>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</si>
  <si>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</si>
  <si>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</si>
  <si>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</si>
  <si>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</si>
  <si>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</si>
  <si>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</si>
  <si>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</si>
  <si>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</si>
  <si>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</si>
  <si>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</si>
  <si>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</si>
  <si>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</si>
  <si>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</si>
  <si>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</si>
  <si>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</si>
  <si>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</si>
  <si>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</si>
  <si>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</si>
  <si>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</si>
  <si>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</si>
  <si>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</si>
  <si>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</si>
  <si>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</si>
  <si>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</si>
  <si>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</si>
  <si>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</si>
  <si>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</si>
  <si>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</si>
  <si>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</si>
  <si>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</si>
  <si>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</si>
  <si>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</si>
  <si>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</si>
  <si>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</si>
  <si>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</si>
  <si>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</si>
  <si>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</si>
  <si>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</si>
  <si>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</si>
  <si>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</si>
  <si>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</si>
  <si>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</si>
  <si>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generate front and back separately</t>
  </si>
  <si>
    <t>gradient colours: eg [black/red&gt;yellow:2-7]</t>
  </si>
  <si>
    <t>vn</t>
  </si>
  <si>
    <t>text 1</t>
  </si>
  <si>
    <t>text 2</t>
  </si>
  <si>
    <t>text 3</t>
  </si>
  <si>
    <t>text 4</t>
  </si>
  <si>
    <t>fname</t>
  </si>
  <si>
    <t>bname</t>
  </si>
  <si>
    <t>greenyellow</t>
  </si>
  <si>
    <t>olivedrab</t>
  </si>
  <si>
    <t>2 VC</t>
  </si>
  <si>
    <t>1 VC</t>
  </si>
  <si>
    <t>ELIM</t>
  </si>
  <si>
    <t>Support</t>
  </si>
  <si>
    <t>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</si>
</sst>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b/>
      <sz val="10"/>
      <color indexed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49" fontId="3" fillId="0" borderId="0" xfId="0" applyNumberFormat="1" applyFont="1"/>
    <xf numFmtId="0" fontId="2" fillId="2" borderId="0" xfId="0" applyFont="1" applyFill="1" applyBorder="1"/>
    <xf numFmtId="0" fontId="2" fillId="0" borderId="0" xfId="0" applyFont="1"/>
    <xf numFmtId="49" fontId="5" fillId="0" borderId="0" xfId="0" applyNumberFormat="1" applyFont="1"/>
    <xf numFmtId="49" fontId="2" fillId="0" borderId="0" xfId="0" applyNumberFormat="1" applyFont="1"/>
    <xf numFmtId="49" fontId="6" fillId="0" borderId="0" xfId="0" applyNumberFormat="1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0" fillId="3" borderId="0" xfId="0" applyNumberFormat="1" applyFill="1" applyAlignment="1">
      <alignment horizontal="left"/>
    </xf>
    <xf numFmtId="49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horizontal="center"/>
    </xf>
  </cellXfs>
  <cellStyles count="2">
    <cellStyle name="Non défini" xfId="1"/>
    <cellStyle name="Normal" xfId="0" builtinId="0"/>
  </cellStyles>
  <dxfs count="3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579120</xdr:colOff>
          <xdr:row>0</xdr:row>
          <xdr:rowOff>68580</xdr:rowOff>
        </xdr:from>
        <xdr:to>
          <xdr:col>13</xdr:col>
          <xdr:colOff>411480</xdr:colOff>
          <xdr:row>3</xdr:row>
          <xdr:rowOff>144780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0</xdr:row>
      <xdr:rowOff>0</xdr:rowOff>
    </xdr:from>
    <xdr:to>
      <xdr:col>1</xdr:col>
      <xdr:colOff>3926840</xdr:colOff>
      <xdr:row>4</xdr:row>
      <xdr:rowOff>2540</xdr:rowOff>
    </xdr:to>
    <xdr:sp macro="" textlink="">
      <xdr:nvSpPr>
        <xdr:cNvPr id="3" name="outline 2"/>
        <xdr:cNvSpPr/>
      </xdr:nvSpPr>
      <xdr:spPr>
        <a:xfrm>
          <a:off x="74295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660400</xdr:colOff>
      <xdr:row>3</xdr:row>
      <xdr:rowOff>157480</xdr:rowOff>
    </xdr:to>
    <xdr:sp macro="" textlink="">
      <xdr:nvSpPr>
        <xdr:cNvPr id="4" name="fname 3"/>
        <xdr:cNvSpPr/>
      </xdr:nvSpPr>
      <xdr:spPr>
        <a:xfrm>
          <a:off x="12700" y="12700"/>
          <a:ext cx="647700" cy="647700"/>
        </a:xfrm>
        <a:prstGeom prst="rect">
          <a:avLst/>
        </a:prstGeom>
        <a:solidFill>
          <a:srgbClr val="ADFF2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2 VC</a:t>
          </a:r>
        </a:p>
      </xdr:txBody>
    </xdr:sp>
    <xdr:clientData/>
  </xdr:twoCellAnchor>
  <xdr:twoCellAnchor editAs="absolute">
    <xdr:from>
      <xdr:col>1</xdr:col>
      <xdr:colOff>3266440</xdr:colOff>
      <xdr:row>0</xdr:row>
      <xdr:rowOff>12700</xdr:rowOff>
    </xdr:from>
    <xdr:to>
      <xdr:col>1</xdr:col>
      <xdr:colOff>3914140</xdr:colOff>
      <xdr:row>3</xdr:row>
      <xdr:rowOff>157480</xdr:rowOff>
    </xdr:to>
    <xdr:sp macro="" textlink="">
      <xdr:nvSpPr>
        <xdr:cNvPr id="5" name="bname 4"/>
        <xdr:cNvSpPr/>
      </xdr:nvSpPr>
      <xdr:spPr>
        <a:xfrm>
          <a:off x="7442200" y="12700"/>
          <a:ext cx="647700" cy="647700"/>
        </a:xfrm>
        <a:prstGeom prst="rect">
          <a:avLst/>
        </a:prstGeom>
        <a:solidFill>
          <a:srgbClr val="ADFF2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1 VC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6" name="outline 5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0</xdr:row>
      <xdr:rowOff>0</xdr:rowOff>
    </xdr:from>
    <xdr:to>
      <xdr:col>1</xdr:col>
      <xdr:colOff>3253740</xdr:colOff>
      <xdr:row>4</xdr:row>
      <xdr:rowOff>2540</xdr:rowOff>
    </xdr:to>
    <xdr:sp macro="" textlink="">
      <xdr:nvSpPr>
        <xdr:cNvPr id="7" name="outline 6"/>
        <xdr:cNvSpPr/>
      </xdr:nvSpPr>
      <xdr:spPr>
        <a:xfrm>
          <a:off x="67564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1333500</xdr:colOff>
      <xdr:row>3</xdr:row>
      <xdr:rowOff>157480</xdr:rowOff>
    </xdr:to>
    <xdr:sp macro="" textlink="">
      <xdr:nvSpPr>
        <xdr:cNvPr id="8" name="fname 7"/>
        <xdr:cNvSpPr/>
      </xdr:nvSpPr>
      <xdr:spPr>
        <a:xfrm>
          <a:off x="6858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ELIM</a:t>
          </a:r>
        </a:p>
      </xdr:txBody>
    </xdr:sp>
    <xdr:clientData/>
  </xdr:twoCellAnchor>
  <xdr:twoCellAnchor editAs="absolute">
    <xdr:from>
      <xdr:col>1</xdr:col>
      <xdr:colOff>2593340</xdr:colOff>
      <xdr:row>0</xdr:row>
      <xdr:rowOff>12700</xdr:rowOff>
    </xdr:from>
    <xdr:to>
      <xdr:col>1</xdr:col>
      <xdr:colOff>3241040</xdr:colOff>
      <xdr:row>3</xdr:row>
      <xdr:rowOff>157480</xdr:rowOff>
    </xdr:to>
    <xdr:sp macro="" textlink="">
      <xdr:nvSpPr>
        <xdr:cNvPr id="9" name="bname 8"/>
        <xdr:cNvSpPr/>
      </xdr:nvSpPr>
      <xdr:spPr>
        <a:xfrm>
          <a:off x="67691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ELIM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10" name="outline 9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0</xdr:row>
      <xdr:rowOff>0</xdr:rowOff>
    </xdr:from>
    <xdr:to>
      <xdr:col>1</xdr:col>
      <xdr:colOff>2580640</xdr:colOff>
      <xdr:row>4</xdr:row>
      <xdr:rowOff>2540</xdr:rowOff>
    </xdr:to>
    <xdr:sp macro="" textlink="">
      <xdr:nvSpPr>
        <xdr:cNvPr id="11" name="outline 10"/>
        <xdr:cNvSpPr/>
      </xdr:nvSpPr>
      <xdr:spPr>
        <a:xfrm>
          <a:off x="60833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2006600</xdr:colOff>
      <xdr:row>3</xdr:row>
      <xdr:rowOff>157480</xdr:rowOff>
    </xdr:to>
    <xdr:sp macro="" textlink="">
      <xdr:nvSpPr>
        <xdr:cNvPr id="12" name="fname 11"/>
        <xdr:cNvSpPr/>
      </xdr:nvSpPr>
      <xdr:spPr>
        <a:xfrm>
          <a:off x="13589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HOLD</a:t>
          </a:r>
        </a:p>
      </xdr:txBody>
    </xdr:sp>
    <xdr:clientData/>
  </xdr:twoCellAnchor>
  <xdr:twoCellAnchor editAs="absolute">
    <xdr:from>
      <xdr:col>1</xdr:col>
      <xdr:colOff>1920240</xdr:colOff>
      <xdr:row>0</xdr:row>
      <xdr:rowOff>12700</xdr:rowOff>
    </xdr:from>
    <xdr:to>
      <xdr:col>1</xdr:col>
      <xdr:colOff>2567940</xdr:colOff>
      <xdr:row>3</xdr:row>
      <xdr:rowOff>157480</xdr:rowOff>
    </xdr:to>
    <xdr:sp macro="" textlink="">
      <xdr:nvSpPr>
        <xdr:cNvPr id="13" name="bname 12"/>
        <xdr:cNvSpPr/>
      </xdr:nvSpPr>
      <xdr:spPr>
        <a:xfrm>
          <a:off x="60960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HOLD</a:t>
          </a:r>
        </a:p>
      </xdr:txBody>
    </xdr:sp>
    <xdr:clientData/>
  </xdr:twoCellAnchor>
  <xdr:twoCellAnchor editAs="absolute">
    <xdr:from>
      <xdr:col>0</xdr:col>
      <xdr:colOff>2019300</xdr:colOff>
      <xdr:row>0</xdr:row>
      <xdr:rowOff>0</xdr:rowOff>
    </xdr:from>
    <xdr:to>
      <xdr:col>0</xdr:col>
      <xdr:colOff>2692400</xdr:colOff>
      <xdr:row>4</xdr:row>
      <xdr:rowOff>2540</xdr:rowOff>
    </xdr:to>
    <xdr:sp macro="" textlink="">
      <xdr:nvSpPr>
        <xdr:cNvPr id="14" name="outline 13"/>
        <xdr:cNvSpPr/>
      </xdr:nvSpPr>
      <xdr:spPr>
        <a:xfrm>
          <a:off x="20193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0</xdr:row>
      <xdr:rowOff>0</xdr:rowOff>
    </xdr:from>
    <xdr:to>
      <xdr:col>1</xdr:col>
      <xdr:colOff>1907540</xdr:colOff>
      <xdr:row>4</xdr:row>
      <xdr:rowOff>2540</xdr:rowOff>
    </xdr:to>
    <xdr:sp macro="" textlink="">
      <xdr:nvSpPr>
        <xdr:cNvPr id="15" name="outline 14"/>
        <xdr:cNvSpPr/>
      </xdr:nvSpPr>
      <xdr:spPr>
        <a:xfrm>
          <a:off x="54102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0</xdr:row>
      <xdr:rowOff>12700</xdr:rowOff>
    </xdr:from>
    <xdr:to>
      <xdr:col>0</xdr:col>
      <xdr:colOff>2679700</xdr:colOff>
      <xdr:row>3</xdr:row>
      <xdr:rowOff>157480</xdr:rowOff>
    </xdr:to>
    <xdr:sp macro="" textlink="">
      <xdr:nvSpPr>
        <xdr:cNvPr id="16" name="fname 15"/>
        <xdr:cNvSpPr/>
      </xdr:nvSpPr>
      <xdr:spPr>
        <a:xfrm>
          <a:off x="20320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Support</a:t>
          </a:r>
        </a:p>
      </xdr:txBody>
    </xdr:sp>
    <xdr:clientData/>
  </xdr:twoCellAnchor>
  <xdr:twoCellAnchor editAs="absolute">
    <xdr:from>
      <xdr:col>1</xdr:col>
      <xdr:colOff>1247140</xdr:colOff>
      <xdr:row>0</xdr:row>
      <xdr:rowOff>12700</xdr:rowOff>
    </xdr:from>
    <xdr:to>
      <xdr:col>1</xdr:col>
      <xdr:colOff>1894840</xdr:colOff>
      <xdr:row>3</xdr:row>
      <xdr:rowOff>157480</xdr:rowOff>
    </xdr:to>
    <xdr:sp macro="" textlink="">
      <xdr:nvSpPr>
        <xdr:cNvPr id="17" name="bname 16"/>
        <xdr:cNvSpPr/>
      </xdr:nvSpPr>
      <xdr:spPr>
        <a:xfrm>
          <a:off x="54229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Support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673100</xdr:colOff>
      <xdr:row>4</xdr:row>
      <xdr:rowOff>2540</xdr:rowOff>
    </xdr:to>
    <xdr:sp macro="" textlink="">
      <xdr:nvSpPr>
        <xdr:cNvPr id="2" name="outline 1"/>
        <xdr:cNvSpPr/>
      </xdr:nvSpPr>
      <xdr:spPr>
        <a:xfrm>
          <a:off x="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3253740</xdr:colOff>
      <xdr:row>0</xdr:row>
      <xdr:rowOff>0</xdr:rowOff>
    </xdr:from>
    <xdr:to>
      <xdr:col>1</xdr:col>
      <xdr:colOff>3926840</xdr:colOff>
      <xdr:row>4</xdr:row>
      <xdr:rowOff>2540</xdr:rowOff>
    </xdr:to>
    <xdr:sp macro="" textlink="">
      <xdr:nvSpPr>
        <xdr:cNvPr id="3" name="outline 2"/>
        <xdr:cNvSpPr/>
      </xdr:nvSpPr>
      <xdr:spPr>
        <a:xfrm>
          <a:off x="74295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660400</xdr:colOff>
      <xdr:row>3</xdr:row>
      <xdr:rowOff>157480</xdr:rowOff>
    </xdr:to>
    <xdr:sp macro="" textlink="">
      <xdr:nvSpPr>
        <xdr:cNvPr id="4" name="fname 3"/>
        <xdr:cNvSpPr/>
      </xdr:nvSpPr>
      <xdr:spPr>
        <a:xfrm>
          <a:off x="12700" y="12700"/>
          <a:ext cx="647700" cy="647700"/>
        </a:xfrm>
        <a:prstGeom prst="rect">
          <a:avLst/>
        </a:prstGeom>
        <a:solidFill>
          <a:srgbClr val="ADFF2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2 VC</a:t>
          </a:r>
        </a:p>
      </xdr:txBody>
    </xdr:sp>
    <xdr:clientData/>
  </xdr:twoCellAnchor>
  <xdr:twoCellAnchor editAs="absolute">
    <xdr:from>
      <xdr:col>1</xdr:col>
      <xdr:colOff>3266440</xdr:colOff>
      <xdr:row>0</xdr:row>
      <xdr:rowOff>12700</xdr:rowOff>
    </xdr:from>
    <xdr:to>
      <xdr:col>1</xdr:col>
      <xdr:colOff>3914140</xdr:colOff>
      <xdr:row>3</xdr:row>
      <xdr:rowOff>157480</xdr:rowOff>
    </xdr:to>
    <xdr:sp macro="" textlink="">
      <xdr:nvSpPr>
        <xdr:cNvPr id="5" name="bname 4"/>
        <xdr:cNvSpPr/>
      </xdr:nvSpPr>
      <xdr:spPr>
        <a:xfrm>
          <a:off x="7442200" y="12700"/>
          <a:ext cx="647700" cy="647700"/>
        </a:xfrm>
        <a:prstGeom prst="rect">
          <a:avLst/>
        </a:prstGeom>
        <a:solidFill>
          <a:srgbClr val="ADFF2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1 VC</a:t>
          </a:r>
        </a:p>
      </xdr:txBody>
    </xdr:sp>
    <xdr:clientData/>
  </xdr:twoCellAnchor>
  <xdr:twoCellAnchor editAs="absolute">
    <xdr:from>
      <xdr:col>0</xdr:col>
      <xdr:colOff>673100</xdr:colOff>
      <xdr:row>0</xdr:row>
      <xdr:rowOff>0</xdr:rowOff>
    </xdr:from>
    <xdr:to>
      <xdr:col>0</xdr:col>
      <xdr:colOff>1346200</xdr:colOff>
      <xdr:row>4</xdr:row>
      <xdr:rowOff>2540</xdr:rowOff>
    </xdr:to>
    <xdr:sp macro="" textlink="">
      <xdr:nvSpPr>
        <xdr:cNvPr id="6" name="outline 5"/>
        <xdr:cNvSpPr/>
      </xdr:nvSpPr>
      <xdr:spPr>
        <a:xfrm>
          <a:off x="6731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2580640</xdr:colOff>
      <xdr:row>0</xdr:row>
      <xdr:rowOff>0</xdr:rowOff>
    </xdr:from>
    <xdr:to>
      <xdr:col>1</xdr:col>
      <xdr:colOff>3253740</xdr:colOff>
      <xdr:row>4</xdr:row>
      <xdr:rowOff>2540</xdr:rowOff>
    </xdr:to>
    <xdr:sp macro="" textlink="">
      <xdr:nvSpPr>
        <xdr:cNvPr id="7" name="outline 6"/>
        <xdr:cNvSpPr/>
      </xdr:nvSpPr>
      <xdr:spPr>
        <a:xfrm>
          <a:off x="67564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685800</xdr:colOff>
      <xdr:row>0</xdr:row>
      <xdr:rowOff>12700</xdr:rowOff>
    </xdr:from>
    <xdr:to>
      <xdr:col>0</xdr:col>
      <xdr:colOff>1333500</xdr:colOff>
      <xdr:row>3</xdr:row>
      <xdr:rowOff>157480</xdr:rowOff>
    </xdr:to>
    <xdr:sp macro="" textlink="">
      <xdr:nvSpPr>
        <xdr:cNvPr id="8" name="fname 7"/>
        <xdr:cNvSpPr/>
      </xdr:nvSpPr>
      <xdr:spPr>
        <a:xfrm>
          <a:off x="6858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ELIM</a:t>
          </a:r>
        </a:p>
      </xdr:txBody>
    </xdr:sp>
    <xdr:clientData/>
  </xdr:twoCellAnchor>
  <xdr:twoCellAnchor editAs="absolute">
    <xdr:from>
      <xdr:col>1</xdr:col>
      <xdr:colOff>2593340</xdr:colOff>
      <xdr:row>0</xdr:row>
      <xdr:rowOff>12700</xdr:rowOff>
    </xdr:from>
    <xdr:to>
      <xdr:col>1</xdr:col>
      <xdr:colOff>3241040</xdr:colOff>
      <xdr:row>3</xdr:row>
      <xdr:rowOff>157480</xdr:rowOff>
    </xdr:to>
    <xdr:sp macro="" textlink="">
      <xdr:nvSpPr>
        <xdr:cNvPr id="9" name="bname 8"/>
        <xdr:cNvSpPr/>
      </xdr:nvSpPr>
      <xdr:spPr>
        <a:xfrm>
          <a:off x="67691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ELIM</a:t>
          </a:r>
        </a:p>
      </xdr:txBody>
    </xdr:sp>
    <xdr:clientData/>
  </xdr:twoCellAnchor>
  <xdr:twoCellAnchor editAs="absolute">
    <xdr:from>
      <xdr:col>0</xdr:col>
      <xdr:colOff>1346200</xdr:colOff>
      <xdr:row>0</xdr:row>
      <xdr:rowOff>0</xdr:rowOff>
    </xdr:from>
    <xdr:to>
      <xdr:col>0</xdr:col>
      <xdr:colOff>2019300</xdr:colOff>
      <xdr:row>4</xdr:row>
      <xdr:rowOff>2540</xdr:rowOff>
    </xdr:to>
    <xdr:sp macro="" textlink="">
      <xdr:nvSpPr>
        <xdr:cNvPr id="10" name="outline 9"/>
        <xdr:cNvSpPr/>
      </xdr:nvSpPr>
      <xdr:spPr>
        <a:xfrm>
          <a:off x="13462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1907540</xdr:colOff>
      <xdr:row>0</xdr:row>
      <xdr:rowOff>0</xdr:rowOff>
    </xdr:from>
    <xdr:to>
      <xdr:col>1</xdr:col>
      <xdr:colOff>2580640</xdr:colOff>
      <xdr:row>4</xdr:row>
      <xdr:rowOff>2540</xdr:rowOff>
    </xdr:to>
    <xdr:sp macro="" textlink="">
      <xdr:nvSpPr>
        <xdr:cNvPr id="11" name="outline 10"/>
        <xdr:cNvSpPr/>
      </xdr:nvSpPr>
      <xdr:spPr>
        <a:xfrm>
          <a:off x="60833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1358900</xdr:colOff>
      <xdr:row>0</xdr:row>
      <xdr:rowOff>12700</xdr:rowOff>
    </xdr:from>
    <xdr:to>
      <xdr:col>0</xdr:col>
      <xdr:colOff>2006600</xdr:colOff>
      <xdr:row>3</xdr:row>
      <xdr:rowOff>157480</xdr:rowOff>
    </xdr:to>
    <xdr:sp macro="" textlink="">
      <xdr:nvSpPr>
        <xdr:cNvPr id="12" name="fname 11"/>
        <xdr:cNvSpPr/>
      </xdr:nvSpPr>
      <xdr:spPr>
        <a:xfrm>
          <a:off x="13589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HOLD</a:t>
          </a:r>
        </a:p>
      </xdr:txBody>
    </xdr:sp>
    <xdr:clientData/>
  </xdr:twoCellAnchor>
  <xdr:twoCellAnchor editAs="absolute">
    <xdr:from>
      <xdr:col>1</xdr:col>
      <xdr:colOff>1920240</xdr:colOff>
      <xdr:row>0</xdr:row>
      <xdr:rowOff>12700</xdr:rowOff>
    </xdr:from>
    <xdr:to>
      <xdr:col>1</xdr:col>
      <xdr:colOff>2567940</xdr:colOff>
      <xdr:row>3</xdr:row>
      <xdr:rowOff>157480</xdr:rowOff>
    </xdr:to>
    <xdr:sp macro="" textlink="">
      <xdr:nvSpPr>
        <xdr:cNvPr id="13" name="bname 12"/>
        <xdr:cNvSpPr/>
      </xdr:nvSpPr>
      <xdr:spPr>
        <a:xfrm>
          <a:off x="60960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HOLD</a:t>
          </a:r>
        </a:p>
      </xdr:txBody>
    </xdr:sp>
    <xdr:clientData/>
  </xdr:twoCellAnchor>
  <xdr:twoCellAnchor editAs="absolute">
    <xdr:from>
      <xdr:col>0</xdr:col>
      <xdr:colOff>2019300</xdr:colOff>
      <xdr:row>0</xdr:row>
      <xdr:rowOff>0</xdr:rowOff>
    </xdr:from>
    <xdr:to>
      <xdr:col>0</xdr:col>
      <xdr:colOff>2692400</xdr:colOff>
      <xdr:row>4</xdr:row>
      <xdr:rowOff>2540</xdr:rowOff>
    </xdr:to>
    <xdr:sp macro="" textlink="">
      <xdr:nvSpPr>
        <xdr:cNvPr id="14" name="outline 13"/>
        <xdr:cNvSpPr/>
      </xdr:nvSpPr>
      <xdr:spPr>
        <a:xfrm>
          <a:off x="20193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1234440</xdr:colOff>
      <xdr:row>0</xdr:row>
      <xdr:rowOff>0</xdr:rowOff>
    </xdr:from>
    <xdr:to>
      <xdr:col>1</xdr:col>
      <xdr:colOff>1907540</xdr:colOff>
      <xdr:row>4</xdr:row>
      <xdr:rowOff>2540</xdr:rowOff>
    </xdr:to>
    <xdr:sp macro="" textlink="">
      <xdr:nvSpPr>
        <xdr:cNvPr id="15" name="outline 14"/>
        <xdr:cNvSpPr/>
      </xdr:nvSpPr>
      <xdr:spPr>
        <a:xfrm>
          <a:off x="5410200" y="0"/>
          <a:ext cx="673100" cy="673100"/>
        </a:xfrm>
        <a:prstGeom prst="rect">
          <a:avLst/>
        </a:prstGeom>
        <a:solidFill>
          <a:srgbClr val="FFFF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2032000</xdr:colOff>
      <xdr:row>0</xdr:row>
      <xdr:rowOff>12700</xdr:rowOff>
    </xdr:from>
    <xdr:to>
      <xdr:col>0</xdr:col>
      <xdr:colOff>2679700</xdr:colOff>
      <xdr:row>3</xdr:row>
      <xdr:rowOff>157480</xdr:rowOff>
    </xdr:to>
    <xdr:sp macro="" textlink="">
      <xdr:nvSpPr>
        <xdr:cNvPr id="16" name="fname 15"/>
        <xdr:cNvSpPr/>
      </xdr:nvSpPr>
      <xdr:spPr>
        <a:xfrm>
          <a:off x="20320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Support</a:t>
          </a:r>
        </a:p>
      </xdr:txBody>
    </xdr:sp>
    <xdr:clientData/>
  </xdr:twoCellAnchor>
  <xdr:twoCellAnchor editAs="absolute">
    <xdr:from>
      <xdr:col>1</xdr:col>
      <xdr:colOff>1247140</xdr:colOff>
      <xdr:row>0</xdr:row>
      <xdr:rowOff>12700</xdr:rowOff>
    </xdr:from>
    <xdr:to>
      <xdr:col>1</xdr:col>
      <xdr:colOff>1894840</xdr:colOff>
      <xdr:row>3</xdr:row>
      <xdr:rowOff>157480</xdr:rowOff>
    </xdr:to>
    <xdr:sp macro="" textlink="">
      <xdr:nvSpPr>
        <xdr:cNvPr id="17" name="bname 16"/>
        <xdr:cNvSpPr/>
      </xdr:nvSpPr>
      <xdr:spPr>
        <a:xfrm>
          <a:off x="5422900" y="12700"/>
          <a:ext cx="647700" cy="647700"/>
        </a:xfrm>
        <a:prstGeom prst="rect">
          <a:avLst/>
        </a:prstGeom>
        <a:solidFill>
          <a:srgbClr val="6B8E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530" b="1" i="1">
              <a:solidFill>
                <a:srgbClr val="000000"/>
              </a:solidFill>
              <a:latin typeface="arial"/>
            </a:rPr>
            <a:t>Support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7"/>
  <sheetViews>
    <sheetView topLeftCell="A57" workbookViewId="0">
      <selection activeCell="A78" sqref="A78"/>
    </sheetView>
  </sheetViews>
  <sheetFormatPr defaultColWidth="9.109375" defaultRowHeight="13.2" x14ac:dyDescent="0.25"/>
  <cols>
    <col min="1" max="1" width="68.88671875" bestFit="1" customWidth="1"/>
    <col min="2" max="2" width="24.21875" bestFit="1" customWidth="1"/>
    <col min="3" max="3" width="4.33203125" bestFit="1" customWidth="1"/>
    <col min="5" max="5" width="6" bestFit="1" customWidth="1"/>
  </cols>
  <sheetData>
    <row r="1" spans="1:3" x14ac:dyDescent="0.25">
      <c r="A1" s="4" t="s">
        <v>47</v>
      </c>
    </row>
    <row r="2" spans="1:3" x14ac:dyDescent="0.25">
      <c r="A2" s="8" t="s">
        <v>48</v>
      </c>
    </row>
    <row r="3" spans="1:3" x14ac:dyDescent="0.25">
      <c r="A3" s="8" t="s">
        <v>69</v>
      </c>
    </row>
    <row r="4" spans="1:3" x14ac:dyDescent="0.25">
      <c r="A4" s="4" t="s">
        <v>49</v>
      </c>
      <c r="C4" t="s">
        <v>90</v>
      </c>
    </row>
    <row r="5" spans="1:3" x14ac:dyDescent="0.25">
      <c r="C5" t="s">
        <v>91</v>
      </c>
    </row>
    <row r="6" spans="1:3" x14ac:dyDescent="0.25">
      <c r="A6" s="4" t="s">
        <v>72</v>
      </c>
      <c r="C6" t="s">
        <v>92</v>
      </c>
    </row>
    <row r="7" spans="1:3" x14ac:dyDescent="0.25">
      <c r="A7" s="4" t="s">
        <v>71</v>
      </c>
      <c r="C7" t="s">
        <v>93</v>
      </c>
    </row>
    <row r="8" spans="1:3" x14ac:dyDescent="0.25">
      <c r="C8" t="s">
        <v>94</v>
      </c>
    </row>
    <row r="9" spans="1:3" x14ac:dyDescent="0.25">
      <c r="A9" s="4" t="s">
        <v>73</v>
      </c>
    </row>
    <row r="10" spans="1:3" x14ac:dyDescent="0.25">
      <c r="A10" s="8" t="s">
        <v>74</v>
      </c>
    </row>
    <row r="11" spans="1:3" x14ac:dyDescent="0.25">
      <c r="A11" s="8" t="s">
        <v>77</v>
      </c>
    </row>
    <row r="12" spans="1:3" x14ac:dyDescent="0.25">
      <c r="A12" s="8" t="s">
        <v>75</v>
      </c>
    </row>
    <row r="13" spans="1:3" x14ac:dyDescent="0.25">
      <c r="A13" s="8" t="s">
        <v>76</v>
      </c>
    </row>
    <row r="14" spans="1:3" x14ac:dyDescent="0.25">
      <c r="A14" s="8" t="s">
        <v>82</v>
      </c>
    </row>
    <row r="15" spans="1:3" x14ac:dyDescent="0.25">
      <c r="A15" s="8" t="s">
        <v>81</v>
      </c>
    </row>
    <row r="17" spans="1:5" x14ac:dyDescent="0.25">
      <c r="A17" s="8" t="s">
        <v>83</v>
      </c>
    </row>
    <row r="18" spans="1:5" x14ac:dyDescent="0.25">
      <c r="A18" s="8" t="s">
        <v>84</v>
      </c>
    </row>
    <row r="19" spans="1:5" x14ac:dyDescent="0.25">
      <c r="A19" s="8" t="s">
        <v>87</v>
      </c>
    </row>
    <row r="20" spans="1:5" x14ac:dyDescent="0.25">
      <c r="A20" s="8"/>
    </row>
    <row r="21" spans="1:5" x14ac:dyDescent="0.25">
      <c r="A21" s="13" t="s">
        <v>101</v>
      </c>
    </row>
    <row r="22" spans="1:5" x14ac:dyDescent="0.25">
      <c r="A22" s="8" t="s">
        <v>102</v>
      </c>
    </row>
    <row r="23" spans="1:5" x14ac:dyDescent="0.25">
      <c r="A23" s="8" t="s">
        <v>112</v>
      </c>
    </row>
    <row r="24" spans="1:5" x14ac:dyDescent="0.25">
      <c r="A24" s="8" t="s">
        <v>85</v>
      </c>
    </row>
    <row r="25" spans="1:5" x14ac:dyDescent="0.25">
      <c r="A25" s="11" t="s">
        <v>88</v>
      </c>
    </row>
    <row r="26" spans="1:5" x14ac:dyDescent="0.25">
      <c r="A26" s="8" t="s">
        <v>98</v>
      </c>
      <c r="B26" t="s">
        <v>120</v>
      </c>
      <c r="C26">
        <v>36</v>
      </c>
      <c r="E26" s="1" t="s">
        <v>142</v>
      </c>
    </row>
    <row r="27" spans="1:5" x14ac:dyDescent="0.25">
      <c r="A27" s="8" t="s">
        <v>103</v>
      </c>
      <c r="B27" t="s">
        <v>121</v>
      </c>
      <c r="C27">
        <v>45</v>
      </c>
      <c r="E27" s="1" t="s">
        <v>132</v>
      </c>
    </row>
    <row r="28" spans="1:5" x14ac:dyDescent="0.25">
      <c r="A28" s="8" t="s">
        <v>110</v>
      </c>
      <c r="B28" t="s">
        <v>122</v>
      </c>
      <c r="C28">
        <v>54</v>
      </c>
      <c r="E28" s="1" t="s">
        <v>133</v>
      </c>
    </row>
    <row r="29" spans="1:5" x14ac:dyDescent="0.25">
      <c r="A29" s="8" t="s">
        <v>109</v>
      </c>
      <c r="B29" t="s">
        <v>123</v>
      </c>
      <c r="C29">
        <v>72</v>
      </c>
      <c r="E29" s="1" t="s">
        <v>134</v>
      </c>
    </row>
    <row r="30" spans="1:5" x14ac:dyDescent="0.25">
      <c r="A30" s="8" t="s">
        <v>111</v>
      </c>
      <c r="B30" t="s">
        <v>124</v>
      </c>
      <c r="C30">
        <v>162</v>
      </c>
      <c r="E30" s="1" t="s">
        <v>135</v>
      </c>
    </row>
    <row r="31" spans="1:5" x14ac:dyDescent="0.25">
      <c r="A31" s="11" t="s">
        <v>113</v>
      </c>
      <c r="B31" t="s">
        <v>125</v>
      </c>
      <c r="C31">
        <v>234</v>
      </c>
      <c r="E31" s="1" t="s">
        <v>136</v>
      </c>
    </row>
    <row r="32" spans="1:5" x14ac:dyDescent="0.25">
      <c r="A32" s="8" t="s">
        <v>131</v>
      </c>
      <c r="E32" s="1" t="s">
        <v>137</v>
      </c>
    </row>
    <row r="33" spans="1:5" x14ac:dyDescent="0.25">
      <c r="A33" s="8" t="s">
        <v>129</v>
      </c>
      <c r="E33" s="1" t="s">
        <v>138</v>
      </c>
    </row>
    <row r="34" spans="1:5" x14ac:dyDescent="0.25">
      <c r="A34" s="8" t="s">
        <v>128</v>
      </c>
      <c r="E34" s="1" t="s">
        <v>139</v>
      </c>
    </row>
    <row r="35" spans="1:5" x14ac:dyDescent="0.25">
      <c r="A35" s="4" t="s">
        <v>130</v>
      </c>
      <c r="E35" s="1" t="s">
        <v>140</v>
      </c>
    </row>
    <row r="36" spans="1:5" x14ac:dyDescent="0.25">
      <c r="A36" s="8" t="s">
        <v>126</v>
      </c>
      <c r="E36" s="1" t="s">
        <v>141</v>
      </c>
    </row>
    <row r="37" spans="1:5" x14ac:dyDescent="0.25">
      <c r="A37" s="4" t="s">
        <v>280</v>
      </c>
    </row>
    <row r="38" spans="1:5" x14ac:dyDescent="0.25">
      <c r="A38" s="4" t="s">
        <v>281</v>
      </c>
    </row>
    <row r="39" spans="1:5" x14ac:dyDescent="0.25">
      <c r="A39" s="4" t="s">
        <v>279</v>
      </c>
    </row>
    <row r="41" spans="1:5" x14ac:dyDescent="0.25">
      <c r="A41" s="12" t="s">
        <v>127</v>
      </c>
    </row>
    <row r="42" spans="1:5" x14ac:dyDescent="0.25">
      <c r="A42" s="4" t="s">
        <v>114</v>
      </c>
    </row>
    <row r="43" spans="1:5" x14ac:dyDescent="0.25">
      <c r="A43" s="8" t="s">
        <v>115</v>
      </c>
    </row>
    <row r="44" spans="1:5" x14ac:dyDescent="0.25">
      <c r="A44" s="4" t="s">
        <v>86</v>
      </c>
    </row>
    <row r="46" spans="1:5" x14ac:dyDescent="0.25">
      <c r="A46" s="4" t="s">
        <v>119</v>
      </c>
    </row>
    <row r="48" spans="1:5" x14ac:dyDescent="0.25">
      <c r="A48" s="4" t="s">
        <v>89</v>
      </c>
    </row>
    <row r="50" spans="1:2" x14ac:dyDescent="0.25">
      <c r="A50" s="12" t="s">
        <v>99</v>
      </c>
    </row>
    <row r="52" spans="1:2" x14ac:dyDescent="0.25">
      <c r="A52" s="12" t="s">
        <v>100</v>
      </c>
      <c r="B52" t="s">
        <v>118</v>
      </c>
    </row>
    <row r="54" spans="1:2" x14ac:dyDescent="0.25">
      <c r="A54" s="4" t="s">
        <v>282</v>
      </c>
    </row>
    <row r="55" spans="1:2" x14ac:dyDescent="0.25">
      <c r="A55" s="4" t="s">
        <v>95</v>
      </c>
    </row>
    <row r="57" spans="1:2" x14ac:dyDescent="0.25">
      <c r="A57" s="22" t="s">
        <v>557</v>
      </c>
    </row>
    <row r="58" spans="1:2" x14ac:dyDescent="0.25">
      <c r="A58" s="22" t="s">
        <v>558</v>
      </c>
    </row>
    <row r="59" spans="1:2" x14ac:dyDescent="0.25">
      <c r="A59" s="22" t="s">
        <v>562</v>
      </c>
    </row>
    <row r="60" spans="1:2" x14ac:dyDescent="0.25">
      <c r="A60" s="22" t="s">
        <v>559</v>
      </c>
    </row>
    <row r="61" spans="1:2" x14ac:dyDescent="0.25">
      <c r="A61" s="22" t="s">
        <v>560</v>
      </c>
    </row>
    <row r="62" spans="1:2" x14ac:dyDescent="0.25">
      <c r="A62" s="22" t="s">
        <v>561</v>
      </c>
    </row>
    <row r="63" spans="1:2" x14ac:dyDescent="0.25">
      <c r="A63" s="22" t="s">
        <v>571</v>
      </c>
    </row>
    <row r="64" spans="1:2" x14ac:dyDescent="0.25">
      <c r="A64" s="22" t="s">
        <v>563</v>
      </c>
    </row>
    <row r="65" spans="1:1" x14ac:dyDescent="0.25">
      <c r="A65" s="22" t="s">
        <v>564</v>
      </c>
    </row>
    <row r="66" spans="1:1" x14ac:dyDescent="0.25">
      <c r="A66" s="22" t="s">
        <v>570</v>
      </c>
    </row>
    <row r="67" spans="1:1" x14ac:dyDescent="0.25">
      <c r="A67" s="22" t="s">
        <v>565</v>
      </c>
    </row>
    <row r="68" spans="1:1" x14ac:dyDescent="0.25">
      <c r="A68" s="22" t="s">
        <v>567</v>
      </c>
    </row>
    <row r="69" spans="1:1" x14ac:dyDescent="0.25">
      <c r="A69" s="22" t="s">
        <v>572</v>
      </c>
    </row>
    <row r="70" spans="1:1" x14ac:dyDescent="0.25">
      <c r="A70" s="22" t="s">
        <v>568</v>
      </c>
    </row>
    <row r="71" spans="1:1" x14ac:dyDescent="0.25">
      <c r="A71" s="22" t="s">
        <v>569</v>
      </c>
    </row>
    <row r="73" spans="1:1" x14ac:dyDescent="0.25">
      <c r="A73" s="22" t="s">
        <v>573</v>
      </c>
    </row>
    <row r="75" spans="1:1" x14ac:dyDescent="0.25">
      <c r="A75" s="22" t="s">
        <v>622</v>
      </c>
    </row>
    <row r="77" spans="1:1" x14ac:dyDescent="0.25">
      <c r="A77" s="22" t="s">
        <v>623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8" sqref="B8"/>
    </sheetView>
  </sheetViews>
  <sheetFormatPr defaultRowHeight="13.2" x14ac:dyDescent="0.25"/>
  <sheetData>
    <row r="1" spans="1:5" x14ac:dyDescent="0.25">
      <c r="A1" s="2" t="s">
        <v>107</v>
      </c>
      <c r="B1" s="15" t="s">
        <v>108</v>
      </c>
      <c r="C1" s="2" t="s">
        <v>287</v>
      </c>
    </row>
    <row r="2" spans="1:5" x14ac:dyDescent="0.25">
      <c r="A2" t="s">
        <v>104</v>
      </c>
      <c r="B2" s="1">
        <v>0</v>
      </c>
      <c r="C2" t="s">
        <v>461</v>
      </c>
    </row>
    <row r="3" spans="1:5" x14ac:dyDescent="0.25">
      <c r="A3" t="s">
        <v>105</v>
      </c>
      <c r="B3" s="1">
        <v>0</v>
      </c>
      <c r="C3" t="s">
        <v>462</v>
      </c>
    </row>
    <row r="4" spans="1:5" x14ac:dyDescent="0.25">
      <c r="A4" t="s">
        <v>106</v>
      </c>
      <c r="B4" s="1" t="s">
        <v>525</v>
      </c>
      <c r="C4" t="s">
        <v>463</v>
      </c>
      <c r="E4" s="1"/>
    </row>
    <row r="5" spans="1:5" x14ac:dyDescent="0.25">
      <c r="A5" t="s">
        <v>496</v>
      </c>
      <c r="B5" s="1" t="s">
        <v>525</v>
      </c>
      <c r="C5" t="s">
        <v>497</v>
      </c>
      <c r="E5" s="1"/>
    </row>
    <row r="6" spans="1:5" x14ac:dyDescent="0.25">
      <c r="A6" t="s">
        <v>146</v>
      </c>
      <c r="B6" s="1" t="s">
        <v>494</v>
      </c>
      <c r="C6" t="s">
        <v>146</v>
      </c>
    </row>
    <row r="7" spans="1:5" x14ac:dyDescent="0.25">
      <c r="A7" t="s">
        <v>147</v>
      </c>
      <c r="B7" s="1" t="b">
        <v>1</v>
      </c>
      <c r="C7" t="s">
        <v>493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A3" sqref="A3"/>
    </sheetView>
  </sheetViews>
  <sheetFormatPr defaultColWidth="9.109375" defaultRowHeight="13.2" x14ac:dyDescent="0.25"/>
  <sheetData>
    <row r="1" spans="1:8" x14ac:dyDescent="0.25">
      <c r="A1" s="16" t="s">
        <v>0</v>
      </c>
      <c r="B1" s="16" t="s">
        <v>96</v>
      </c>
      <c r="C1" s="16" t="s">
        <v>97</v>
      </c>
      <c r="D1" s="16" t="s">
        <v>498</v>
      </c>
      <c r="E1" s="16" t="s">
        <v>499</v>
      </c>
      <c r="F1" s="16" t="s">
        <v>116</v>
      </c>
      <c r="G1" s="16" t="s">
        <v>117</v>
      </c>
      <c r="H1" s="15" t="s">
        <v>287</v>
      </c>
    </row>
    <row r="2" spans="1:8" x14ac:dyDescent="0.25">
      <c r="A2" t="s">
        <v>624</v>
      </c>
      <c r="B2">
        <v>52</v>
      </c>
      <c r="C2">
        <v>52</v>
      </c>
      <c r="D2">
        <v>6</v>
      </c>
      <c r="E2">
        <v>100</v>
      </c>
      <c r="F2">
        <v>26</v>
      </c>
      <c r="G2">
        <v>26</v>
      </c>
      <c r="H2" t="s">
        <v>519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A2" sqref="A2:A5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285</v>
      </c>
    </row>
    <row r="2" spans="1:2" x14ac:dyDescent="0.25">
      <c r="A2" s="22" t="s">
        <v>625</v>
      </c>
    </row>
    <row r="3" spans="1:2" x14ac:dyDescent="0.25">
      <c r="A3" s="22" t="s">
        <v>626</v>
      </c>
    </row>
    <row r="4" spans="1:2" x14ac:dyDescent="0.25">
      <c r="A4" s="22" t="s">
        <v>627</v>
      </c>
    </row>
    <row r="5" spans="1:2" x14ac:dyDescent="0.25">
      <c r="A5" s="22" t="s">
        <v>628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6"/>
  <sheetViews>
    <sheetView workbookViewId="0">
      <pane ySplit="1" topLeftCell="A2" activePane="bottomLeft" state="frozen"/>
      <selection pane="bottomLeft" activeCell="N4" sqref="N4"/>
    </sheetView>
  </sheetViews>
  <sheetFormatPr defaultColWidth="9.109375" defaultRowHeight="13.2" x14ac:dyDescent="0.25"/>
  <sheetData>
    <row r="1" spans="1:21" s="7" customFormat="1" x14ac:dyDescent="0.25">
      <c r="A1" s="9" t="s">
        <v>283</v>
      </c>
      <c r="B1" s="9" t="s">
        <v>0</v>
      </c>
      <c r="C1" s="9" t="s">
        <v>37</v>
      </c>
      <c r="D1" s="9" t="s">
        <v>66</v>
      </c>
      <c r="E1" s="9" t="s">
        <v>38</v>
      </c>
      <c r="F1" s="9" t="s">
        <v>39</v>
      </c>
      <c r="G1" s="9" t="s">
        <v>40</v>
      </c>
      <c r="H1" s="9" t="s">
        <v>41</v>
      </c>
      <c r="I1" s="9" t="s">
        <v>26</v>
      </c>
      <c r="J1" s="9" t="s">
        <v>27</v>
      </c>
      <c r="K1" s="9" t="s">
        <v>28</v>
      </c>
      <c r="L1" s="9" t="s">
        <v>70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44</v>
      </c>
      <c r="R1" s="9" t="s">
        <v>78</v>
      </c>
      <c r="S1" s="9" t="s">
        <v>79</v>
      </c>
      <c r="T1" s="9" t="s">
        <v>80</v>
      </c>
      <c r="U1" s="9" t="s">
        <v>87</v>
      </c>
    </row>
    <row r="2" spans="1:21" x14ac:dyDescent="0.25">
      <c r="A2" t="s">
        <v>625</v>
      </c>
      <c r="B2" t="s">
        <v>629</v>
      </c>
      <c r="C2" t="s">
        <v>33</v>
      </c>
      <c r="D2" t="s">
        <v>42</v>
      </c>
      <c r="E2">
        <v>0</v>
      </c>
      <c r="F2">
        <v>0</v>
      </c>
      <c r="G2">
        <v>26</v>
      </c>
      <c r="H2">
        <v>26</v>
      </c>
      <c r="I2" t="s">
        <v>578</v>
      </c>
      <c r="J2">
        <v>40</v>
      </c>
      <c r="K2" t="b">
        <v>1</v>
      </c>
      <c r="L2" t="b">
        <v>1</v>
      </c>
      <c r="N2">
        <v>45</v>
      </c>
      <c r="O2" s="22" t="s">
        <v>574</v>
      </c>
      <c r="Q2" t="b">
        <v>1</v>
      </c>
    </row>
    <row r="3" spans="1:21" x14ac:dyDescent="0.25">
      <c r="A3" t="s">
        <v>625</v>
      </c>
      <c r="B3" t="s">
        <v>630</v>
      </c>
      <c r="C3" t="s">
        <v>33</v>
      </c>
      <c r="D3" t="s">
        <v>43</v>
      </c>
      <c r="E3">
        <v>0</v>
      </c>
      <c r="F3">
        <v>0</v>
      </c>
      <c r="G3">
        <v>26</v>
      </c>
      <c r="H3">
        <v>26</v>
      </c>
      <c r="I3" t="s">
        <v>578</v>
      </c>
      <c r="J3">
        <v>40</v>
      </c>
      <c r="K3" t="b">
        <v>1</v>
      </c>
      <c r="L3" t="b">
        <v>1</v>
      </c>
      <c r="N3">
        <v>45</v>
      </c>
      <c r="O3" s="22" t="s">
        <v>574</v>
      </c>
      <c r="Q3" t="b">
        <v>1</v>
      </c>
    </row>
    <row r="4" spans="1:21" x14ac:dyDescent="0.25">
      <c r="A4" t="s">
        <v>626</v>
      </c>
      <c r="B4" t="s">
        <v>24</v>
      </c>
      <c r="C4" t="s">
        <v>33</v>
      </c>
      <c r="D4" t="s">
        <v>42</v>
      </c>
      <c r="E4">
        <v>0</v>
      </c>
      <c r="F4">
        <v>0</v>
      </c>
      <c r="G4">
        <v>26</v>
      </c>
      <c r="H4">
        <v>26</v>
      </c>
      <c r="I4" t="s">
        <v>578</v>
      </c>
      <c r="J4">
        <v>30</v>
      </c>
      <c r="K4" t="b">
        <v>1</v>
      </c>
      <c r="L4" t="b">
        <v>1</v>
      </c>
      <c r="O4" s="22" t="s">
        <v>574</v>
      </c>
      <c r="Q4" t="b">
        <v>1</v>
      </c>
    </row>
    <row r="5" spans="1:21" x14ac:dyDescent="0.25">
      <c r="A5" t="s">
        <v>627</v>
      </c>
      <c r="B5" t="s">
        <v>24</v>
      </c>
      <c r="C5" t="s">
        <v>33</v>
      </c>
      <c r="D5" t="s">
        <v>42</v>
      </c>
      <c r="E5">
        <v>0</v>
      </c>
      <c r="F5">
        <v>0</v>
      </c>
      <c r="G5">
        <v>26</v>
      </c>
      <c r="H5">
        <v>26</v>
      </c>
      <c r="I5" t="s">
        <v>578</v>
      </c>
      <c r="J5">
        <v>25</v>
      </c>
      <c r="K5" t="b">
        <v>1</v>
      </c>
      <c r="L5" t="b">
        <v>1</v>
      </c>
      <c r="O5" s="22" t="s">
        <v>574</v>
      </c>
      <c r="Q5" t="b">
        <v>1</v>
      </c>
    </row>
    <row r="6" spans="1:21" x14ac:dyDescent="0.25">
      <c r="A6" t="s">
        <v>628</v>
      </c>
      <c r="B6" t="s">
        <v>24</v>
      </c>
      <c r="C6" t="s">
        <v>33</v>
      </c>
      <c r="D6" t="s">
        <v>42</v>
      </c>
      <c r="E6">
        <v>0</v>
      </c>
      <c r="F6">
        <v>0</v>
      </c>
      <c r="G6">
        <v>26</v>
      </c>
      <c r="H6">
        <v>26</v>
      </c>
      <c r="I6" t="s">
        <v>578</v>
      </c>
      <c r="J6">
        <v>20</v>
      </c>
      <c r="K6" t="b">
        <v>1</v>
      </c>
      <c r="L6" t="b">
        <v>1</v>
      </c>
      <c r="O6" s="22" t="s">
        <v>574</v>
      </c>
      <c r="Q6" t="b">
        <v>1</v>
      </c>
    </row>
  </sheetData>
  <autoFilter ref="A1:U1"/>
  <conditionalFormatting sqref="A2:Q2">
    <cfRule type="expression" dxfId="2" priority="9">
      <formula>($A2&lt;&gt;$A4)</formula>
    </cfRule>
  </conditionalFormatting>
  <conditionalFormatting sqref="A4:Q6">
    <cfRule type="expression" dxfId="1" priority="8">
      <formula>($A4&lt;&gt;$A5)</formula>
    </cfRule>
  </conditionalFormatting>
  <conditionalFormatting sqref="A3:Q3">
    <cfRule type="expression" dxfId="0" priority="1">
      <formula>($A3&lt;&gt;$A5)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A3" sqref="A3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287</v>
      </c>
    </row>
    <row r="2" spans="1:2" x14ac:dyDescent="0.25">
      <c r="A2" t="s">
        <v>624</v>
      </c>
    </row>
    <row r="4" spans="1:2" x14ac:dyDescent="0.25">
      <c r="A4" s="1"/>
    </row>
    <row r="5" spans="1:2" x14ac:dyDescent="0.25">
      <c r="A5" s="22"/>
    </row>
    <row r="8" spans="1:2" x14ac:dyDescent="0.25">
      <c r="A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workbookViewId="0">
      <pane ySplit="1" topLeftCell="A2" activePane="bottomLeft" state="frozen"/>
      <selection activeCell="B31" activeCellId="1" sqref="A1 B31"/>
      <selection pane="bottomLeft" activeCell="D6" sqref="D6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284</v>
      </c>
      <c r="C1" s="3" t="s">
        <v>35</v>
      </c>
      <c r="D1" s="3" t="s">
        <v>36</v>
      </c>
      <c r="E1" s="3" t="s">
        <v>53</v>
      </c>
      <c r="F1" s="3" t="s">
        <v>67</v>
      </c>
      <c r="G1" s="3" t="s">
        <v>68</v>
      </c>
    </row>
    <row r="2" spans="1:7" x14ac:dyDescent="0.25">
      <c r="A2" s="24" t="s">
        <v>624</v>
      </c>
      <c r="B2" t="s">
        <v>144</v>
      </c>
      <c r="C2" s="4" t="s">
        <v>286</v>
      </c>
      <c r="D2" s="21" t="s">
        <v>495</v>
      </c>
    </row>
    <row r="3" spans="1:7" x14ac:dyDescent="0.25">
      <c r="A3" s="24" t="s">
        <v>624</v>
      </c>
      <c r="B3" t="s">
        <v>145</v>
      </c>
      <c r="C3" s="4" t="s">
        <v>286</v>
      </c>
      <c r="D3" s="21" t="s">
        <v>495</v>
      </c>
    </row>
    <row r="4" spans="1:7" x14ac:dyDescent="0.25">
      <c r="A4" s="24" t="s">
        <v>624</v>
      </c>
      <c r="B4" t="s">
        <v>629</v>
      </c>
      <c r="C4" s="4" t="s">
        <v>286</v>
      </c>
      <c r="D4" s="21" t="s">
        <v>495</v>
      </c>
    </row>
    <row r="5" spans="1:7" x14ac:dyDescent="0.25">
      <c r="A5" s="24" t="s">
        <v>624</v>
      </c>
      <c r="B5" t="s">
        <v>630</v>
      </c>
      <c r="C5" s="4" t="s">
        <v>286</v>
      </c>
      <c r="D5" s="21" t="s">
        <v>495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10" t="s">
        <v>54</v>
      </c>
    </row>
    <row r="6" spans="2:3" x14ac:dyDescent="0.25">
      <c r="B6" t="s">
        <v>50</v>
      </c>
      <c r="C6" t="s">
        <v>55</v>
      </c>
    </row>
    <row r="7" spans="2:3" x14ac:dyDescent="0.25">
      <c r="B7" t="s">
        <v>20</v>
      </c>
      <c r="C7" t="s">
        <v>56</v>
      </c>
    </row>
    <row r="8" spans="2:3" x14ac:dyDescent="0.25">
      <c r="B8" t="s">
        <v>57</v>
      </c>
      <c r="C8" t="s">
        <v>58</v>
      </c>
    </row>
    <row r="9" spans="2:3" x14ac:dyDescent="0.25">
      <c r="B9" t="s">
        <v>51</v>
      </c>
      <c r="C9" t="s">
        <v>59</v>
      </c>
    </row>
    <row r="10" spans="2:3" x14ac:dyDescent="0.25">
      <c r="B10" t="s">
        <v>60</v>
      </c>
      <c r="C10" t="s">
        <v>61</v>
      </c>
    </row>
    <row r="11" spans="2:3" x14ac:dyDescent="0.25">
      <c r="B11" t="s">
        <v>52</v>
      </c>
      <c r="C11" t="s">
        <v>62</v>
      </c>
    </row>
    <row r="13" spans="2:3" x14ac:dyDescent="0.25">
      <c r="B13" s="10" t="s">
        <v>63</v>
      </c>
    </row>
    <row r="14" spans="2:3" x14ac:dyDescent="0.25">
      <c r="B14" t="s">
        <v>64</v>
      </c>
    </row>
    <row r="16" spans="2:3" x14ac:dyDescent="0.25">
      <c r="B16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topLeftCell="A7" workbookViewId="0">
      <selection activeCell="J172" sqref="J172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148</v>
      </c>
      <c r="G1" s="2" t="s">
        <v>259</v>
      </c>
    </row>
    <row r="2" spans="1:10" ht="15" customHeight="1" x14ac:dyDescent="0.25">
      <c r="A2" t="s">
        <v>312</v>
      </c>
      <c r="B2">
        <v>240</v>
      </c>
      <c r="C2">
        <v>248</v>
      </c>
      <c r="D2">
        <v>255</v>
      </c>
      <c r="E2">
        <v>16775408</v>
      </c>
      <c r="F2" s="4" t="s">
        <v>262</v>
      </c>
      <c r="I2" s="17"/>
      <c r="J2" s="17"/>
    </row>
    <row r="3" spans="1:10" ht="15" customHeight="1" x14ac:dyDescent="0.25">
      <c r="A3" t="s">
        <v>313</v>
      </c>
      <c r="B3">
        <v>250</v>
      </c>
      <c r="C3">
        <v>235</v>
      </c>
      <c r="D3">
        <v>215</v>
      </c>
      <c r="E3">
        <v>14150650</v>
      </c>
      <c r="F3" s="4" t="s">
        <v>263</v>
      </c>
    </row>
    <row r="4" spans="1:10" ht="15" customHeight="1" x14ac:dyDescent="0.25">
      <c r="A4" t="s">
        <v>314</v>
      </c>
      <c r="B4">
        <v>0</v>
      </c>
      <c r="C4">
        <v>255</v>
      </c>
      <c r="D4">
        <v>255</v>
      </c>
      <c r="E4">
        <v>16776960</v>
      </c>
      <c r="F4" s="4" t="s">
        <v>264</v>
      </c>
    </row>
    <row r="5" spans="1:10" ht="15" customHeight="1" x14ac:dyDescent="0.25">
      <c r="A5" t="s">
        <v>315</v>
      </c>
      <c r="B5">
        <v>127</v>
      </c>
      <c r="C5">
        <v>255</v>
      </c>
      <c r="D5">
        <v>212</v>
      </c>
      <c r="E5">
        <v>13959039</v>
      </c>
      <c r="F5" s="4" t="s">
        <v>265</v>
      </c>
    </row>
    <row r="6" spans="1:10" ht="15" customHeight="1" x14ac:dyDescent="0.25">
      <c r="A6" t="s">
        <v>316</v>
      </c>
      <c r="B6">
        <v>240</v>
      </c>
      <c r="C6">
        <v>255</v>
      </c>
      <c r="D6">
        <v>255</v>
      </c>
      <c r="E6">
        <v>16777200</v>
      </c>
      <c r="F6" s="4" t="s">
        <v>266</v>
      </c>
    </row>
    <row r="7" spans="1:10" ht="15" customHeight="1" x14ac:dyDescent="0.25">
      <c r="A7" t="s">
        <v>317</v>
      </c>
      <c r="B7">
        <v>245</v>
      </c>
      <c r="C7">
        <v>245</v>
      </c>
      <c r="D7">
        <v>220</v>
      </c>
      <c r="E7">
        <v>14480885</v>
      </c>
      <c r="F7" s="4" t="s">
        <v>267</v>
      </c>
    </row>
    <row r="8" spans="1:10" ht="15" customHeight="1" x14ac:dyDescent="0.25">
      <c r="A8" t="s">
        <v>318</v>
      </c>
      <c r="B8">
        <v>255</v>
      </c>
      <c r="C8">
        <v>228</v>
      </c>
      <c r="D8">
        <v>196</v>
      </c>
      <c r="E8">
        <v>12903679</v>
      </c>
      <c r="F8" s="4" t="s">
        <v>268</v>
      </c>
    </row>
    <row r="9" spans="1:10" ht="15" customHeight="1" x14ac:dyDescent="0.25">
      <c r="A9" t="s">
        <v>319</v>
      </c>
      <c r="B9">
        <v>0</v>
      </c>
      <c r="C9">
        <v>0</v>
      </c>
      <c r="D9">
        <v>0</v>
      </c>
      <c r="E9">
        <v>0</v>
      </c>
      <c r="F9" s="4" t="s">
        <v>247</v>
      </c>
    </row>
    <row r="10" spans="1:10" ht="15" customHeight="1" x14ac:dyDescent="0.25">
      <c r="A10" t="s">
        <v>320</v>
      </c>
      <c r="B10">
        <v>255</v>
      </c>
      <c r="C10">
        <v>235</v>
      </c>
      <c r="D10">
        <v>205</v>
      </c>
      <c r="E10">
        <v>13495295</v>
      </c>
      <c r="F10" s="4" t="s">
        <v>269</v>
      </c>
    </row>
    <row r="11" spans="1:10" ht="15" customHeight="1" x14ac:dyDescent="0.25">
      <c r="A11" t="s">
        <v>321</v>
      </c>
      <c r="B11">
        <v>0</v>
      </c>
      <c r="C11">
        <v>0</v>
      </c>
      <c r="D11">
        <v>255</v>
      </c>
      <c r="E11">
        <v>16711680</v>
      </c>
      <c r="F11" s="4" t="s">
        <v>261</v>
      </c>
    </row>
    <row r="12" spans="1:10" ht="15" customHeight="1" x14ac:dyDescent="0.25">
      <c r="A12" t="s">
        <v>322</v>
      </c>
      <c r="B12">
        <v>138</v>
      </c>
      <c r="C12">
        <v>43</v>
      </c>
      <c r="D12">
        <v>226</v>
      </c>
      <c r="E12">
        <v>14822282</v>
      </c>
      <c r="F12" s="4" t="s">
        <v>270</v>
      </c>
    </row>
    <row r="13" spans="1:10" ht="15" customHeight="1" x14ac:dyDescent="0.25">
      <c r="A13" t="s">
        <v>323</v>
      </c>
      <c r="B13">
        <v>165</v>
      </c>
      <c r="C13">
        <v>42</v>
      </c>
      <c r="D13">
        <v>42</v>
      </c>
      <c r="E13">
        <v>2763429</v>
      </c>
      <c r="F13" s="4" t="s">
        <v>472</v>
      </c>
    </row>
    <row r="14" spans="1:10" ht="15" customHeight="1" x14ac:dyDescent="0.25">
      <c r="A14" t="s">
        <v>324</v>
      </c>
      <c r="B14">
        <v>222</v>
      </c>
      <c r="C14">
        <v>184</v>
      </c>
      <c r="D14">
        <v>135</v>
      </c>
      <c r="E14">
        <v>8894686</v>
      </c>
      <c r="F14" s="4" t="s">
        <v>271</v>
      </c>
    </row>
    <row r="15" spans="1:10" ht="15" customHeight="1" x14ac:dyDescent="0.25">
      <c r="A15" t="s">
        <v>325</v>
      </c>
      <c r="B15">
        <v>95</v>
      </c>
      <c r="C15">
        <v>158</v>
      </c>
      <c r="D15">
        <v>160</v>
      </c>
      <c r="E15">
        <v>10526303</v>
      </c>
      <c r="F15" s="4" t="s">
        <v>272</v>
      </c>
    </row>
    <row r="16" spans="1:10" ht="15" customHeight="1" x14ac:dyDescent="0.25">
      <c r="A16" t="s">
        <v>326</v>
      </c>
      <c r="B16">
        <v>127</v>
      </c>
      <c r="C16">
        <v>255</v>
      </c>
      <c r="D16">
        <v>0</v>
      </c>
      <c r="E16">
        <v>65407</v>
      </c>
      <c r="F16" s="4" t="s">
        <v>273</v>
      </c>
    </row>
    <row r="17" spans="1:6" ht="15" customHeight="1" x14ac:dyDescent="0.25">
      <c r="A17" t="s">
        <v>327</v>
      </c>
      <c r="B17">
        <v>210</v>
      </c>
      <c r="C17">
        <v>105</v>
      </c>
      <c r="D17">
        <v>30</v>
      </c>
      <c r="E17">
        <v>1993170</v>
      </c>
      <c r="F17" s="4" t="s">
        <v>274</v>
      </c>
    </row>
    <row r="18" spans="1:6" ht="15" customHeight="1" x14ac:dyDescent="0.25">
      <c r="A18" t="s">
        <v>328</v>
      </c>
      <c r="B18">
        <v>255</v>
      </c>
      <c r="C18">
        <v>127</v>
      </c>
      <c r="D18">
        <v>80</v>
      </c>
      <c r="E18">
        <v>5275647</v>
      </c>
      <c r="F18" s="4" t="s">
        <v>275</v>
      </c>
    </row>
    <row r="19" spans="1:6" ht="15" customHeight="1" x14ac:dyDescent="0.25">
      <c r="A19" t="s">
        <v>329</v>
      </c>
      <c r="B19">
        <v>100</v>
      </c>
      <c r="C19">
        <v>149</v>
      </c>
      <c r="D19">
        <v>237</v>
      </c>
      <c r="E19">
        <v>15570276</v>
      </c>
      <c r="F19" s="4" t="s">
        <v>276</v>
      </c>
    </row>
    <row r="20" spans="1:6" ht="15" customHeight="1" x14ac:dyDescent="0.25">
      <c r="A20" t="s">
        <v>330</v>
      </c>
      <c r="B20">
        <v>255</v>
      </c>
      <c r="C20">
        <v>248</v>
      </c>
      <c r="D20">
        <v>220</v>
      </c>
      <c r="E20">
        <v>14481663</v>
      </c>
      <c r="F20" s="4" t="s">
        <v>277</v>
      </c>
    </row>
    <row r="21" spans="1:6" ht="15" customHeight="1" x14ac:dyDescent="0.25">
      <c r="A21" t="s">
        <v>310</v>
      </c>
      <c r="B21">
        <v>220</v>
      </c>
      <c r="C21">
        <v>20</v>
      </c>
      <c r="D21">
        <v>60</v>
      </c>
      <c r="E21">
        <v>3937500</v>
      </c>
      <c r="F21" s="4" t="s">
        <v>278</v>
      </c>
    </row>
    <row r="22" spans="1:6" ht="15" customHeight="1" x14ac:dyDescent="0.25">
      <c r="A22" t="s">
        <v>331</v>
      </c>
      <c r="B22">
        <v>0</v>
      </c>
      <c r="C22">
        <v>255</v>
      </c>
      <c r="D22">
        <v>255</v>
      </c>
      <c r="E22">
        <v>16776960</v>
      </c>
      <c r="F22" s="4" t="s">
        <v>264</v>
      </c>
    </row>
    <row r="23" spans="1:6" ht="15" customHeight="1" x14ac:dyDescent="0.25">
      <c r="A23" t="s">
        <v>332</v>
      </c>
      <c r="B23">
        <v>0</v>
      </c>
      <c r="C23">
        <v>0</v>
      </c>
      <c r="D23">
        <v>139</v>
      </c>
      <c r="E23">
        <v>9109504</v>
      </c>
      <c r="F23" s="4" t="s">
        <v>260</v>
      </c>
    </row>
    <row r="24" spans="1:6" ht="15" customHeight="1" x14ac:dyDescent="0.25">
      <c r="A24" t="s">
        <v>333</v>
      </c>
      <c r="B24">
        <v>0</v>
      </c>
      <c r="C24">
        <v>139</v>
      </c>
      <c r="D24">
        <v>139</v>
      </c>
      <c r="E24">
        <v>9145088</v>
      </c>
      <c r="F24" s="4" t="s">
        <v>151</v>
      </c>
    </row>
    <row r="25" spans="1:6" ht="15" customHeight="1" x14ac:dyDescent="0.25">
      <c r="A25" t="s">
        <v>452</v>
      </c>
      <c r="B25">
        <v>184</v>
      </c>
      <c r="C25">
        <v>134</v>
      </c>
      <c r="D25">
        <v>11</v>
      </c>
      <c r="E25">
        <v>755384</v>
      </c>
      <c r="F25" s="4" t="s">
        <v>152</v>
      </c>
    </row>
    <row r="26" spans="1:6" ht="15" customHeight="1" x14ac:dyDescent="0.25">
      <c r="A26" t="s">
        <v>334</v>
      </c>
      <c r="B26">
        <v>169</v>
      </c>
      <c r="C26">
        <v>169</v>
      </c>
      <c r="D26">
        <v>169</v>
      </c>
      <c r="E26">
        <v>11119017</v>
      </c>
      <c r="F26" s="4" t="s">
        <v>153</v>
      </c>
    </row>
    <row r="27" spans="1:6" ht="15" customHeight="1" x14ac:dyDescent="0.25">
      <c r="A27" t="s">
        <v>449</v>
      </c>
      <c r="B27">
        <v>0</v>
      </c>
      <c r="C27">
        <v>100</v>
      </c>
      <c r="D27">
        <v>0</v>
      </c>
      <c r="E27">
        <v>25600</v>
      </c>
      <c r="F27" s="4" t="s">
        <v>469</v>
      </c>
    </row>
    <row r="28" spans="1:6" ht="15" customHeight="1" x14ac:dyDescent="0.25">
      <c r="A28" t="s">
        <v>335</v>
      </c>
      <c r="B28">
        <v>169</v>
      </c>
      <c r="C28">
        <v>169</v>
      </c>
      <c r="D28">
        <v>169</v>
      </c>
      <c r="E28">
        <v>11119017</v>
      </c>
      <c r="F28" s="4" t="s">
        <v>153</v>
      </c>
    </row>
    <row r="29" spans="1:6" ht="15" customHeight="1" x14ac:dyDescent="0.25">
      <c r="A29" t="s">
        <v>336</v>
      </c>
      <c r="B29">
        <v>189</v>
      </c>
      <c r="C29">
        <v>183</v>
      </c>
      <c r="D29">
        <v>107</v>
      </c>
      <c r="E29">
        <v>7059389</v>
      </c>
      <c r="F29" s="4" t="s">
        <v>154</v>
      </c>
    </row>
    <row r="30" spans="1:6" ht="15" customHeight="1" x14ac:dyDescent="0.25">
      <c r="A30" t="s">
        <v>337</v>
      </c>
      <c r="B30">
        <v>139</v>
      </c>
      <c r="C30">
        <v>0</v>
      </c>
      <c r="D30">
        <v>139</v>
      </c>
      <c r="E30">
        <v>9109643</v>
      </c>
      <c r="F30" s="4" t="s">
        <v>155</v>
      </c>
    </row>
    <row r="31" spans="1:6" ht="15" customHeight="1" x14ac:dyDescent="0.25">
      <c r="A31" t="s">
        <v>338</v>
      </c>
      <c r="B31">
        <v>85</v>
      </c>
      <c r="C31">
        <v>107</v>
      </c>
      <c r="D31">
        <v>47</v>
      </c>
      <c r="E31">
        <v>3107669</v>
      </c>
      <c r="F31" s="4" t="s">
        <v>156</v>
      </c>
    </row>
    <row r="32" spans="1:6" ht="15" customHeight="1" x14ac:dyDescent="0.25">
      <c r="A32" t="s">
        <v>339</v>
      </c>
      <c r="B32">
        <v>255</v>
      </c>
      <c r="C32">
        <v>140</v>
      </c>
      <c r="D32">
        <v>0</v>
      </c>
      <c r="E32">
        <v>36095</v>
      </c>
      <c r="F32" s="4" t="s">
        <v>157</v>
      </c>
    </row>
    <row r="33" spans="1:6" ht="15" customHeight="1" x14ac:dyDescent="0.25">
      <c r="A33" t="s">
        <v>340</v>
      </c>
      <c r="B33">
        <v>153</v>
      </c>
      <c r="C33">
        <v>50</v>
      </c>
      <c r="D33">
        <v>204</v>
      </c>
      <c r="E33">
        <v>13382297</v>
      </c>
      <c r="F33" s="4" t="s">
        <v>158</v>
      </c>
    </row>
    <row r="34" spans="1:6" ht="15" customHeight="1" x14ac:dyDescent="0.25">
      <c r="A34" t="s">
        <v>341</v>
      </c>
      <c r="B34">
        <v>139</v>
      </c>
      <c r="C34">
        <v>0</v>
      </c>
      <c r="D34">
        <v>0</v>
      </c>
      <c r="E34">
        <v>139</v>
      </c>
      <c r="F34" s="4" t="s">
        <v>464</v>
      </c>
    </row>
    <row r="35" spans="1:6" ht="15" customHeight="1" x14ac:dyDescent="0.25">
      <c r="A35" t="s">
        <v>342</v>
      </c>
      <c r="B35">
        <v>233</v>
      </c>
      <c r="C35">
        <v>150</v>
      </c>
      <c r="D35">
        <v>122</v>
      </c>
      <c r="E35">
        <v>8034025</v>
      </c>
      <c r="F35" s="4" t="s">
        <v>159</v>
      </c>
    </row>
    <row r="36" spans="1:6" ht="15" customHeight="1" x14ac:dyDescent="0.25">
      <c r="A36" t="s">
        <v>343</v>
      </c>
      <c r="B36">
        <v>143</v>
      </c>
      <c r="C36">
        <v>188</v>
      </c>
      <c r="D36">
        <v>143</v>
      </c>
      <c r="E36">
        <v>9419919</v>
      </c>
      <c r="F36" s="4" t="s">
        <v>160</v>
      </c>
    </row>
    <row r="37" spans="1:6" ht="15" customHeight="1" x14ac:dyDescent="0.25">
      <c r="A37" t="s">
        <v>344</v>
      </c>
      <c r="B37">
        <v>72</v>
      </c>
      <c r="C37">
        <v>61</v>
      </c>
      <c r="D37">
        <v>139</v>
      </c>
      <c r="E37">
        <v>9125192</v>
      </c>
      <c r="F37" s="4" t="s">
        <v>161</v>
      </c>
    </row>
    <row r="38" spans="1:6" ht="15" customHeight="1" x14ac:dyDescent="0.25">
      <c r="A38" t="s">
        <v>345</v>
      </c>
      <c r="B38">
        <v>47</v>
      </c>
      <c r="C38">
        <v>79</v>
      </c>
      <c r="D38">
        <v>79</v>
      </c>
      <c r="E38">
        <v>5197615</v>
      </c>
      <c r="F38" s="4" t="s">
        <v>162</v>
      </c>
    </row>
    <row r="39" spans="1:6" ht="15" customHeight="1" x14ac:dyDescent="0.25">
      <c r="A39" t="s">
        <v>346</v>
      </c>
      <c r="B39">
        <v>47</v>
      </c>
      <c r="C39">
        <v>79</v>
      </c>
      <c r="D39">
        <v>79</v>
      </c>
      <c r="E39">
        <v>5197615</v>
      </c>
      <c r="F39" s="4" t="s">
        <v>162</v>
      </c>
    </row>
    <row r="40" spans="1:6" ht="15" customHeight="1" x14ac:dyDescent="0.25">
      <c r="A40" t="s">
        <v>347</v>
      </c>
      <c r="B40">
        <v>0</v>
      </c>
      <c r="C40">
        <v>206</v>
      </c>
      <c r="D40">
        <v>209</v>
      </c>
      <c r="E40">
        <v>13749760</v>
      </c>
      <c r="F40" s="4" t="s">
        <v>163</v>
      </c>
    </row>
    <row r="41" spans="1:6" ht="15" customHeight="1" x14ac:dyDescent="0.25">
      <c r="A41" t="s">
        <v>348</v>
      </c>
      <c r="B41">
        <v>148</v>
      </c>
      <c r="C41">
        <v>0</v>
      </c>
      <c r="D41">
        <v>211</v>
      </c>
      <c r="E41">
        <v>13828244</v>
      </c>
      <c r="F41" s="4" t="s">
        <v>164</v>
      </c>
    </row>
    <row r="42" spans="1:6" ht="15" customHeight="1" x14ac:dyDescent="0.25">
      <c r="A42" t="s">
        <v>349</v>
      </c>
      <c r="B42">
        <v>255</v>
      </c>
      <c r="C42">
        <v>20</v>
      </c>
      <c r="D42">
        <v>147</v>
      </c>
      <c r="E42">
        <v>9639167</v>
      </c>
      <c r="F42" s="4" t="s">
        <v>165</v>
      </c>
    </row>
    <row r="43" spans="1:6" ht="15" customHeight="1" x14ac:dyDescent="0.25">
      <c r="A43" t="s">
        <v>350</v>
      </c>
      <c r="B43">
        <v>0</v>
      </c>
      <c r="C43">
        <v>191</v>
      </c>
      <c r="D43">
        <v>255</v>
      </c>
      <c r="E43">
        <v>16760576</v>
      </c>
      <c r="F43" s="4" t="s">
        <v>166</v>
      </c>
    </row>
    <row r="44" spans="1:6" ht="15" customHeight="1" x14ac:dyDescent="0.25">
      <c r="A44" t="s">
        <v>351</v>
      </c>
      <c r="B44">
        <v>105</v>
      </c>
      <c r="C44">
        <v>105</v>
      </c>
      <c r="D44">
        <v>105</v>
      </c>
      <c r="E44">
        <v>6908265</v>
      </c>
      <c r="F44" s="4" t="s">
        <v>251</v>
      </c>
    </row>
    <row r="45" spans="1:6" ht="15" customHeight="1" x14ac:dyDescent="0.25">
      <c r="A45" t="s">
        <v>352</v>
      </c>
      <c r="B45">
        <v>105</v>
      </c>
      <c r="C45">
        <v>105</v>
      </c>
      <c r="D45">
        <v>105</v>
      </c>
      <c r="E45">
        <v>6908265</v>
      </c>
      <c r="F45" s="4" t="s">
        <v>251</v>
      </c>
    </row>
    <row r="46" spans="1:6" ht="15" customHeight="1" x14ac:dyDescent="0.25">
      <c r="A46" t="s">
        <v>353</v>
      </c>
      <c r="B46">
        <v>30</v>
      </c>
      <c r="C46">
        <v>144</v>
      </c>
      <c r="D46">
        <v>255</v>
      </c>
      <c r="E46">
        <v>16748574</v>
      </c>
      <c r="F46" s="4" t="s">
        <v>167</v>
      </c>
    </row>
    <row r="47" spans="1:6" ht="15" customHeight="1" x14ac:dyDescent="0.25">
      <c r="A47" t="s">
        <v>354</v>
      </c>
      <c r="B47">
        <v>178</v>
      </c>
      <c r="C47">
        <v>34</v>
      </c>
      <c r="D47">
        <v>34</v>
      </c>
      <c r="E47">
        <v>2237106</v>
      </c>
      <c r="F47" s="4" t="s">
        <v>168</v>
      </c>
    </row>
    <row r="48" spans="1:6" ht="15" customHeight="1" x14ac:dyDescent="0.25">
      <c r="A48" t="s">
        <v>355</v>
      </c>
      <c r="B48">
        <v>255</v>
      </c>
      <c r="C48">
        <v>250</v>
      </c>
      <c r="D48">
        <v>240</v>
      </c>
      <c r="E48">
        <v>15792895</v>
      </c>
      <c r="F48" s="4" t="s">
        <v>169</v>
      </c>
    </row>
    <row r="49" spans="1:6" ht="15" customHeight="1" x14ac:dyDescent="0.25">
      <c r="A49" t="s">
        <v>356</v>
      </c>
      <c r="B49">
        <v>34</v>
      </c>
      <c r="C49">
        <v>139</v>
      </c>
      <c r="D49">
        <v>34</v>
      </c>
      <c r="E49">
        <v>2263842</v>
      </c>
      <c r="F49" s="4" t="s">
        <v>170</v>
      </c>
    </row>
    <row r="50" spans="1:6" ht="15" customHeight="1" x14ac:dyDescent="0.25">
      <c r="A50" t="s">
        <v>357</v>
      </c>
      <c r="B50">
        <v>255</v>
      </c>
      <c r="C50">
        <v>0</v>
      </c>
      <c r="D50">
        <v>255</v>
      </c>
      <c r="E50">
        <v>16711935</v>
      </c>
      <c r="F50" s="4" t="s">
        <v>150</v>
      </c>
    </row>
    <row r="51" spans="1:6" ht="15" customHeight="1" x14ac:dyDescent="0.25">
      <c r="A51" t="s">
        <v>358</v>
      </c>
      <c r="B51">
        <v>220</v>
      </c>
      <c r="C51">
        <v>220</v>
      </c>
      <c r="D51">
        <v>220</v>
      </c>
      <c r="E51">
        <v>14474460</v>
      </c>
      <c r="F51" s="4" t="s">
        <v>171</v>
      </c>
    </row>
    <row r="52" spans="1:6" ht="15" customHeight="1" x14ac:dyDescent="0.25">
      <c r="A52" t="s">
        <v>359</v>
      </c>
      <c r="B52">
        <v>248</v>
      </c>
      <c r="C52">
        <v>248</v>
      </c>
      <c r="D52">
        <v>255</v>
      </c>
      <c r="E52">
        <v>16775416</v>
      </c>
      <c r="F52" s="4" t="s">
        <v>172</v>
      </c>
    </row>
    <row r="53" spans="1:6" ht="15" customHeight="1" x14ac:dyDescent="0.25">
      <c r="A53" t="s">
        <v>360</v>
      </c>
      <c r="B53">
        <v>255</v>
      </c>
      <c r="C53">
        <v>215</v>
      </c>
      <c r="D53">
        <v>0</v>
      </c>
      <c r="E53">
        <v>55295</v>
      </c>
      <c r="F53" s="4" t="s">
        <v>173</v>
      </c>
    </row>
    <row r="54" spans="1:6" ht="15" customHeight="1" x14ac:dyDescent="0.25">
      <c r="A54" t="s">
        <v>451</v>
      </c>
      <c r="B54">
        <v>218</v>
      </c>
      <c r="C54">
        <v>165</v>
      </c>
      <c r="D54">
        <v>32</v>
      </c>
      <c r="E54">
        <v>2139610</v>
      </c>
      <c r="F54" s="4" t="s">
        <v>174</v>
      </c>
    </row>
    <row r="55" spans="1:6" ht="15" customHeight="1" x14ac:dyDescent="0.25">
      <c r="A55" t="s">
        <v>361</v>
      </c>
      <c r="B55">
        <v>128</v>
      </c>
      <c r="C55">
        <v>128</v>
      </c>
      <c r="D55">
        <v>128</v>
      </c>
      <c r="E55">
        <v>8421504</v>
      </c>
      <c r="F55" s="4" t="s">
        <v>252</v>
      </c>
    </row>
    <row r="56" spans="1:6" ht="15" customHeight="1" x14ac:dyDescent="0.25">
      <c r="A56" t="s">
        <v>481</v>
      </c>
      <c r="B56" s="6">
        <v>229</v>
      </c>
      <c r="C56" s="6">
        <v>229</v>
      </c>
      <c r="D56" s="6">
        <v>229</v>
      </c>
      <c r="E56">
        <v>15066597</v>
      </c>
      <c r="F56" s="4" t="s">
        <v>297</v>
      </c>
    </row>
    <row r="57" spans="1:6" ht="15" customHeight="1" x14ac:dyDescent="0.25">
      <c r="A57" t="s">
        <v>482</v>
      </c>
      <c r="B57" s="6">
        <v>204</v>
      </c>
      <c r="C57" s="6">
        <v>204</v>
      </c>
      <c r="D57" s="6">
        <v>204</v>
      </c>
      <c r="E57">
        <v>13421772</v>
      </c>
      <c r="F57" s="4" t="s">
        <v>296</v>
      </c>
    </row>
    <row r="58" spans="1:6" ht="15" customHeight="1" x14ac:dyDescent="0.25">
      <c r="A58" t="s">
        <v>474</v>
      </c>
      <c r="B58" s="6">
        <v>179</v>
      </c>
      <c r="C58" s="6">
        <v>179</v>
      </c>
      <c r="D58" s="6">
        <v>179</v>
      </c>
      <c r="E58">
        <v>11776947</v>
      </c>
      <c r="F58" s="4" t="s">
        <v>307</v>
      </c>
    </row>
    <row r="59" spans="1:6" ht="15" customHeight="1" x14ac:dyDescent="0.25">
      <c r="A59" t="s">
        <v>475</v>
      </c>
      <c r="B59" s="6">
        <v>153</v>
      </c>
      <c r="C59" s="6">
        <v>153</v>
      </c>
      <c r="D59" s="6">
        <v>153</v>
      </c>
      <c r="E59">
        <v>10066329</v>
      </c>
      <c r="F59" s="4" t="s">
        <v>295</v>
      </c>
    </row>
    <row r="60" spans="1:6" ht="15" customHeight="1" x14ac:dyDescent="0.25">
      <c r="A60" t="s">
        <v>476</v>
      </c>
      <c r="B60">
        <v>128</v>
      </c>
      <c r="C60">
        <v>128</v>
      </c>
      <c r="D60">
        <v>128</v>
      </c>
      <c r="E60">
        <v>8421504</v>
      </c>
      <c r="F60" s="4" t="s">
        <v>252</v>
      </c>
    </row>
    <row r="61" spans="1:6" ht="15" customHeight="1" x14ac:dyDescent="0.25">
      <c r="A61" t="s">
        <v>477</v>
      </c>
      <c r="B61" s="6">
        <v>102</v>
      </c>
      <c r="C61" s="6">
        <v>102</v>
      </c>
      <c r="D61" s="6">
        <v>102</v>
      </c>
      <c r="E61">
        <v>6710886</v>
      </c>
      <c r="F61" s="4" t="s">
        <v>294</v>
      </c>
    </row>
    <row r="62" spans="1:6" ht="15" customHeight="1" x14ac:dyDescent="0.25">
      <c r="A62" t="s">
        <v>478</v>
      </c>
      <c r="B62">
        <v>76</v>
      </c>
      <c r="C62">
        <v>76</v>
      </c>
      <c r="D62">
        <v>76</v>
      </c>
      <c r="E62">
        <v>5000268</v>
      </c>
      <c r="F62" s="4" t="s">
        <v>308</v>
      </c>
    </row>
    <row r="63" spans="1:6" ht="15" customHeight="1" x14ac:dyDescent="0.25">
      <c r="A63" t="s">
        <v>479</v>
      </c>
      <c r="B63" s="6">
        <v>51</v>
      </c>
      <c r="C63" s="6">
        <v>51</v>
      </c>
      <c r="D63" s="6">
        <v>51</v>
      </c>
      <c r="E63">
        <v>3355443</v>
      </c>
      <c r="F63" s="4" t="s">
        <v>293</v>
      </c>
    </row>
    <row r="64" spans="1:6" ht="15" customHeight="1" x14ac:dyDescent="0.25">
      <c r="A64" t="s">
        <v>480</v>
      </c>
      <c r="B64">
        <v>26</v>
      </c>
      <c r="C64">
        <v>26</v>
      </c>
      <c r="D64">
        <v>26</v>
      </c>
      <c r="E64">
        <v>1710618</v>
      </c>
      <c r="F64" s="4" t="s">
        <v>309</v>
      </c>
    </row>
    <row r="65" spans="1:6" ht="15" customHeight="1" x14ac:dyDescent="0.25">
      <c r="A65" t="s">
        <v>362</v>
      </c>
      <c r="B65">
        <v>0</v>
      </c>
      <c r="C65">
        <v>128</v>
      </c>
      <c r="D65">
        <v>0</v>
      </c>
      <c r="E65">
        <v>32768</v>
      </c>
      <c r="F65" s="4" t="s">
        <v>248</v>
      </c>
    </row>
    <row r="66" spans="1:6" ht="15" customHeight="1" x14ac:dyDescent="0.25">
      <c r="A66" t="s">
        <v>363</v>
      </c>
      <c r="B66">
        <v>173</v>
      </c>
      <c r="C66">
        <v>255</v>
      </c>
      <c r="D66">
        <v>47</v>
      </c>
      <c r="E66">
        <v>3145645</v>
      </c>
      <c r="F66" s="4" t="s">
        <v>175</v>
      </c>
    </row>
    <row r="67" spans="1:6" ht="15" customHeight="1" x14ac:dyDescent="0.25">
      <c r="A67" t="s">
        <v>473</v>
      </c>
      <c r="B67">
        <v>128</v>
      </c>
      <c r="C67">
        <v>128</v>
      </c>
      <c r="D67">
        <v>128</v>
      </c>
      <c r="E67">
        <v>8421504</v>
      </c>
      <c r="F67" s="4" t="s">
        <v>252</v>
      </c>
    </row>
    <row r="68" spans="1:6" ht="15" customHeight="1" x14ac:dyDescent="0.25">
      <c r="A68" t="s">
        <v>298</v>
      </c>
      <c r="B68" s="6">
        <v>229</v>
      </c>
      <c r="C68" s="6">
        <v>229</v>
      </c>
      <c r="D68" s="6">
        <v>229</v>
      </c>
      <c r="E68">
        <v>15066597</v>
      </c>
      <c r="F68" s="4" t="s">
        <v>297</v>
      </c>
    </row>
    <row r="69" spans="1:6" ht="15" customHeight="1" x14ac:dyDescent="0.25">
      <c r="A69" t="s">
        <v>299</v>
      </c>
      <c r="B69" s="6">
        <v>204</v>
      </c>
      <c r="C69" s="6">
        <v>204</v>
      </c>
      <c r="D69" s="6">
        <v>204</v>
      </c>
      <c r="E69">
        <v>13421772</v>
      </c>
      <c r="F69" s="4" t="s">
        <v>296</v>
      </c>
    </row>
    <row r="70" spans="1:6" ht="15" customHeight="1" x14ac:dyDescent="0.25">
      <c r="A70" t="s">
        <v>304</v>
      </c>
      <c r="B70" s="6">
        <v>179</v>
      </c>
      <c r="C70" s="6">
        <v>179</v>
      </c>
      <c r="D70" s="6">
        <v>179</v>
      </c>
      <c r="E70">
        <v>11776947</v>
      </c>
      <c r="F70" s="4" t="s">
        <v>307</v>
      </c>
    </row>
    <row r="71" spans="1:6" ht="15" customHeight="1" x14ac:dyDescent="0.25">
      <c r="A71" t="s">
        <v>300</v>
      </c>
      <c r="B71" s="6">
        <v>153</v>
      </c>
      <c r="C71" s="6">
        <v>153</v>
      </c>
      <c r="D71" s="6">
        <v>153</v>
      </c>
      <c r="E71">
        <v>10066329</v>
      </c>
      <c r="F71" s="4" t="s">
        <v>295</v>
      </c>
    </row>
    <row r="72" spans="1:6" ht="15" customHeight="1" x14ac:dyDescent="0.25">
      <c r="A72" t="s">
        <v>303</v>
      </c>
      <c r="B72">
        <v>128</v>
      </c>
      <c r="C72">
        <v>128</v>
      </c>
      <c r="D72">
        <v>128</v>
      </c>
      <c r="E72">
        <v>8421504</v>
      </c>
      <c r="F72" s="4" t="s">
        <v>252</v>
      </c>
    </row>
    <row r="73" spans="1:6" ht="15" customHeight="1" x14ac:dyDescent="0.25">
      <c r="A73" t="s">
        <v>301</v>
      </c>
      <c r="B73" s="6">
        <v>102</v>
      </c>
      <c r="C73" s="6">
        <v>102</v>
      </c>
      <c r="D73" s="6">
        <v>102</v>
      </c>
      <c r="E73">
        <v>6710886</v>
      </c>
      <c r="F73" s="4" t="s">
        <v>294</v>
      </c>
    </row>
    <row r="74" spans="1:6" ht="15" customHeight="1" x14ac:dyDescent="0.25">
      <c r="A74" t="s">
        <v>305</v>
      </c>
      <c r="B74">
        <v>76</v>
      </c>
      <c r="C74">
        <v>76</v>
      </c>
      <c r="D74">
        <v>76</v>
      </c>
      <c r="E74">
        <v>5000268</v>
      </c>
      <c r="F74" s="4" t="s">
        <v>308</v>
      </c>
    </row>
    <row r="75" spans="1:6" ht="15" customHeight="1" x14ac:dyDescent="0.25">
      <c r="A75" t="s">
        <v>302</v>
      </c>
      <c r="B75" s="6">
        <v>51</v>
      </c>
      <c r="C75" s="6">
        <v>51</v>
      </c>
      <c r="D75" s="6">
        <v>51</v>
      </c>
      <c r="E75">
        <v>3355443</v>
      </c>
      <c r="F75" s="4" t="s">
        <v>293</v>
      </c>
    </row>
    <row r="76" spans="1:6" ht="15" customHeight="1" x14ac:dyDescent="0.25">
      <c r="A76" t="s">
        <v>306</v>
      </c>
      <c r="B76">
        <v>26</v>
      </c>
      <c r="C76">
        <v>26</v>
      </c>
      <c r="D76">
        <v>26</v>
      </c>
      <c r="E76">
        <v>1710618</v>
      </c>
      <c r="F76" s="4" t="s">
        <v>309</v>
      </c>
    </row>
    <row r="77" spans="1:6" ht="15" customHeight="1" x14ac:dyDescent="0.25">
      <c r="A77" t="s">
        <v>453</v>
      </c>
      <c r="B77">
        <v>240</v>
      </c>
      <c r="C77">
        <v>255</v>
      </c>
      <c r="D77">
        <v>240</v>
      </c>
      <c r="E77">
        <v>15794160</v>
      </c>
      <c r="F77" s="4" t="s">
        <v>176</v>
      </c>
    </row>
    <row r="78" spans="1:6" ht="15" customHeight="1" x14ac:dyDescent="0.25">
      <c r="A78" t="s">
        <v>364</v>
      </c>
      <c r="B78">
        <v>255</v>
      </c>
      <c r="C78">
        <v>105</v>
      </c>
      <c r="D78">
        <v>180</v>
      </c>
      <c r="E78">
        <v>11823615</v>
      </c>
      <c r="F78" s="4" t="s">
        <v>177</v>
      </c>
    </row>
    <row r="79" spans="1:6" ht="15" customHeight="1" x14ac:dyDescent="0.25">
      <c r="A79" t="s">
        <v>365</v>
      </c>
      <c r="B79">
        <v>205</v>
      </c>
      <c r="C79">
        <v>92</v>
      </c>
      <c r="D79">
        <v>92</v>
      </c>
      <c r="E79">
        <v>6053069</v>
      </c>
      <c r="F79" s="4" t="s">
        <v>178</v>
      </c>
    </row>
    <row r="80" spans="1:6" ht="15" customHeight="1" x14ac:dyDescent="0.25">
      <c r="A80" t="s">
        <v>366</v>
      </c>
      <c r="B80">
        <v>75</v>
      </c>
      <c r="C80">
        <v>0</v>
      </c>
      <c r="D80">
        <v>130</v>
      </c>
      <c r="E80">
        <v>8519755</v>
      </c>
      <c r="F80" s="4" t="s">
        <v>179</v>
      </c>
    </row>
    <row r="81" spans="1:6" ht="15" customHeight="1" x14ac:dyDescent="0.25">
      <c r="A81" t="s">
        <v>367</v>
      </c>
      <c r="B81">
        <v>255</v>
      </c>
      <c r="C81">
        <v>255</v>
      </c>
      <c r="D81">
        <v>240</v>
      </c>
      <c r="E81">
        <v>15794175</v>
      </c>
      <c r="F81" s="4" t="s">
        <v>180</v>
      </c>
    </row>
    <row r="82" spans="1:6" ht="15" customHeight="1" x14ac:dyDescent="0.25">
      <c r="A82" t="s">
        <v>368</v>
      </c>
      <c r="B82">
        <v>240</v>
      </c>
      <c r="C82">
        <v>230</v>
      </c>
      <c r="D82">
        <v>140</v>
      </c>
      <c r="E82">
        <v>9234160</v>
      </c>
      <c r="F82" s="4" t="s">
        <v>181</v>
      </c>
    </row>
    <row r="83" spans="1:6" ht="15" customHeight="1" x14ac:dyDescent="0.25">
      <c r="A83" t="s">
        <v>369</v>
      </c>
      <c r="B83">
        <v>230</v>
      </c>
      <c r="C83">
        <v>230</v>
      </c>
      <c r="D83">
        <v>250</v>
      </c>
      <c r="E83">
        <v>16443110</v>
      </c>
      <c r="F83" s="4" t="s">
        <v>466</v>
      </c>
    </row>
    <row r="84" spans="1:6" ht="15" customHeight="1" x14ac:dyDescent="0.25">
      <c r="A84" t="s">
        <v>370</v>
      </c>
      <c r="B84">
        <v>255</v>
      </c>
      <c r="C84">
        <v>240</v>
      </c>
      <c r="D84">
        <v>245</v>
      </c>
      <c r="E84">
        <v>16118015</v>
      </c>
      <c r="F84" s="4" t="s">
        <v>182</v>
      </c>
    </row>
    <row r="85" spans="1:6" ht="15" customHeight="1" x14ac:dyDescent="0.25">
      <c r="A85" t="s">
        <v>371</v>
      </c>
      <c r="B85">
        <v>124</v>
      </c>
      <c r="C85">
        <v>252</v>
      </c>
      <c r="D85">
        <v>0</v>
      </c>
      <c r="E85">
        <v>64636</v>
      </c>
      <c r="F85" s="4" t="s">
        <v>183</v>
      </c>
    </row>
    <row r="86" spans="1:6" ht="15" customHeight="1" x14ac:dyDescent="0.25">
      <c r="A86" t="s">
        <v>372</v>
      </c>
      <c r="B86">
        <v>255</v>
      </c>
      <c r="C86">
        <v>250</v>
      </c>
      <c r="D86">
        <v>205</v>
      </c>
      <c r="E86">
        <v>13499135</v>
      </c>
      <c r="F86" s="4" t="s">
        <v>184</v>
      </c>
    </row>
    <row r="87" spans="1:6" ht="15" customHeight="1" x14ac:dyDescent="0.25">
      <c r="A87" t="s">
        <v>373</v>
      </c>
      <c r="B87">
        <v>173</v>
      </c>
      <c r="C87">
        <v>216</v>
      </c>
      <c r="D87">
        <v>230</v>
      </c>
      <c r="E87">
        <v>15128749</v>
      </c>
      <c r="F87" s="4" t="s">
        <v>471</v>
      </c>
    </row>
    <row r="88" spans="1:6" ht="15" customHeight="1" x14ac:dyDescent="0.25">
      <c r="A88" t="s">
        <v>374</v>
      </c>
      <c r="B88">
        <v>240</v>
      </c>
      <c r="C88">
        <v>128</v>
      </c>
      <c r="D88">
        <v>128</v>
      </c>
      <c r="E88">
        <v>8421616</v>
      </c>
      <c r="F88" s="4" t="s">
        <v>185</v>
      </c>
    </row>
    <row r="89" spans="1:6" ht="15" customHeight="1" x14ac:dyDescent="0.25">
      <c r="A89" t="s">
        <v>375</v>
      </c>
      <c r="B89">
        <v>224</v>
      </c>
      <c r="C89">
        <v>255</v>
      </c>
      <c r="D89">
        <v>255</v>
      </c>
      <c r="E89">
        <v>16777184</v>
      </c>
      <c r="F89" s="4" t="s">
        <v>186</v>
      </c>
    </row>
    <row r="90" spans="1:6" ht="15" customHeight="1" x14ac:dyDescent="0.25">
      <c r="A90" t="s">
        <v>447</v>
      </c>
      <c r="B90">
        <v>250</v>
      </c>
      <c r="C90">
        <v>250</v>
      </c>
      <c r="D90">
        <v>210</v>
      </c>
      <c r="E90">
        <v>13826810</v>
      </c>
      <c r="F90" s="4" t="s">
        <v>187</v>
      </c>
    </row>
    <row r="91" spans="1:6" ht="15" customHeight="1" x14ac:dyDescent="0.25">
      <c r="A91" t="s">
        <v>376</v>
      </c>
      <c r="B91">
        <v>211</v>
      </c>
      <c r="C91">
        <v>211</v>
      </c>
      <c r="D91">
        <v>211</v>
      </c>
      <c r="E91">
        <v>13882323</v>
      </c>
      <c r="F91" s="4" t="s">
        <v>188</v>
      </c>
    </row>
    <row r="92" spans="1:6" ht="15" customHeight="1" x14ac:dyDescent="0.25">
      <c r="A92" t="s">
        <v>377</v>
      </c>
      <c r="B92">
        <v>144</v>
      </c>
      <c r="C92">
        <v>238</v>
      </c>
      <c r="D92">
        <v>144</v>
      </c>
      <c r="E92">
        <v>9498256</v>
      </c>
      <c r="F92" s="4" t="s">
        <v>189</v>
      </c>
    </row>
    <row r="93" spans="1:6" ht="15" customHeight="1" x14ac:dyDescent="0.25">
      <c r="A93" t="s">
        <v>378</v>
      </c>
      <c r="B93">
        <v>211</v>
      </c>
      <c r="C93">
        <v>211</v>
      </c>
      <c r="D93">
        <v>211</v>
      </c>
      <c r="E93">
        <v>13882323</v>
      </c>
      <c r="F93" s="4" t="s">
        <v>188</v>
      </c>
    </row>
    <row r="94" spans="1:6" ht="15" customHeight="1" x14ac:dyDescent="0.25">
      <c r="A94" t="s">
        <v>379</v>
      </c>
      <c r="B94">
        <v>255</v>
      </c>
      <c r="C94">
        <v>182</v>
      </c>
      <c r="D94">
        <v>193</v>
      </c>
      <c r="E94">
        <v>12695295</v>
      </c>
      <c r="F94" s="4" t="s">
        <v>190</v>
      </c>
    </row>
    <row r="95" spans="1:6" ht="15" customHeight="1" x14ac:dyDescent="0.25">
      <c r="A95" t="s">
        <v>380</v>
      </c>
      <c r="B95">
        <v>255</v>
      </c>
      <c r="C95">
        <v>160</v>
      </c>
      <c r="D95">
        <v>122</v>
      </c>
      <c r="E95">
        <v>8036607</v>
      </c>
      <c r="F95" s="4" t="s">
        <v>191</v>
      </c>
    </row>
    <row r="96" spans="1:6" ht="15" customHeight="1" x14ac:dyDescent="0.25">
      <c r="A96" t="s">
        <v>380</v>
      </c>
      <c r="B96">
        <v>255</v>
      </c>
      <c r="C96">
        <v>160</v>
      </c>
      <c r="D96">
        <v>122</v>
      </c>
      <c r="E96">
        <v>8036607</v>
      </c>
      <c r="F96" s="4" t="s">
        <v>191</v>
      </c>
    </row>
    <row r="97" spans="1:6" ht="15" customHeight="1" x14ac:dyDescent="0.25">
      <c r="A97" t="s">
        <v>381</v>
      </c>
      <c r="B97">
        <v>32</v>
      </c>
      <c r="C97">
        <v>178</v>
      </c>
      <c r="D97">
        <v>170</v>
      </c>
      <c r="E97">
        <v>11186720</v>
      </c>
      <c r="F97" s="4" t="s">
        <v>192</v>
      </c>
    </row>
    <row r="98" spans="1:6" ht="15" customHeight="1" x14ac:dyDescent="0.25">
      <c r="A98" t="s">
        <v>382</v>
      </c>
      <c r="B98">
        <v>135</v>
      </c>
      <c r="C98">
        <v>206</v>
      </c>
      <c r="D98">
        <v>250</v>
      </c>
      <c r="E98">
        <v>16436871</v>
      </c>
      <c r="F98" s="4" t="s">
        <v>193</v>
      </c>
    </row>
    <row r="99" spans="1:6" ht="15" customHeight="1" x14ac:dyDescent="0.25">
      <c r="A99" t="s">
        <v>383</v>
      </c>
      <c r="B99">
        <v>119</v>
      </c>
      <c r="C99">
        <v>136</v>
      </c>
      <c r="D99">
        <v>153</v>
      </c>
      <c r="E99">
        <v>10061943</v>
      </c>
      <c r="F99" s="4" t="s">
        <v>253</v>
      </c>
    </row>
    <row r="100" spans="1:6" ht="15" customHeight="1" x14ac:dyDescent="0.25">
      <c r="A100" t="s">
        <v>384</v>
      </c>
      <c r="B100">
        <v>119</v>
      </c>
      <c r="C100">
        <v>136</v>
      </c>
      <c r="D100">
        <v>153</v>
      </c>
      <c r="E100">
        <v>10061943</v>
      </c>
      <c r="F100" s="4" t="s">
        <v>253</v>
      </c>
    </row>
    <row r="101" spans="1:6" ht="15" customHeight="1" x14ac:dyDescent="0.25">
      <c r="A101" t="s">
        <v>385</v>
      </c>
      <c r="B101">
        <v>176</v>
      </c>
      <c r="C101">
        <v>196</v>
      </c>
      <c r="D101">
        <v>222</v>
      </c>
      <c r="E101">
        <v>14599344</v>
      </c>
      <c r="F101" s="4" t="s">
        <v>194</v>
      </c>
    </row>
    <row r="102" spans="1:6" ht="15" customHeight="1" x14ac:dyDescent="0.25">
      <c r="A102" t="s">
        <v>386</v>
      </c>
      <c r="B102">
        <v>255</v>
      </c>
      <c r="C102">
        <v>255</v>
      </c>
      <c r="D102">
        <v>224</v>
      </c>
      <c r="E102">
        <v>14745599</v>
      </c>
      <c r="F102" s="4" t="s">
        <v>195</v>
      </c>
    </row>
    <row r="103" spans="1:6" ht="15" customHeight="1" x14ac:dyDescent="0.25">
      <c r="A103" t="s">
        <v>387</v>
      </c>
      <c r="B103">
        <v>0</v>
      </c>
      <c r="C103">
        <v>255</v>
      </c>
      <c r="D103">
        <v>0</v>
      </c>
      <c r="E103">
        <v>65280</v>
      </c>
      <c r="F103" s="4" t="s">
        <v>149</v>
      </c>
    </row>
    <row r="104" spans="1:6" ht="15" customHeight="1" x14ac:dyDescent="0.25">
      <c r="A104" t="s">
        <v>388</v>
      </c>
      <c r="B104">
        <v>50</v>
      </c>
      <c r="C104">
        <v>205</v>
      </c>
      <c r="D104">
        <v>50</v>
      </c>
      <c r="E104">
        <v>3329330</v>
      </c>
      <c r="F104" s="4" t="s">
        <v>196</v>
      </c>
    </row>
    <row r="105" spans="1:6" ht="15" customHeight="1" x14ac:dyDescent="0.25">
      <c r="A105" t="s">
        <v>389</v>
      </c>
      <c r="B105">
        <v>250</v>
      </c>
      <c r="C105">
        <v>240</v>
      </c>
      <c r="D105">
        <v>230</v>
      </c>
      <c r="E105">
        <v>15134970</v>
      </c>
      <c r="F105" s="4" t="s">
        <v>197</v>
      </c>
    </row>
    <row r="106" spans="1:6" ht="15" customHeight="1" x14ac:dyDescent="0.25">
      <c r="A106" t="s">
        <v>390</v>
      </c>
      <c r="B106">
        <v>255</v>
      </c>
      <c r="C106">
        <v>0</v>
      </c>
      <c r="D106">
        <v>255</v>
      </c>
      <c r="E106">
        <v>16711935</v>
      </c>
      <c r="F106" s="4" t="s">
        <v>150</v>
      </c>
    </row>
    <row r="107" spans="1:6" ht="15" customHeight="1" x14ac:dyDescent="0.25">
      <c r="A107" t="s">
        <v>391</v>
      </c>
      <c r="B107">
        <v>128</v>
      </c>
      <c r="C107">
        <v>0</v>
      </c>
      <c r="D107">
        <v>0</v>
      </c>
      <c r="E107">
        <v>128</v>
      </c>
      <c r="F107" s="4" t="s">
        <v>254</v>
      </c>
    </row>
    <row r="108" spans="1:6" ht="15" customHeight="1" x14ac:dyDescent="0.25">
      <c r="A108" t="s">
        <v>450</v>
      </c>
      <c r="B108">
        <v>102</v>
      </c>
      <c r="C108">
        <v>205</v>
      </c>
      <c r="D108">
        <v>170</v>
      </c>
      <c r="E108">
        <v>11193702</v>
      </c>
      <c r="F108" s="4" t="s">
        <v>198</v>
      </c>
    </row>
    <row r="109" spans="1:6" ht="15" customHeight="1" x14ac:dyDescent="0.25">
      <c r="A109" t="s">
        <v>392</v>
      </c>
      <c r="B109">
        <v>0</v>
      </c>
      <c r="C109">
        <v>0</v>
      </c>
      <c r="D109">
        <v>205</v>
      </c>
      <c r="E109">
        <v>13434880</v>
      </c>
      <c r="F109" s="4" t="s">
        <v>199</v>
      </c>
    </row>
    <row r="110" spans="1:6" ht="15" customHeight="1" x14ac:dyDescent="0.25">
      <c r="A110" t="s">
        <v>393</v>
      </c>
      <c r="B110">
        <v>186</v>
      </c>
      <c r="C110">
        <v>85</v>
      </c>
      <c r="D110">
        <v>211</v>
      </c>
      <c r="E110">
        <v>13850042</v>
      </c>
      <c r="F110" s="4" t="s">
        <v>200</v>
      </c>
    </row>
    <row r="111" spans="1:6" ht="15" customHeight="1" x14ac:dyDescent="0.25">
      <c r="A111" t="s">
        <v>394</v>
      </c>
      <c r="B111">
        <v>147</v>
      </c>
      <c r="C111">
        <v>112</v>
      </c>
      <c r="D111">
        <v>219</v>
      </c>
      <c r="E111">
        <v>14381203</v>
      </c>
      <c r="F111" s="4" t="s">
        <v>468</v>
      </c>
    </row>
    <row r="112" spans="1:6" ht="15" customHeight="1" x14ac:dyDescent="0.25">
      <c r="A112" t="s">
        <v>395</v>
      </c>
      <c r="B112">
        <v>60</v>
      </c>
      <c r="C112">
        <v>179</v>
      </c>
      <c r="D112">
        <v>113</v>
      </c>
      <c r="E112">
        <v>7451452</v>
      </c>
      <c r="F112" s="4" t="s">
        <v>201</v>
      </c>
    </row>
    <row r="113" spans="1:6" ht="15" customHeight="1" x14ac:dyDescent="0.25">
      <c r="A113" t="s">
        <v>396</v>
      </c>
      <c r="B113">
        <v>123</v>
      </c>
      <c r="C113">
        <v>104</v>
      </c>
      <c r="D113">
        <v>238</v>
      </c>
      <c r="E113">
        <v>15624315</v>
      </c>
      <c r="F113" s="4" t="s">
        <v>202</v>
      </c>
    </row>
    <row r="114" spans="1:6" ht="15" customHeight="1" x14ac:dyDescent="0.25">
      <c r="A114" t="s">
        <v>397</v>
      </c>
      <c r="B114">
        <v>0</v>
      </c>
      <c r="C114">
        <v>250</v>
      </c>
      <c r="D114">
        <v>154</v>
      </c>
      <c r="E114">
        <v>10156544</v>
      </c>
      <c r="F114" s="4" t="s">
        <v>203</v>
      </c>
    </row>
    <row r="115" spans="1:6" ht="15" customHeight="1" x14ac:dyDescent="0.25">
      <c r="A115" t="s">
        <v>398</v>
      </c>
      <c r="B115">
        <v>72</v>
      </c>
      <c r="C115">
        <v>209</v>
      </c>
      <c r="D115">
        <v>204</v>
      </c>
      <c r="E115">
        <v>13422920</v>
      </c>
      <c r="F115" s="4" t="s">
        <v>204</v>
      </c>
    </row>
    <row r="116" spans="1:6" ht="15" customHeight="1" x14ac:dyDescent="0.25">
      <c r="A116" t="s">
        <v>399</v>
      </c>
      <c r="B116">
        <v>199</v>
      </c>
      <c r="C116">
        <v>21</v>
      </c>
      <c r="D116">
        <v>133</v>
      </c>
      <c r="E116">
        <v>8721863</v>
      </c>
      <c r="F116" s="4" t="s">
        <v>205</v>
      </c>
    </row>
    <row r="117" spans="1:6" ht="15" customHeight="1" x14ac:dyDescent="0.25">
      <c r="A117" t="s">
        <v>400</v>
      </c>
      <c r="B117">
        <v>25</v>
      </c>
      <c r="C117">
        <v>25</v>
      </c>
      <c r="D117">
        <v>112</v>
      </c>
      <c r="E117">
        <v>7346457</v>
      </c>
      <c r="F117" s="4" t="s">
        <v>255</v>
      </c>
    </row>
    <row r="118" spans="1:6" ht="15" customHeight="1" x14ac:dyDescent="0.25">
      <c r="A118" t="s">
        <v>401</v>
      </c>
      <c r="B118">
        <v>245</v>
      </c>
      <c r="C118">
        <v>255</v>
      </c>
      <c r="D118">
        <v>250</v>
      </c>
      <c r="E118">
        <v>16449525</v>
      </c>
      <c r="F118" s="4" t="s">
        <v>206</v>
      </c>
    </row>
    <row r="119" spans="1:6" ht="15" customHeight="1" x14ac:dyDescent="0.25">
      <c r="A119" t="s">
        <v>402</v>
      </c>
      <c r="B119">
        <v>255</v>
      </c>
      <c r="C119">
        <v>228</v>
      </c>
      <c r="D119">
        <v>225</v>
      </c>
      <c r="E119">
        <v>14804223</v>
      </c>
      <c r="F119" s="4" t="s">
        <v>207</v>
      </c>
    </row>
    <row r="120" spans="1:6" ht="15" customHeight="1" x14ac:dyDescent="0.25">
      <c r="A120" t="s">
        <v>403</v>
      </c>
      <c r="B120">
        <v>255</v>
      </c>
      <c r="C120">
        <v>228</v>
      </c>
      <c r="D120">
        <v>181</v>
      </c>
      <c r="E120">
        <v>11920639</v>
      </c>
      <c r="F120" s="4" t="s">
        <v>208</v>
      </c>
    </row>
    <row r="121" spans="1:6" ht="15" customHeight="1" x14ac:dyDescent="0.25">
      <c r="A121" t="s">
        <v>404</v>
      </c>
      <c r="B121">
        <v>255</v>
      </c>
      <c r="C121">
        <v>222</v>
      </c>
      <c r="D121">
        <v>173</v>
      </c>
      <c r="E121">
        <v>11394815</v>
      </c>
      <c r="F121" s="4" t="s">
        <v>209</v>
      </c>
    </row>
    <row r="122" spans="1:6" ht="15" customHeight="1" x14ac:dyDescent="0.25">
      <c r="A122" t="s">
        <v>405</v>
      </c>
      <c r="B122">
        <v>0</v>
      </c>
      <c r="C122">
        <v>0</v>
      </c>
      <c r="D122">
        <v>128</v>
      </c>
      <c r="E122">
        <v>8388608</v>
      </c>
      <c r="F122" s="4" t="s">
        <v>249</v>
      </c>
    </row>
    <row r="123" spans="1:6" ht="15" customHeight="1" x14ac:dyDescent="0.25">
      <c r="A123" t="s">
        <v>406</v>
      </c>
      <c r="B123">
        <v>253</v>
      </c>
      <c r="C123">
        <v>245</v>
      </c>
      <c r="D123">
        <v>230</v>
      </c>
      <c r="E123">
        <v>15136253</v>
      </c>
      <c r="F123" s="4" t="s">
        <v>210</v>
      </c>
    </row>
    <row r="124" spans="1:6" ht="15" customHeight="1" x14ac:dyDescent="0.25">
      <c r="A124" t="s">
        <v>407</v>
      </c>
      <c r="B124">
        <v>128</v>
      </c>
      <c r="C124">
        <v>128</v>
      </c>
      <c r="D124">
        <v>0</v>
      </c>
      <c r="E124">
        <v>32896</v>
      </c>
      <c r="F124" s="4" t="s">
        <v>256</v>
      </c>
    </row>
    <row r="125" spans="1:6" ht="15" customHeight="1" x14ac:dyDescent="0.25">
      <c r="A125" t="s">
        <v>408</v>
      </c>
      <c r="B125">
        <v>107</v>
      </c>
      <c r="C125">
        <v>142</v>
      </c>
      <c r="D125">
        <v>35</v>
      </c>
      <c r="E125">
        <v>2330219</v>
      </c>
      <c r="F125" s="4" t="s">
        <v>211</v>
      </c>
    </row>
    <row r="126" spans="1:6" ht="15" customHeight="1" x14ac:dyDescent="0.25">
      <c r="A126" t="s">
        <v>409</v>
      </c>
      <c r="B126">
        <v>255</v>
      </c>
      <c r="C126">
        <v>165</v>
      </c>
      <c r="D126">
        <v>0</v>
      </c>
      <c r="E126">
        <v>42495</v>
      </c>
      <c r="F126" s="4" t="s">
        <v>212</v>
      </c>
    </row>
    <row r="127" spans="1:6" ht="15" customHeight="1" x14ac:dyDescent="0.25">
      <c r="A127" t="s">
        <v>410</v>
      </c>
      <c r="B127">
        <v>255</v>
      </c>
      <c r="C127">
        <v>69</v>
      </c>
      <c r="D127">
        <v>0</v>
      </c>
      <c r="E127">
        <v>17919</v>
      </c>
      <c r="F127" s="4" t="s">
        <v>213</v>
      </c>
    </row>
    <row r="128" spans="1:6" ht="15" customHeight="1" x14ac:dyDescent="0.25">
      <c r="A128" t="s">
        <v>411</v>
      </c>
      <c r="B128">
        <v>218</v>
      </c>
      <c r="C128">
        <v>112</v>
      </c>
      <c r="D128">
        <v>214</v>
      </c>
      <c r="E128">
        <v>14053594</v>
      </c>
      <c r="F128" s="4" t="s">
        <v>214</v>
      </c>
    </row>
    <row r="129" spans="1:6" ht="15" customHeight="1" x14ac:dyDescent="0.25">
      <c r="A129" t="s">
        <v>448</v>
      </c>
      <c r="B129">
        <v>238</v>
      </c>
      <c r="C129">
        <v>232</v>
      </c>
      <c r="D129">
        <v>170</v>
      </c>
      <c r="E129">
        <v>11200750</v>
      </c>
      <c r="F129" s="4" t="s">
        <v>215</v>
      </c>
    </row>
    <row r="130" spans="1:6" ht="15" customHeight="1" x14ac:dyDescent="0.25">
      <c r="A130" t="s">
        <v>311</v>
      </c>
      <c r="B130">
        <v>152</v>
      </c>
      <c r="C130">
        <v>251</v>
      </c>
      <c r="D130">
        <v>152</v>
      </c>
      <c r="E130">
        <v>10025880</v>
      </c>
      <c r="F130" s="4" t="s">
        <v>216</v>
      </c>
    </row>
    <row r="131" spans="1:6" ht="15" customHeight="1" x14ac:dyDescent="0.25">
      <c r="A131" t="s">
        <v>412</v>
      </c>
      <c r="B131">
        <v>175</v>
      </c>
      <c r="C131">
        <v>238</v>
      </c>
      <c r="D131">
        <v>238</v>
      </c>
      <c r="E131">
        <v>15658671</v>
      </c>
      <c r="F131" s="4" t="s">
        <v>217</v>
      </c>
    </row>
    <row r="132" spans="1:6" ht="15" customHeight="1" x14ac:dyDescent="0.25">
      <c r="A132" t="s">
        <v>413</v>
      </c>
      <c r="B132">
        <v>219</v>
      </c>
      <c r="C132">
        <v>112</v>
      </c>
      <c r="D132">
        <v>147</v>
      </c>
      <c r="E132">
        <v>9662683</v>
      </c>
      <c r="F132" s="4" t="s">
        <v>465</v>
      </c>
    </row>
    <row r="133" spans="1:6" ht="15" customHeight="1" x14ac:dyDescent="0.25">
      <c r="A133" t="s">
        <v>414</v>
      </c>
      <c r="B133">
        <v>255</v>
      </c>
      <c r="C133">
        <v>239</v>
      </c>
      <c r="D133">
        <v>213</v>
      </c>
      <c r="E133">
        <v>14020607</v>
      </c>
      <c r="F133" s="4" t="s">
        <v>218</v>
      </c>
    </row>
    <row r="134" spans="1:6" ht="15" customHeight="1" x14ac:dyDescent="0.25">
      <c r="A134" t="s">
        <v>415</v>
      </c>
      <c r="B134">
        <v>255</v>
      </c>
      <c r="C134">
        <v>218</v>
      </c>
      <c r="D134">
        <v>185</v>
      </c>
      <c r="E134">
        <v>12180223</v>
      </c>
      <c r="F134" s="4" t="s">
        <v>219</v>
      </c>
    </row>
    <row r="135" spans="1:6" ht="15" customHeight="1" x14ac:dyDescent="0.25">
      <c r="A135" t="s">
        <v>416</v>
      </c>
      <c r="B135">
        <v>205</v>
      </c>
      <c r="C135">
        <v>133</v>
      </c>
      <c r="D135">
        <v>63</v>
      </c>
      <c r="E135">
        <v>4163021</v>
      </c>
      <c r="F135" s="4" t="s">
        <v>220</v>
      </c>
    </row>
    <row r="136" spans="1:6" ht="15" customHeight="1" x14ac:dyDescent="0.25">
      <c r="A136" t="s">
        <v>417</v>
      </c>
      <c r="B136">
        <v>255</v>
      </c>
      <c r="C136">
        <v>192</v>
      </c>
      <c r="D136">
        <v>203</v>
      </c>
      <c r="E136">
        <v>13353215</v>
      </c>
      <c r="F136" s="4" t="s">
        <v>221</v>
      </c>
    </row>
    <row r="137" spans="1:6" ht="15" customHeight="1" x14ac:dyDescent="0.25">
      <c r="A137" t="s">
        <v>418</v>
      </c>
      <c r="B137">
        <v>221</v>
      </c>
      <c r="C137">
        <v>160</v>
      </c>
      <c r="D137">
        <v>221</v>
      </c>
      <c r="E137">
        <v>14524637</v>
      </c>
      <c r="F137" s="4" t="s">
        <v>467</v>
      </c>
    </row>
    <row r="138" spans="1:6" ht="15" customHeight="1" x14ac:dyDescent="0.25">
      <c r="A138" t="s">
        <v>419</v>
      </c>
      <c r="B138">
        <v>176</v>
      </c>
      <c r="C138">
        <v>224</v>
      </c>
      <c r="D138">
        <v>230</v>
      </c>
      <c r="E138">
        <v>15130800</v>
      </c>
      <c r="F138" s="4" t="s">
        <v>222</v>
      </c>
    </row>
    <row r="139" spans="1:6" ht="15" customHeight="1" x14ac:dyDescent="0.25">
      <c r="A139" t="s">
        <v>420</v>
      </c>
      <c r="B139">
        <v>128</v>
      </c>
      <c r="C139">
        <v>0</v>
      </c>
      <c r="D139">
        <v>128</v>
      </c>
      <c r="E139">
        <v>8388736</v>
      </c>
      <c r="F139" s="4" t="s">
        <v>257</v>
      </c>
    </row>
    <row r="140" spans="1:6" ht="15" customHeight="1" x14ac:dyDescent="0.25">
      <c r="A140" t="s">
        <v>143</v>
      </c>
      <c r="B140">
        <v>255</v>
      </c>
      <c r="C140">
        <v>0</v>
      </c>
      <c r="D140">
        <v>0</v>
      </c>
      <c r="E140">
        <v>255</v>
      </c>
      <c r="F140" s="4" t="s">
        <v>223</v>
      </c>
    </row>
    <row r="141" spans="1:6" ht="15" customHeight="1" x14ac:dyDescent="0.25">
      <c r="A141" t="s">
        <v>421</v>
      </c>
      <c r="B141">
        <v>188</v>
      </c>
      <c r="C141">
        <v>143</v>
      </c>
      <c r="D141">
        <v>143</v>
      </c>
      <c r="E141">
        <v>9408444</v>
      </c>
      <c r="F141" s="4" t="s">
        <v>224</v>
      </c>
    </row>
    <row r="142" spans="1:6" ht="15" customHeight="1" x14ac:dyDescent="0.25">
      <c r="A142" t="s">
        <v>422</v>
      </c>
      <c r="B142">
        <v>65</v>
      </c>
      <c r="C142">
        <v>105</v>
      </c>
      <c r="D142">
        <v>225</v>
      </c>
      <c r="E142">
        <v>14772545</v>
      </c>
      <c r="F142" s="4" t="s">
        <v>470</v>
      </c>
    </row>
    <row r="143" spans="1:6" ht="15" customHeight="1" x14ac:dyDescent="0.25">
      <c r="A143" t="s">
        <v>423</v>
      </c>
      <c r="B143">
        <v>139</v>
      </c>
      <c r="C143">
        <v>69</v>
      </c>
      <c r="D143">
        <v>19</v>
      </c>
      <c r="E143">
        <v>1262987</v>
      </c>
      <c r="F143" s="4" t="s">
        <v>225</v>
      </c>
    </row>
    <row r="144" spans="1:6" ht="15" customHeight="1" x14ac:dyDescent="0.25">
      <c r="A144" t="s">
        <v>424</v>
      </c>
      <c r="B144">
        <v>250</v>
      </c>
      <c r="C144">
        <v>128</v>
      </c>
      <c r="D144">
        <v>114</v>
      </c>
      <c r="E144">
        <v>7504122</v>
      </c>
      <c r="F144" s="4" t="s">
        <v>226</v>
      </c>
    </row>
    <row r="145" spans="1:6" ht="15" customHeight="1" x14ac:dyDescent="0.25">
      <c r="A145" t="s">
        <v>425</v>
      </c>
      <c r="B145">
        <v>244</v>
      </c>
      <c r="C145">
        <v>164</v>
      </c>
      <c r="D145">
        <v>96</v>
      </c>
      <c r="E145">
        <v>6333684</v>
      </c>
      <c r="F145" s="4" t="s">
        <v>227</v>
      </c>
    </row>
    <row r="146" spans="1:6" ht="15" customHeight="1" x14ac:dyDescent="0.25">
      <c r="A146" t="s">
        <v>426</v>
      </c>
      <c r="B146">
        <v>46</v>
      </c>
      <c r="C146">
        <v>139</v>
      </c>
      <c r="D146">
        <v>87</v>
      </c>
      <c r="E146">
        <v>5737262</v>
      </c>
      <c r="F146" s="4" t="s">
        <v>228</v>
      </c>
    </row>
    <row r="147" spans="1:6" ht="15" customHeight="1" x14ac:dyDescent="0.25">
      <c r="A147" t="s">
        <v>454</v>
      </c>
      <c r="B147">
        <v>255</v>
      </c>
      <c r="C147">
        <v>245</v>
      </c>
      <c r="D147">
        <v>238</v>
      </c>
      <c r="E147">
        <v>15660543</v>
      </c>
      <c r="F147" s="4" t="s">
        <v>229</v>
      </c>
    </row>
    <row r="148" spans="1:6" ht="15" customHeight="1" x14ac:dyDescent="0.25">
      <c r="A148" t="s">
        <v>427</v>
      </c>
      <c r="B148">
        <v>160</v>
      </c>
      <c r="C148">
        <v>82</v>
      </c>
      <c r="D148">
        <v>45</v>
      </c>
      <c r="E148">
        <v>2970272</v>
      </c>
      <c r="F148" s="4" t="s">
        <v>230</v>
      </c>
    </row>
    <row r="149" spans="1:6" ht="15" customHeight="1" x14ac:dyDescent="0.25">
      <c r="A149" t="s">
        <v>428</v>
      </c>
      <c r="B149">
        <v>192</v>
      </c>
      <c r="C149">
        <v>192</v>
      </c>
      <c r="D149">
        <v>192</v>
      </c>
      <c r="E149">
        <v>12632256</v>
      </c>
      <c r="F149" s="4" t="s">
        <v>231</v>
      </c>
    </row>
    <row r="150" spans="1:6" ht="15" customHeight="1" x14ac:dyDescent="0.25">
      <c r="A150" t="s">
        <v>429</v>
      </c>
      <c r="B150">
        <v>135</v>
      </c>
      <c r="C150">
        <v>206</v>
      </c>
      <c r="D150">
        <v>235</v>
      </c>
      <c r="E150">
        <v>15453831</v>
      </c>
      <c r="F150" s="4" t="s">
        <v>232</v>
      </c>
    </row>
    <row r="151" spans="1:6" ht="15" customHeight="1" x14ac:dyDescent="0.25">
      <c r="A151" t="s">
        <v>430</v>
      </c>
      <c r="B151">
        <v>106</v>
      </c>
      <c r="C151">
        <v>90</v>
      </c>
      <c r="D151">
        <v>205</v>
      </c>
      <c r="E151">
        <v>13458026</v>
      </c>
      <c r="F151" s="4" t="s">
        <v>233</v>
      </c>
    </row>
    <row r="152" spans="1:6" ht="15" customHeight="1" x14ac:dyDescent="0.25">
      <c r="A152" t="s">
        <v>431</v>
      </c>
      <c r="B152">
        <v>112</v>
      </c>
      <c r="C152">
        <v>128</v>
      </c>
      <c r="D152">
        <v>144</v>
      </c>
      <c r="E152">
        <v>9470064</v>
      </c>
      <c r="F152" s="4" t="s">
        <v>258</v>
      </c>
    </row>
    <row r="153" spans="1:6" ht="15" customHeight="1" x14ac:dyDescent="0.25">
      <c r="A153" t="s">
        <v>432</v>
      </c>
      <c r="B153">
        <v>112</v>
      </c>
      <c r="C153">
        <v>128</v>
      </c>
      <c r="D153">
        <v>144</v>
      </c>
      <c r="E153">
        <v>9470064</v>
      </c>
      <c r="F153" s="4" t="s">
        <v>258</v>
      </c>
    </row>
    <row r="154" spans="1:6" ht="15" customHeight="1" x14ac:dyDescent="0.25">
      <c r="A154" t="s">
        <v>433</v>
      </c>
      <c r="B154">
        <v>255</v>
      </c>
      <c r="C154">
        <v>250</v>
      </c>
      <c r="D154">
        <v>250</v>
      </c>
      <c r="E154">
        <v>16448255</v>
      </c>
      <c r="F154" s="4" t="s">
        <v>234</v>
      </c>
    </row>
    <row r="155" spans="1:6" ht="15" customHeight="1" x14ac:dyDescent="0.25">
      <c r="A155" t="s">
        <v>434</v>
      </c>
      <c r="B155">
        <v>0</v>
      </c>
      <c r="C155">
        <v>255</v>
      </c>
      <c r="D155">
        <v>127</v>
      </c>
      <c r="E155">
        <v>8388352</v>
      </c>
      <c r="F155" s="4" t="s">
        <v>235</v>
      </c>
    </row>
    <row r="156" spans="1:6" ht="15" customHeight="1" x14ac:dyDescent="0.25">
      <c r="A156" t="s">
        <v>435</v>
      </c>
      <c r="B156">
        <v>70</v>
      </c>
      <c r="C156">
        <v>130</v>
      </c>
      <c r="D156">
        <v>180</v>
      </c>
      <c r="E156">
        <v>11829830</v>
      </c>
      <c r="F156" s="4" t="s">
        <v>236</v>
      </c>
    </row>
    <row r="157" spans="1:6" ht="15" customHeight="1" x14ac:dyDescent="0.25">
      <c r="A157" t="s">
        <v>436</v>
      </c>
      <c r="B157">
        <v>210</v>
      </c>
      <c r="C157">
        <v>180</v>
      </c>
      <c r="D157">
        <v>140</v>
      </c>
      <c r="E157">
        <v>9221330</v>
      </c>
      <c r="F157" s="4" t="s">
        <v>237</v>
      </c>
    </row>
    <row r="158" spans="1:6" ht="15" customHeight="1" x14ac:dyDescent="0.25">
      <c r="A158" t="s">
        <v>437</v>
      </c>
      <c r="B158">
        <v>0</v>
      </c>
      <c r="C158">
        <v>128</v>
      </c>
      <c r="D158">
        <v>128</v>
      </c>
      <c r="E158">
        <v>8421376</v>
      </c>
      <c r="F158" s="4" t="s">
        <v>250</v>
      </c>
    </row>
    <row r="159" spans="1:6" ht="15" customHeight="1" x14ac:dyDescent="0.25">
      <c r="A159" t="s">
        <v>438</v>
      </c>
      <c r="B159">
        <v>216</v>
      </c>
      <c r="C159">
        <v>191</v>
      </c>
      <c r="D159">
        <v>216</v>
      </c>
      <c r="E159">
        <v>14204888</v>
      </c>
      <c r="F159" s="4" t="s">
        <v>238</v>
      </c>
    </row>
    <row r="160" spans="1:6" ht="15" customHeight="1" x14ac:dyDescent="0.25">
      <c r="A160" t="s">
        <v>439</v>
      </c>
      <c r="B160">
        <v>255</v>
      </c>
      <c r="C160">
        <v>99</v>
      </c>
      <c r="D160">
        <v>71</v>
      </c>
      <c r="E160">
        <v>4678655</v>
      </c>
      <c r="F160" s="4" t="s">
        <v>239</v>
      </c>
    </row>
    <row r="161" spans="1:6" ht="15" customHeight="1" x14ac:dyDescent="0.25">
      <c r="A161" t="s">
        <v>440</v>
      </c>
      <c r="B161">
        <v>64</v>
      </c>
      <c r="C161">
        <v>224</v>
      </c>
      <c r="D161">
        <v>208</v>
      </c>
      <c r="E161">
        <v>13688896</v>
      </c>
      <c r="F161" s="4" t="s">
        <v>240</v>
      </c>
    </row>
    <row r="162" spans="1:6" ht="15" customHeight="1" x14ac:dyDescent="0.25">
      <c r="A162" t="s">
        <v>441</v>
      </c>
      <c r="B162">
        <v>238</v>
      </c>
      <c r="C162">
        <v>130</v>
      </c>
      <c r="D162">
        <v>238</v>
      </c>
      <c r="E162">
        <v>15631086</v>
      </c>
      <c r="F162" s="4" t="s">
        <v>241</v>
      </c>
    </row>
    <row r="163" spans="1:6" ht="15" customHeight="1" x14ac:dyDescent="0.25">
      <c r="A163" t="s">
        <v>442</v>
      </c>
      <c r="B163">
        <v>245</v>
      </c>
      <c r="C163">
        <v>222</v>
      </c>
      <c r="D163">
        <v>179</v>
      </c>
      <c r="E163">
        <v>11788021</v>
      </c>
      <c r="F163" s="4" t="s">
        <v>242</v>
      </c>
    </row>
    <row r="164" spans="1:6" ht="15" customHeight="1" x14ac:dyDescent="0.25">
      <c r="A164" t="s">
        <v>443</v>
      </c>
      <c r="B164">
        <v>255</v>
      </c>
      <c r="C164">
        <v>255</v>
      </c>
      <c r="D164">
        <v>255</v>
      </c>
      <c r="E164">
        <v>16777215</v>
      </c>
      <c r="F164" s="4" t="s">
        <v>243</v>
      </c>
    </row>
    <row r="165" spans="1:6" ht="15" customHeight="1" x14ac:dyDescent="0.25">
      <c r="A165" t="s">
        <v>444</v>
      </c>
      <c r="B165">
        <v>245</v>
      </c>
      <c r="C165">
        <v>245</v>
      </c>
      <c r="D165">
        <v>245</v>
      </c>
      <c r="E165">
        <v>16119285</v>
      </c>
      <c r="F165" s="4" t="s">
        <v>244</v>
      </c>
    </row>
    <row r="166" spans="1:6" ht="15" customHeight="1" x14ac:dyDescent="0.25">
      <c r="A166" t="s">
        <v>445</v>
      </c>
      <c r="B166">
        <v>255</v>
      </c>
      <c r="C166">
        <v>255</v>
      </c>
      <c r="D166">
        <v>0</v>
      </c>
      <c r="E166">
        <v>65535</v>
      </c>
      <c r="F166" s="4" t="s">
        <v>245</v>
      </c>
    </row>
    <row r="167" spans="1:6" ht="15" customHeight="1" x14ac:dyDescent="0.25">
      <c r="A167" t="s">
        <v>446</v>
      </c>
      <c r="B167">
        <v>154</v>
      </c>
      <c r="C167">
        <v>205</v>
      </c>
      <c r="D167">
        <v>50</v>
      </c>
      <c r="E167">
        <v>3329434</v>
      </c>
      <c r="F167" s="4" t="s">
        <v>246</v>
      </c>
    </row>
    <row r="168" spans="1:6" ht="15" customHeight="1" x14ac:dyDescent="0.25">
      <c r="A168" s="22" t="s">
        <v>575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576</v>
      </c>
    </row>
    <row r="169" spans="1:6" ht="15" customHeight="1" x14ac:dyDescent="0.25">
      <c r="A169" s="22" t="s">
        <v>577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417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579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580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581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582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583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584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585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586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587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588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589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590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591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593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594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595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596</v>
      </c>
      <c r="B187">
        <v>255</v>
      </c>
      <c r="C187">
        <v>255</v>
      </c>
      <c r="D187">
        <v>0</v>
      </c>
      <c r="E187">
        <f t="shared" si="0"/>
        <v>65535</v>
      </c>
      <c r="F187" t="s">
        <v>605</v>
      </c>
    </row>
    <row r="188" spans="1:6" ht="15" customHeight="1" x14ac:dyDescent="0.25">
      <c r="A188" t="s">
        <v>597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598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599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600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606</v>
      </c>
    </row>
    <row r="192" spans="1:6" ht="15" customHeight="1" x14ac:dyDescent="0.25">
      <c r="A192" t="s">
        <v>601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602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603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604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607</v>
      </c>
    </row>
    <row r="196" spans="1:6" ht="15" customHeight="1" x14ac:dyDescent="0.25">
      <c r="A196" t="s">
        <v>592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608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609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610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611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605</v>
      </c>
    </row>
    <row r="201" spans="1:6" ht="15" customHeight="1" x14ac:dyDescent="0.25">
      <c r="A201" t="s">
        <v>612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613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614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615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616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617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618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619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620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621</v>
      </c>
      <c r="B210">
        <v>135</v>
      </c>
      <c r="C210">
        <v>75</v>
      </c>
      <c r="D210">
        <v>20</v>
      </c>
      <c r="E210">
        <f t="shared" ref="E210" si="2"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66"/>
  <sheetViews>
    <sheetView topLeftCell="A52" workbookViewId="0">
      <selection activeCell="G54" sqref="G54"/>
    </sheetView>
  </sheetViews>
  <sheetFormatPr defaultColWidth="9.109375" defaultRowHeight="15" customHeight="1" x14ac:dyDescent="0.25"/>
  <cols>
    <col min="1" max="1" width="16.777343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148</v>
      </c>
      <c r="G1" s="2" t="s">
        <v>259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v>3394611</v>
      </c>
      <c r="F2" s="4" t="s">
        <v>483</v>
      </c>
      <c r="I2" s="17"/>
      <c r="J2" s="17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v>16764057</v>
      </c>
      <c r="F3" s="4" t="s">
        <v>291</v>
      </c>
      <c r="I3">
        <f t="shared" ref="I3:I12" si="0">D3*256*256+C3*256+B3</f>
        <v>16764057</v>
      </c>
      <c r="J3" t="b">
        <f t="shared" ref="J3:J11" si="1">I3=E3</f>
        <v>1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v>10066329</v>
      </c>
      <c r="F4" s="4" t="s">
        <v>295</v>
      </c>
      <c r="I4">
        <f t="shared" si="0"/>
        <v>10066329</v>
      </c>
      <c r="J4" t="b">
        <f t="shared" si="1"/>
        <v>1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v>6750207</v>
      </c>
      <c r="F5" s="4" t="s">
        <v>484</v>
      </c>
      <c r="I5">
        <f t="shared" si="0"/>
        <v>6750207</v>
      </c>
      <c r="J5" t="b">
        <f t="shared" si="1"/>
        <v>1</v>
      </c>
    </row>
    <row r="6" spans="1:10" ht="15" customHeight="1" x14ac:dyDescent="0.25">
      <c r="A6" t="s">
        <v>8</v>
      </c>
      <c r="B6" s="6">
        <v>255</v>
      </c>
      <c r="C6" s="6">
        <v>128</v>
      </c>
      <c r="D6" s="6">
        <v>128</v>
      </c>
      <c r="E6">
        <v>8421631</v>
      </c>
      <c r="F6" s="4" t="s">
        <v>485</v>
      </c>
      <c r="I6">
        <f t="shared" si="0"/>
        <v>8421631</v>
      </c>
      <c r="J6" t="b">
        <f t="shared" si="1"/>
        <v>1</v>
      </c>
    </row>
    <row r="7" spans="1:10" ht="15" customHeight="1" x14ac:dyDescent="0.25">
      <c r="A7" t="s">
        <v>9</v>
      </c>
      <c r="B7" s="6">
        <v>255</v>
      </c>
      <c r="C7" s="6">
        <v>204</v>
      </c>
      <c r="D7" s="6">
        <v>0</v>
      </c>
      <c r="E7">
        <v>52479</v>
      </c>
      <c r="F7" s="4" t="s">
        <v>486</v>
      </c>
      <c r="I7">
        <f t="shared" si="0"/>
        <v>52479</v>
      </c>
      <c r="J7" t="b">
        <f t="shared" si="1"/>
        <v>1</v>
      </c>
    </row>
    <row r="8" spans="1:10" ht="15" customHeight="1" x14ac:dyDescent="0.25">
      <c r="A8" t="s">
        <v>10</v>
      </c>
      <c r="B8" s="6">
        <v>255</v>
      </c>
      <c r="C8" s="6">
        <v>255</v>
      </c>
      <c r="D8" s="6">
        <v>102</v>
      </c>
      <c r="E8">
        <v>6750207</v>
      </c>
      <c r="F8" s="4" t="s">
        <v>484</v>
      </c>
      <c r="I8">
        <f t="shared" si="0"/>
        <v>6750207</v>
      </c>
      <c r="J8" t="b">
        <f t="shared" si="1"/>
        <v>1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v>3407769</v>
      </c>
      <c r="F9" s="4" t="s">
        <v>487</v>
      </c>
      <c r="I9">
        <f t="shared" si="0"/>
        <v>3407769</v>
      </c>
      <c r="J9" t="b">
        <f t="shared" si="1"/>
        <v>1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v>8421631</v>
      </c>
      <c r="F10" s="4" t="s">
        <v>485</v>
      </c>
      <c r="I10">
        <f t="shared" si="0"/>
        <v>8421631</v>
      </c>
      <c r="J10" t="b">
        <f t="shared" si="1"/>
        <v>1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v>16737843</v>
      </c>
      <c r="F11" s="4" t="s">
        <v>290</v>
      </c>
      <c r="I11">
        <f t="shared" si="0"/>
        <v>16737843</v>
      </c>
      <c r="J11" t="b">
        <f t="shared" si="1"/>
        <v>1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v>16751052</v>
      </c>
      <c r="F12" s="4" t="s">
        <v>292</v>
      </c>
      <c r="I12">
        <f t="shared" si="0"/>
        <v>16751052</v>
      </c>
      <c r="J12" t="b">
        <f>I12=E12</f>
        <v>1</v>
      </c>
    </row>
    <row r="13" spans="1:10" ht="15" customHeight="1" x14ac:dyDescent="0.25">
      <c r="A13" t="s">
        <v>566</v>
      </c>
      <c r="B13" s="6">
        <v>102</v>
      </c>
      <c r="C13" s="6">
        <v>255</v>
      </c>
      <c r="D13" s="6">
        <v>102</v>
      </c>
      <c r="E13">
        <v>6750054</v>
      </c>
      <c r="F13" s="4"/>
      <c r="I13">
        <f>D13*256*256+C13*256+B13</f>
        <v>6750054</v>
      </c>
    </row>
    <row r="14" spans="1:10" ht="15" customHeight="1" x14ac:dyDescent="0.25">
      <c r="B14" s="6"/>
      <c r="C14" s="6"/>
      <c r="D14" s="6"/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v>39372</v>
      </c>
      <c r="F15" s="4" t="s">
        <v>488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v>255</v>
      </c>
      <c r="F16" s="4" t="s">
        <v>223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v>39296</v>
      </c>
      <c r="F17" s="4" t="s">
        <v>489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v>52377</v>
      </c>
      <c r="F18" s="4" t="s">
        <v>289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v>52428</v>
      </c>
      <c r="F19" s="4" t="s">
        <v>288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v>10066329</v>
      </c>
      <c r="F20" s="4" t="s">
        <v>295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v>6710886</v>
      </c>
      <c r="F21" s="4" t="s">
        <v>294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v>6750105</v>
      </c>
      <c r="F22" s="4" t="s">
        <v>490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v>16750950</v>
      </c>
      <c r="F23" s="4" t="s">
        <v>491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v>8421376</v>
      </c>
      <c r="F24" s="4" t="s">
        <v>250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v>13421619</v>
      </c>
      <c r="F25" s="4" t="s">
        <v>492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457</v>
      </c>
      <c r="B28" s="6">
        <v>0</v>
      </c>
      <c r="C28" s="6">
        <v>0</v>
      </c>
      <c r="D28" s="6">
        <v>0</v>
      </c>
      <c r="E28">
        <f t="shared" ref="E28:E66" si="2">B28+256*C28+256*256*D28</f>
        <v>0</v>
      </c>
    </row>
    <row r="29" spans="1:6" ht="15" customHeight="1" x14ac:dyDescent="0.25">
      <c r="A29" t="s">
        <v>526</v>
      </c>
      <c r="B29" s="6">
        <v>204</v>
      </c>
      <c r="C29" s="6">
        <v>0</v>
      </c>
      <c r="D29" s="6">
        <v>0</v>
      </c>
      <c r="E29">
        <f t="shared" si="2"/>
        <v>204</v>
      </c>
    </row>
    <row r="30" spans="1:6" ht="15" customHeight="1" x14ac:dyDescent="0.25">
      <c r="A30" t="s">
        <v>521</v>
      </c>
      <c r="B30" s="6">
        <v>255</v>
      </c>
      <c r="C30" s="6">
        <v>0</v>
      </c>
      <c r="D30" s="6">
        <v>0</v>
      </c>
      <c r="E30">
        <f t="shared" si="2"/>
        <v>255</v>
      </c>
    </row>
    <row r="31" spans="1:6" ht="15" customHeight="1" x14ac:dyDescent="0.25">
      <c r="A31" t="s">
        <v>527</v>
      </c>
      <c r="B31" s="6">
        <v>255</v>
      </c>
      <c r="C31" s="6">
        <v>128</v>
      </c>
      <c r="D31" s="6">
        <v>128</v>
      </c>
      <c r="E31">
        <f t="shared" si="2"/>
        <v>8421631</v>
      </c>
    </row>
    <row r="32" spans="1:6" ht="15" customHeight="1" x14ac:dyDescent="0.25">
      <c r="A32" t="s">
        <v>528</v>
      </c>
      <c r="B32" s="6">
        <v>255</v>
      </c>
      <c r="C32" s="6">
        <v>153</v>
      </c>
      <c r="D32" s="6">
        <v>204</v>
      </c>
      <c r="E32">
        <f t="shared" si="2"/>
        <v>13408767</v>
      </c>
    </row>
    <row r="33" spans="1:5" ht="15" customHeight="1" x14ac:dyDescent="0.25">
      <c r="A33" t="s">
        <v>529</v>
      </c>
      <c r="B33" s="6">
        <v>153</v>
      </c>
      <c r="C33" s="6">
        <v>51</v>
      </c>
      <c r="D33" s="6">
        <v>0</v>
      </c>
      <c r="E33">
        <f t="shared" si="2"/>
        <v>13209</v>
      </c>
    </row>
    <row r="34" spans="1:5" ht="15" customHeight="1" x14ac:dyDescent="0.25">
      <c r="A34" t="s">
        <v>530</v>
      </c>
      <c r="B34" s="6">
        <v>255</v>
      </c>
      <c r="C34" s="6">
        <v>102</v>
      </c>
      <c r="D34" s="6">
        <v>0</v>
      </c>
      <c r="E34">
        <f t="shared" si="2"/>
        <v>26367</v>
      </c>
    </row>
    <row r="35" spans="1:5" ht="15" customHeight="1" x14ac:dyDescent="0.25">
      <c r="A35" t="s">
        <v>531</v>
      </c>
      <c r="B35" s="6">
        <v>255</v>
      </c>
      <c r="C35" s="6">
        <v>153</v>
      </c>
      <c r="D35" s="6">
        <v>0</v>
      </c>
      <c r="E35">
        <f t="shared" si="2"/>
        <v>39423</v>
      </c>
    </row>
    <row r="36" spans="1:5" ht="15" customHeight="1" x14ac:dyDescent="0.25">
      <c r="A36" t="s">
        <v>459</v>
      </c>
      <c r="B36" s="6">
        <v>255</v>
      </c>
      <c r="C36" s="6">
        <v>204</v>
      </c>
      <c r="D36" s="6">
        <v>0</v>
      </c>
      <c r="E36">
        <f t="shared" si="2"/>
        <v>52479</v>
      </c>
    </row>
    <row r="37" spans="1:5" ht="15" customHeight="1" x14ac:dyDescent="0.25">
      <c r="A37" t="s">
        <v>532</v>
      </c>
      <c r="B37" s="6">
        <v>255</v>
      </c>
      <c r="C37" s="6">
        <v>204</v>
      </c>
      <c r="D37" s="6">
        <v>102</v>
      </c>
      <c r="E37">
        <f t="shared" si="2"/>
        <v>6737151</v>
      </c>
    </row>
    <row r="38" spans="1:5" ht="15" customHeight="1" x14ac:dyDescent="0.25">
      <c r="A38" t="s">
        <v>533</v>
      </c>
      <c r="B38" s="6">
        <v>51</v>
      </c>
      <c r="C38" s="6">
        <v>51</v>
      </c>
      <c r="D38" s="6">
        <v>0</v>
      </c>
      <c r="E38">
        <f t="shared" si="2"/>
        <v>13107</v>
      </c>
    </row>
    <row r="39" spans="1:5" ht="15" customHeight="1" x14ac:dyDescent="0.25">
      <c r="A39" t="s">
        <v>534</v>
      </c>
      <c r="B39" s="6">
        <v>204</v>
      </c>
      <c r="C39" s="6">
        <v>204</v>
      </c>
      <c r="D39" s="6">
        <v>0</v>
      </c>
      <c r="E39">
        <f t="shared" si="2"/>
        <v>52428</v>
      </c>
    </row>
    <row r="40" spans="1:5" ht="15" customHeight="1" x14ac:dyDescent="0.25">
      <c r="A40" t="s">
        <v>523</v>
      </c>
      <c r="B40" s="6">
        <v>153</v>
      </c>
      <c r="C40" s="6">
        <v>204</v>
      </c>
      <c r="D40" s="6">
        <v>0</v>
      </c>
      <c r="E40">
        <f t="shared" si="2"/>
        <v>52377</v>
      </c>
    </row>
    <row r="41" spans="1:5" ht="15" customHeight="1" x14ac:dyDescent="0.25">
      <c r="A41" t="s">
        <v>460</v>
      </c>
      <c r="B41" s="6">
        <v>255</v>
      </c>
      <c r="C41" s="6">
        <v>255</v>
      </c>
      <c r="D41" s="6">
        <v>0</v>
      </c>
      <c r="E41">
        <f t="shared" si="2"/>
        <v>65535</v>
      </c>
    </row>
    <row r="42" spans="1:5" ht="15" customHeight="1" x14ac:dyDescent="0.25">
      <c r="A42" t="s">
        <v>535</v>
      </c>
      <c r="B42" s="6">
        <v>255</v>
      </c>
      <c r="C42" s="6">
        <v>255</v>
      </c>
      <c r="D42" s="6">
        <v>153</v>
      </c>
      <c r="E42">
        <f t="shared" si="2"/>
        <v>10092543</v>
      </c>
    </row>
    <row r="43" spans="1:5" ht="15" customHeight="1" x14ac:dyDescent="0.25">
      <c r="A43" t="s">
        <v>536</v>
      </c>
      <c r="B43" s="6">
        <v>0</v>
      </c>
      <c r="C43" s="6">
        <v>104</v>
      </c>
      <c r="D43" s="6">
        <v>0</v>
      </c>
      <c r="E43">
        <f t="shared" si="2"/>
        <v>26624</v>
      </c>
    </row>
    <row r="44" spans="1:5" ht="15" customHeight="1" x14ac:dyDescent="0.25">
      <c r="A44" t="s">
        <v>537</v>
      </c>
      <c r="B44" s="6">
        <v>0</v>
      </c>
      <c r="C44" s="6">
        <v>128</v>
      </c>
      <c r="D44" s="6">
        <v>0</v>
      </c>
      <c r="E44">
        <f t="shared" si="2"/>
        <v>32768</v>
      </c>
    </row>
    <row r="45" spans="1:5" ht="15" customHeight="1" x14ac:dyDescent="0.25">
      <c r="A45" t="s">
        <v>538</v>
      </c>
      <c r="B45" s="6">
        <v>51</v>
      </c>
      <c r="C45" s="6">
        <v>153</v>
      </c>
      <c r="D45" s="6">
        <v>102</v>
      </c>
      <c r="E45">
        <f t="shared" si="2"/>
        <v>6723891</v>
      </c>
    </row>
    <row r="46" spans="1:5" ht="15" customHeight="1" x14ac:dyDescent="0.25">
      <c r="A46" t="s">
        <v>539</v>
      </c>
      <c r="B46" s="6">
        <v>0</v>
      </c>
      <c r="C46" s="6">
        <v>255</v>
      </c>
      <c r="D46" s="6">
        <v>0</v>
      </c>
      <c r="E46">
        <f t="shared" si="2"/>
        <v>65280</v>
      </c>
    </row>
    <row r="47" spans="1:5" ht="15" customHeight="1" x14ac:dyDescent="0.25">
      <c r="A47" t="s">
        <v>540</v>
      </c>
      <c r="B47" s="6">
        <v>204</v>
      </c>
      <c r="C47" s="6">
        <v>255</v>
      </c>
      <c r="D47" s="6">
        <v>204</v>
      </c>
      <c r="E47">
        <f t="shared" si="2"/>
        <v>13434828</v>
      </c>
    </row>
    <row r="48" spans="1:5" ht="15" customHeight="1" x14ac:dyDescent="0.25">
      <c r="A48" t="s">
        <v>541</v>
      </c>
      <c r="B48" s="6">
        <v>0</v>
      </c>
      <c r="C48" s="6">
        <v>128</v>
      </c>
      <c r="D48" s="6">
        <v>128</v>
      </c>
      <c r="E48">
        <f t="shared" si="2"/>
        <v>8421376</v>
      </c>
    </row>
    <row r="49" spans="1:5" ht="15" customHeight="1" x14ac:dyDescent="0.25">
      <c r="A49" t="s">
        <v>542</v>
      </c>
      <c r="B49" s="6">
        <v>51</v>
      </c>
      <c r="C49" s="6">
        <v>204</v>
      </c>
      <c r="D49" s="6">
        <v>204</v>
      </c>
      <c r="E49">
        <f t="shared" si="2"/>
        <v>13421619</v>
      </c>
    </row>
    <row r="50" spans="1:5" ht="15" customHeight="1" x14ac:dyDescent="0.25">
      <c r="A50" t="s">
        <v>543</v>
      </c>
      <c r="B50" s="6">
        <v>0</v>
      </c>
      <c r="C50" s="6">
        <v>255</v>
      </c>
      <c r="D50" s="6">
        <v>255</v>
      </c>
      <c r="E50">
        <f t="shared" si="2"/>
        <v>16776960</v>
      </c>
    </row>
    <row r="51" spans="1:5" ht="15" customHeight="1" x14ac:dyDescent="0.25">
      <c r="A51" t="s">
        <v>544</v>
      </c>
      <c r="B51" s="6">
        <v>153</v>
      </c>
      <c r="C51" s="6">
        <v>255</v>
      </c>
      <c r="D51" s="6">
        <v>255</v>
      </c>
      <c r="E51">
        <f t="shared" si="2"/>
        <v>16777113</v>
      </c>
    </row>
    <row r="52" spans="1:5" ht="15" customHeight="1" x14ac:dyDescent="0.25">
      <c r="A52" t="s">
        <v>545</v>
      </c>
      <c r="B52" s="6">
        <v>0</v>
      </c>
      <c r="C52" s="6">
        <v>0</v>
      </c>
      <c r="D52" s="6">
        <v>128</v>
      </c>
      <c r="E52">
        <f t="shared" si="2"/>
        <v>8388608</v>
      </c>
    </row>
    <row r="53" spans="1:5" ht="15" customHeight="1" x14ac:dyDescent="0.25">
      <c r="A53" t="s">
        <v>546</v>
      </c>
      <c r="B53" s="6">
        <v>0</v>
      </c>
      <c r="C53" s="6">
        <v>0</v>
      </c>
      <c r="D53" s="6">
        <v>255</v>
      </c>
      <c r="E53">
        <f t="shared" si="2"/>
        <v>16711680</v>
      </c>
    </row>
    <row r="54" spans="1:5" ht="15" customHeight="1" x14ac:dyDescent="0.25">
      <c r="A54" t="s">
        <v>547</v>
      </c>
      <c r="B54" s="6">
        <v>51</v>
      </c>
      <c r="C54" s="6">
        <v>102</v>
      </c>
      <c r="D54" s="6">
        <v>255</v>
      </c>
      <c r="E54">
        <f t="shared" si="2"/>
        <v>16737843</v>
      </c>
    </row>
    <row r="55" spans="1:5" ht="15" customHeight="1" x14ac:dyDescent="0.25">
      <c r="A55" t="s">
        <v>548</v>
      </c>
      <c r="B55" s="6">
        <v>0</v>
      </c>
      <c r="C55" s="6">
        <v>204</v>
      </c>
      <c r="D55" s="6">
        <v>255</v>
      </c>
      <c r="E55">
        <f t="shared" si="2"/>
        <v>16763904</v>
      </c>
    </row>
    <row r="56" spans="1:5" ht="15" customHeight="1" x14ac:dyDescent="0.25">
      <c r="A56" t="s">
        <v>522</v>
      </c>
      <c r="B56" s="6">
        <v>153</v>
      </c>
      <c r="C56" s="6">
        <v>204</v>
      </c>
      <c r="D56" s="6">
        <v>255</v>
      </c>
      <c r="E56">
        <f t="shared" si="2"/>
        <v>16764057</v>
      </c>
    </row>
    <row r="57" spans="1:5" ht="15" customHeight="1" x14ac:dyDescent="0.25">
      <c r="A57" t="s">
        <v>549</v>
      </c>
      <c r="B57" s="6">
        <v>51</v>
      </c>
      <c r="C57" s="6">
        <v>51</v>
      </c>
      <c r="D57" s="6">
        <v>153</v>
      </c>
      <c r="E57">
        <f t="shared" si="2"/>
        <v>10040115</v>
      </c>
    </row>
    <row r="58" spans="1:5" ht="15" customHeight="1" x14ac:dyDescent="0.25">
      <c r="A58" t="s">
        <v>550</v>
      </c>
      <c r="B58" s="6">
        <v>102</v>
      </c>
      <c r="C58" s="6">
        <v>102</v>
      </c>
      <c r="D58" s="6">
        <v>153</v>
      </c>
      <c r="E58">
        <f t="shared" si="2"/>
        <v>10053222</v>
      </c>
    </row>
    <row r="59" spans="1:5" ht="15" customHeight="1" x14ac:dyDescent="0.25">
      <c r="A59" t="s">
        <v>551</v>
      </c>
      <c r="B59" s="6">
        <v>128</v>
      </c>
      <c r="C59" s="6">
        <v>0</v>
      </c>
      <c r="D59" s="6">
        <v>128</v>
      </c>
      <c r="E59">
        <f t="shared" si="2"/>
        <v>8388736</v>
      </c>
    </row>
    <row r="60" spans="1:5" ht="15" customHeight="1" x14ac:dyDescent="0.25">
      <c r="A60" t="s">
        <v>552</v>
      </c>
      <c r="B60" s="6">
        <v>153</v>
      </c>
      <c r="C60" s="6">
        <v>51</v>
      </c>
      <c r="D60" s="6">
        <v>102</v>
      </c>
      <c r="E60">
        <f t="shared" si="2"/>
        <v>6697881</v>
      </c>
    </row>
    <row r="61" spans="1:5" ht="15" customHeight="1" x14ac:dyDescent="0.25">
      <c r="A61" t="s">
        <v>553</v>
      </c>
      <c r="B61" s="6">
        <v>204</v>
      </c>
      <c r="C61" s="6">
        <v>153</v>
      </c>
      <c r="D61" s="6">
        <v>255</v>
      </c>
      <c r="E61">
        <f t="shared" si="2"/>
        <v>16751052</v>
      </c>
    </row>
    <row r="62" spans="1:5" ht="15" customHeight="1" x14ac:dyDescent="0.25">
      <c r="A62" t="s">
        <v>554</v>
      </c>
      <c r="B62" s="6">
        <v>51</v>
      </c>
      <c r="C62" s="6">
        <v>51</v>
      </c>
      <c r="D62" s="6">
        <v>51</v>
      </c>
      <c r="E62">
        <f t="shared" si="2"/>
        <v>3355443</v>
      </c>
    </row>
    <row r="63" spans="1:5" ht="15" customHeight="1" x14ac:dyDescent="0.25">
      <c r="A63" t="s">
        <v>555</v>
      </c>
      <c r="B63" s="6">
        <v>102</v>
      </c>
      <c r="C63" s="6">
        <v>102</v>
      </c>
      <c r="D63" s="6">
        <v>102</v>
      </c>
      <c r="E63">
        <f t="shared" si="2"/>
        <v>6710886</v>
      </c>
    </row>
    <row r="64" spans="1:5" ht="15" customHeight="1" x14ac:dyDescent="0.25">
      <c r="A64" t="s">
        <v>458</v>
      </c>
      <c r="B64" s="6">
        <v>153</v>
      </c>
      <c r="C64" s="6">
        <v>153</v>
      </c>
      <c r="D64" s="6">
        <v>153</v>
      </c>
      <c r="E64">
        <f t="shared" si="2"/>
        <v>10066329</v>
      </c>
    </row>
    <row r="65" spans="1:5" ht="15" customHeight="1" x14ac:dyDescent="0.25">
      <c r="A65" t="s">
        <v>456</v>
      </c>
      <c r="B65" s="6">
        <v>204</v>
      </c>
      <c r="C65" s="6">
        <v>204</v>
      </c>
      <c r="D65" s="6">
        <v>204</v>
      </c>
      <c r="E65">
        <f t="shared" si="2"/>
        <v>13421772</v>
      </c>
    </row>
    <row r="66" spans="1:5" ht="15" customHeight="1" x14ac:dyDescent="0.25">
      <c r="A66" t="s">
        <v>524</v>
      </c>
      <c r="B66" s="6">
        <v>255</v>
      </c>
      <c r="C66" s="6">
        <v>255</v>
      </c>
      <c r="D66" s="6">
        <v>255</v>
      </c>
      <c r="E66">
        <f t="shared" si="2"/>
        <v>16777215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S11"/>
  <sheetViews>
    <sheetView zoomScale="85" zoomScaleNormal="85" workbookViewId="0">
      <selection activeCell="D24" sqref="D24"/>
    </sheetView>
  </sheetViews>
  <sheetFormatPr defaultRowHeight="13.2" x14ac:dyDescent="0.25"/>
  <cols>
    <col min="3" max="3" width="13.44140625" bestFit="1" customWidth="1"/>
    <col min="4" max="4" width="28.5546875" style="1" bestFit="1" customWidth="1"/>
    <col min="5" max="5" width="9.5546875" bestFit="1" customWidth="1"/>
    <col min="19" max="19" width="13.109375" bestFit="1" customWidth="1"/>
  </cols>
  <sheetData>
    <row r="1" spans="1:19" x14ac:dyDescent="0.25">
      <c r="A1" t="s">
        <v>516</v>
      </c>
      <c r="B1" t="s">
        <v>517</v>
      </c>
      <c r="C1" t="s">
        <v>518</v>
      </c>
    </row>
    <row r="2" spans="1:19" x14ac:dyDescent="0.25">
      <c r="B2" s="14"/>
      <c r="C2" s="14"/>
      <c r="D2" s="20" t="s">
        <v>500</v>
      </c>
      <c r="E2" s="18" t="s">
        <v>24</v>
      </c>
      <c r="F2" s="18" t="s">
        <v>501</v>
      </c>
      <c r="G2" s="18" t="s">
        <v>38</v>
      </c>
      <c r="H2" s="18" t="s">
        <v>502</v>
      </c>
      <c r="I2" s="18" t="s">
        <v>503</v>
      </c>
      <c r="J2" s="14"/>
      <c r="K2" s="14"/>
      <c r="L2" s="14"/>
      <c r="M2" s="14"/>
      <c r="N2" s="14"/>
      <c r="O2" s="14"/>
      <c r="P2" s="19"/>
      <c r="Q2" s="14"/>
      <c r="R2" s="14"/>
      <c r="S2" s="14"/>
    </row>
    <row r="3" spans="1:19" x14ac:dyDescent="0.25">
      <c r="B3" s="14" t="s">
        <v>504</v>
      </c>
      <c r="C3" s="14" t="s">
        <v>505</v>
      </c>
      <c r="D3" s="14" t="s">
        <v>506</v>
      </c>
      <c r="E3" s="14" t="s">
        <v>507</v>
      </c>
      <c r="F3" s="19"/>
      <c r="G3" s="14">
        <v>1</v>
      </c>
      <c r="H3" s="14">
        <v>1</v>
      </c>
      <c r="I3" s="14">
        <v>4</v>
      </c>
      <c r="J3" s="14"/>
      <c r="K3" s="14"/>
      <c r="L3" s="14"/>
      <c r="M3" s="14"/>
      <c r="N3" s="14"/>
      <c r="O3" s="14"/>
      <c r="P3" s="19"/>
      <c r="Q3" s="14"/>
      <c r="R3" s="14"/>
      <c r="S3" s="14"/>
    </row>
    <row r="4" spans="1:19" x14ac:dyDescent="0.25">
      <c r="B4" s="14"/>
      <c r="C4" s="14"/>
      <c r="D4" s="20" t="s">
        <v>500</v>
      </c>
      <c r="E4" s="18" t="s">
        <v>24</v>
      </c>
      <c r="F4" s="18" t="s">
        <v>38</v>
      </c>
      <c r="G4" s="18" t="s">
        <v>503</v>
      </c>
      <c r="H4" s="14"/>
      <c r="I4" s="14"/>
      <c r="J4" s="14"/>
      <c r="K4" s="14"/>
      <c r="L4" s="14"/>
      <c r="M4" s="14"/>
      <c r="N4" s="14"/>
      <c r="O4" s="14"/>
      <c r="P4" s="19"/>
      <c r="Q4" s="14"/>
      <c r="R4" s="14"/>
      <c r="S4" s="14"/>
    </row>
    <row r="5" spans="1:19" x14ac:dyDescent="0.25">
      <c r="B5" s="14" t="s">
        <v>508</v>
      </c>
      <c r="C5" s="14" t="s">
        <v>556</v>
      </c>
      <c r="D5" s="14" t="s">
        <v>506</v>
      </c>
      <c r="E5" s="14" t="s">
        <v>509</v>
      </c>
      <c r="F5" s="14">
        <v>0</v>
      </c>
      <c r="G5" s="14" t="s">
        <v>520</v>
      </c>
      <c r="H5" s="14" t="s">
        <v>515</v>
      </c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B6" s="14"/>
      <c r="C6" s="14"/>
      <c r="D6" s="20" t="s">
        <v>24</v>
      </c>
      <c r="E6" s="20" t="s">
        <v>510</v>
      </c>
      <c r="F6" s="20" t="s">
        <v>511</v>
      </c>
      <c r="G6" s="20" t="s">
        <v>455</v>
      </c>
      <c r="H6" s="20" t="s">
        <v>512</v>
      </c>
      <c r="I6" s="20" t="s">
        <v>513</v>
      </c>
      <c r="J6" s="20" t="s">
        <v>38</v>
      </c>
      <c r="K6" s="20" t="s">
        <v>502</v>
      </c>
      <c r="L6" s="20" t="s">
        <v>503</v>
      </c>
      <c r="M6" s="20" t="s">
        <v>514</v>
      </c>
      <c r="N6" s="20" t="s">
        <v>38</v>
      </c>
      <c r="O6" s="20" t="s">
        <v>502</v>
      </c>
      <c r="P6" s="20" t="s">
        <v>503</v>
      </c>
      <c r="Q6" s="14"/>
      <c r="R6" s="14"/>
      <c r="S6" s="14"/>
    </row>
    <row r="8" spans="1:19" x14ac:dyDescent="0.25">
      <c r="A8" s="22" t="s">
        <v>624</v>
      </c>
      <c r="B8" s="22" t="s">
        <v>625</v>
      </c>
      <c r="C8" s="22" t="s">
        <v>624</v>
      </c>
      <c r="D8" s="1" t="str">
        <f>G8&amp;"["&amp;I8&amp;"/"&amp;J8&amp;"]"</f>
        <v>2 VC[black/greenyellow]</v>
      </c>
      <c r="E8" t="str">
        <f>H8&amp;"["&amp;I8&amp;"/"&amp;J8&amp;"]"</f>
        <v>1 VC[black/greenyellow]</v>
      </c>
      <c r="G8" s="24" t="s">
        <v>633</v>
      </c>
      <c r="H8" t="s">
        <v>634</v>
      </c>
      <c r="I8" s="25" t="s">
        <v>286</v>
      </c>
      <c r="J8" s="25" t="s">
        <v>631</v>
      </c>
    </row>
    <row r="9" spans="1:19" x14ac:dyDescent="0.25">
      <c r="A9" s="22" t="s">
        <v>624</v>
      </c>
      <c r="B9" s="22" t="s">
        <v>625</v>
      </c>
      <c r="C9" s="22" t="s">
        <v>624</v>
      </c>
      <c r="D9" s="1" t="str">
        <f>G9&amp;"["&amp;I9&amp;"/"&amp;J9&amp;"]"</f>
        <v>ELIM[black/olivedrab]</v>
      </c>
      <c r="E9" t="str">
        <f>D9</f>
        <v>ELIM[black/olivedrab]</v>
      </c>
      <c r="G9" s="24" t="s">
        <v>635</v>
      </c>
      <c r="I9" s="25" t="s">
        <v>286</v>
      </c>
      <c r="J9" s="25" t="s">
        <v>632</v>
      </c>
    </row>
    <row r="10" spans="1:19" x14ac:dyDescent="0.25">
      <c r="A10" s="22" t="s">
        <v>624</v>
      </c>
      <c r="B10" s="22" t="s">
        <v>625</v>
      </c>
      <c r="C10" s="22" t="s">
        <v>624</v>
      </c>
      <c r="D10" s="1" t="str">
        <f t="shared" ref="D10:D11" si="0">G10&amp;"["&amp;I10&amp;"/"&amp;J10&amp;"]"</f>
        <v>HOLD[black/olivedrab]</v>
      </c>
      <c r="E10" t="str">
        <f>D10</f>
        <v>HOLD[black/olivedrab]</v>
      </c>
      <c r="G10" s="24" t="s">
        <v>637</v>
      </c>
      <c r="I10" s="25" t="s">
        <v>286</v>
      </c>
      <c r="J10" s="25" t="s">
        <v>632</v>
      </c>
    </row>
    <row r="11" spans="1:19" x14ac:dyDescent="0.25">
      <c r="A11" s="22" t="s">
        <v>624</v>
      </c>
      <c r="B11" s="22" t="s">
        <v>625</v>
      </c>
      <c r="C11" s="22" t="s">
        <v>624</v>
      </c>
      <c r="D11" s="1" t="str">
        <f t="shared" si="0"/>
        <v>Support[black/olivedrab]</v>
      </c>
      <c r="E11" t="str">
        <f>D11</f>
        <v>Support[black/olivedrab]</v>
      </c>
      <c r="G11" s="24" t="s">
        <v>636</v>
      </c>
      <c r="I11" s="23" t="s">
        <v>286</v>
      </c>
      <c r="J11" s="25" t="s">
        <v>632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10</xdr:col>
                    <xdr:colOff>579120</xdr:colOff>
                    <xdr:row>0</xdr:row>
                    <xdr:rowOff>68580</xdr:rowOff>
                  </from>
                  <to>
                    <xdr:col>13</xdr:col>
                    <xdr:colOff>411480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tabSelected="1" workbookViewId="0"/>
  </sheetViews>
  <sheetFormatPr defaultColWidth="60.88671875" defaultRowHeight="13.2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To do</vt:lpstr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Vietnam</vt:lpstr>
      <vt:lpstr>Sheet14</vt:lpstr>
      <vt:lpstr>Sheet15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2020-06-18T14:05:42Z</cp:lastPrinted>
  <dcterms:created xsi:type="dcterms:W3CDTF">2020-03-03T11:19:15Z</dcterms:created>
  <dcterms:modified xsi:type="dcterms:W3CDTF">2020-07-10T14:29:47Z</dcterms:modified>
</cp:coreProperties>
</file>