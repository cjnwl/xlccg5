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8" activeTab="13"/>
  </bookViews>
  <sheets>
    <sheet name="To do" sheetId="407" r:id="rId1"/>
    <sheet name="Parameters" sheetId="430" r:id="rId2"/>
    <sheet name="Sizes" sheetId="31" r:id="rId3"/>
    <sheet name="Templates" sheetId="34" r:id="rId4"/>
    <sheet name="Elements" sheetId="32" r:id="rId5"/>
    <sheet name="Schemes" sheetId="36" r:id="rId6"/>
    <sheet name="ElementColours" sheetId="35" r:id="rId7"/>
    <sheet name="Gradients" sheetId="426" state="hidden" r:id="rId8"/>
    <sheet name="SysColours" sheetId="465" r:id="rId9"/>
    <sheet name="UserColours" sheetId="622" r:id="rId10"/>
    <sheet name="Molins" sheetId="733" r:id="rId11"/>
    <sheet name="Sheet3" sheetId="817" r:id="rId12"/>
    <sheet name="Sheet4" sheetId="818" r:id="rId13"/>
    <sheet name="Sheet5" sheetId="819" r:id="rId14"/>
  </sheets>
  <functionGroups builtInGroupCount="17"/>
  <definedNames>
    <definedName name="_xlnm._FilterDatabase" localSheetId="4" hidden="1">Elements!$A$1:$U$53</definedName>
    <definedName name="bordercolour">Parameters!$B$6</definedName>
    <definedName name="commonfolder">Parameters!$B$5</definedName>
    <definedName name="doublesided">Parameters!$B$7</definedName>
    <definedName name="imagefolder">Parameters!$B$4</definedName>
    <definedName name="margin">Parameters!$B$2</definedName>
    <definedName name="sprueheight">Parameters!$B$3</definedName>
  </definedNames>
  <calcPr calcId="145621"/>
</workbook>
</file>

<file path=xl/calcChain.xml><?xml version="1.0" encoding="utf-8"?>
<calcChain xmlns="http://schemas.openxmlformats.org/spreadsheetml/2006/main">
  <c r="T135" i="733" l="1"/>
  <c r="O135" i="733"/>
  <c r="D135" i="733"/>
  <c r="E134" i="733"/>
  <c r="D157" i="733" l="1"/>
  <c r="D156" i="733"/>
  <c r="T130" i="733"/>
  <c r="D130" i="733" s="1"/>
  <c r="P130" i="733"/>
  <c r="O130" i="733"/>
  <c r="D160" i="733" l="1"/>
  <c r="D162" i="733"/>
  <c r="D163" i="733"/>
  <c r="D164" i="733"/>
  <c r="D165" i="733"/>
  <c r="D166" i="733"/>
  <c r="D167" i="733"/>
  <c r="D168" i="733"/>
  <c r="D169" i="733"/>
  <c r="D161" i="733"/>
  <c r="D155" i="733" l="1"/>
  <c r="D154" i="733"/>
  <c r="D63" i="733"/>
  <c r="D64" i="733"/>
  <c r="D65" i="733"/>
  <c r="D66" i="733"/>
  <c r="D67" i="733"/>
  <c r="D68" i="733"/>
  <c r="D69" i="733"/>
  <c r="D70" i="733"/>
  <c r="D62" i="733"/>
  <c r="E75" i="733"/>
  <c r="D206" i="733" l="1"/>
  <c r="D207" i="733"/>
  <c r="D208" i="733"/>
  <c r="D209" i="733"/>
  <c r="D210" i="733"/>
  <c r="D211" i="733"/>
  <c r="D212" i="733"/>
  <c r="D213" i="733"/>
  <c r="D214" i="733"/>
  <c r="D215" i="733"/>
  <c r="D205" i="733"/>
  <c r="E201" i="465"/>
  <c r="E202" i="465"/>
  <c r="E203" i="465"/>
  <c r="E204" i="465"/>
  <c r="E205" i="465"/>
  <c r="E206" i="465"/>
  <c r="E207" i="465"/>
  <c r="E208" i="465"/>
  <c r="E209" i="465"/>
  <c r="E210" i="465"/>
  <c r="E200" i="465"/>
  <c r="D204" i="733"/>
  <c r="D203" i="733"/>
  <c r="E199" i="465"/>
  <c r="E198" i="465"/>
  <c r="D191" i="733"/>
  <c r="D192" i="733"/>
  <c r="D193" i="733"/>
  <c r="D194" i="733"/>
  <c r="D195" i="733"/>
  <c r="D196" i="733"/>
  <c r="D197" i="733"/>
  <c r="D198" i="733"/>
  <c r="D199" i="733"/>
  <c r="D200" i="733"/>
  <c r="D201" i="733"/>
  <c r="D202" i="733"/>
  <c r="D190" i="733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P57" i="733" l="1"/>
  <c r="O57" i="733"/>
  <c r="N57" i="733"/>
  <c r="P56" i="733"/>
  <c r="O56" i="733"/>
  <c r="N56" i="733"/>
  <c r="P55" i="733"/>
  <c r="O55" i="733"/>
  <c r="P54" i="733"/>
  <c r="O54" i="733"/>
  <c r="P53" i="733"/>
  <c r="O53" i="733"/>
  <c r="P52" i="733"/>
  <c r="O52" i="733"/>
  <c r="N52" i="733"/>
  <c r="P51" i="733"/>
  <c r="O51" i="733"/>
  <c r="N51" i="733"/>
  <c r="P50" i="733"/>
  <c r="O50" i="733"/>
  <c r="N50" i="733"/>
  <c r="P49" i="733"/>
  <c r="O49" i="733"/>
  <c r="N49" i="733"/>
  <c r="P48" i="733"/>
  <c r="O48" i="733"/>
  <c r="N48" i="733"/>
  <c r="P46" i="733"/>
  <c r="O46" i="733"/>
  <c r="P45" i="733"/>
  <c r="O45" i="733"/>
  <c r="N45" i="733"/>
  <c r="P44" i="733"/>
  <c r="O44" i="733"/>
  <c r="N44" i="733"/>
  <c r="P43" i="733"/>
  <c r="O43" i="733"/>
  <c r="N43" i="733"/>
  <c r="P41" i="733"/>
  <c r="O41" i="733"/>
  <c r="P40" i="733"/>
  <c r="O40" i="733"/>
  <c r="N40" i="733"/>
  <c r="P39" i="733"/>
  <c r="O39" i="733"/>
  <c r="N39" i="733"/>
  <c r="P38" i="733"/>
  <c r="O38" i="733"/>
  <c r="N38" i="733"/>
  <c r="P36" i="733"/>
  <c r="O36" i="733"/>
  <c r="P35" i="733"/>
  <c r="O35" i="733"/>
  <c r="N35" i="733"/>
  <c r="P34" i="733"/>
  <c r="O34" i="733"/>
  <c r="N34" i="733"/>
  <c r="P33" i="733"/>
  <c r="O33" i="733"/>
  <c r="N33" i="733"/>
  <c r="P31" i="733"/>
  <c r="O31" i="733"/>
  <c r="P30" i="733"/>
  <c r="O30" i="733"/>
  <c r="N30" i="733"/>
  <c r="P29" i="733"/>
  <c r="O29" i="733"/>
  <c r="N29" i="733"/>
  <c r="P28" i="733"/>
  <c r="O28" i="733"/>
  <c r="N28" i="733"/>
  <c r="P26" i="733"/>
  <c r="O26" i="733"/>
  <c r="P25" i="733"/>
  <c r="O25" i="733"/>
  <c r="N25" i="733"/>
  <c r="P24" i="733"/>
  <c r="O24" i="733"/>
  <c r="N24" i="733"/>
  <c r="P23" i="733"/>
  <c r="O23" i="733"/>
  <c r="N23" i="733"/>
  <c r="P21" i="733"/>
  <c r="O21" i="733"/>
  <c r="P20" i="733"/>
  <c r="O20" i="733"/>
  <c r="N20" i="733"/>
  <c r="P19" i="733"/>
  <c r="O19" i="733"/>
  <c r="N19" i="733"/>
  <c r="P18" i="733"/>
  <c r="O18" i="733"/>
  <c r="N18" i="733"/>
  <c r="P16" i="733"/>
  <c r="O16" i="733"/>
  <c r="P15" i="733"/>
  <c r="O15" i="733"/>
  <c r="N15" i="733"/>
  <c r="P14" i="733"/>
  <c r="O14" i="733"/>
  <c r="N14" i="733"/>
  <c r="P13" i="733"/>
  <c r="O13" i="733"/>
  <c r="N13" i="733"/>
  <c r="P11" i="733"/>
  <c r="O11" i="733"/>
  <c r="P10" i="733"/>
  <c r="O10" i="733"/>
  <c r="N10" i="733"/>
  <c r="P9" i="733"/>
  <c r="O9" i="733"/>
  <c r="N9" i="733"/>
  <c r="T82" i="733" l="1"/>
  <c r="T115" i="733"/>
  <c r="T110" i="733"/>
  <c r="T105" i="733"/>
  <c r="T99" i="733"/>
  <c r="T94" i="733"/>
  <c r="T88" i="733"/>
  <c r="P113" i="733"/>
  <c r="O113" i="733"/>
  <c r="P108" i="733"/>
  <c r="O108" i="733"/>
  <c r="P103" i="733"/>
  <c r="O103" i="733"/>
  <c r="P97" i="733"/>
  <c r="O97" i="733"/>
  <c r="P92" i="733"/>
  <c r="O92" i="733"/>
  <c r="P86" i="733"/>
  <c r="O86" i="733"/>
  <c r="P117" i="733"/>
  <c r="O117" i="733"/>
  <c r="N117" i="733"/>
  <c r="P115" i="733"/>
  <c r="O115" i="733"/>
  <c r="N115" i="733"/>
  <c r="P110" i="733"/>
  <c r="O110" i="733"/>
  <c r="N110" i="733"/>
  <c r="P105" i="733"/>
  <c r="O105" i="733"/>
  <c r="N105" i="733"/>
  <c r="P101" i="733"/>
  <c r="O101" i="733"/>
  <c r="N101" i="733"/>
  <c r="P99" i="733"/>
  <c r="O99" i="733"/>
  <c r="N99" i="733"/>
  <c r="P94" i="733"/>
  <c r="O94" i="733"/>
  <c r="N94" i="733"/>
  <c r="P90" i="733"/>
  <c r="O90" i="733"/>
  <c r="N90" i="733"/>
  <c r="P88" i="733"/>
  <c r="O88" i="733"/>
  <c r="N88" i="733"/>
  <c r="P84" i="733"/>
  <c r="O84" i="733"/>
  <c r="N84" i="733"/>
  <c r="P82" i="733"/>
  <c r="O82" i="733"/>
  <c r="N82" i="733"/>
  <c r="O80" i="733"/>
  <c r="P80" i="733"/>
  <c r="P78" i="733"/>
  <c r="O78" i="733"/>
  <c r="N78" i="733"/>
  <c r="P77" i="733"/>
  <c r="O77" i="733"/>
  <c r="N77" i="733"/>
  <c r="P131" i="733"/>
  <c r="O131" i="733"/>
  <c r="P129" i="733"/>
  <c r="O129" i="733"/>
  <c r="P128" i="733"/>
  <c r="O128" i="733"/>
  <c r="P127" i="733"/>
  <c r="O127" i="733"/>
  <c r="P126" i="733"/>
  <c r="O126" i="733"/>
  <c r="N126" i="733"/>
  <c r="P125" i="733"/>
  <c r="O125" i="733"/>
  <c r="N125" i="733"/>
  <c r="P123" i="733"/>
  <c r="O123" i="733"/>
  <c r="P122" i="733"/>
  <c r="O122" i="733"/>
  <c r="N122" i="733"/>
  <c r="P121" i="733"/>
  <c r="O121" i="733"/>
  <c r="N121" i="733"/>
  <c r="P119" i="733"/>
  <c r="O119" i="733"/>
  <c r="T76" i="733"/>
  <c r="P118" i="733"/>
  <c r="O118" i="733"/>
  <c r="N118" i="733"/>
  <c r="P116" i="733"/>
  <c r="O116" i="733"/>
  <c r="N116" i="733"/>
  <c r="P112" i="733"/>
  <c r="O112" i="733"/>
  <c r="N112" i="733"/>
  <c r="P111" i="733"/>
  <c r="O111" i="733"/>
  <c r="N111" i="733"/>
  <c r="P107" i="733"/>
  <c r="O107" i="733"/>
  <c r="N107" i="733"/>
  <c r="P106" i="733"/>
  <c r="O106" i="733"/>
  <c r="N106" i="733"/>
  <c r="P102" i="733"/>
  <c r="O102" i="733"/>
  <c r="N102" i="733"/>
  <c r="P100" i="733"/>
  <c r="O100" i="733"/>
  <c r="N100" i="733"/>
  <c r="P96" i="733"/>
  <c r="O96" i="733"/>
  <c r="N96" i="733"/>
  <c r="P95" i="733"/>
  <c r="O95" i="733"/>
  <c r="N95" i="733"/>
  <c r="P91" i="733"/>
  <c r="O91" i="733"/>
  <c r="N91" i="733"/>
  <c r="P89" i="733"/>
  <c r="O89" i="733"/>
  <c r="N89" i="733"/>
  <c r="P85" i="733"/>
  <c r="O85" i="733"/>
  <c r="N85" i="733"/>
  <c r="P83" i="733"/>
  <c r="O83" i="733"/>
  <c r="N83" i="733"/>
  <c r="P79" i="733"/>
  <c r="O79" i="733"/>
  <c r="N79" i="733"/>
  <c r="P76" i="733"/>
  <c r="O76" i="733"/>
  <c r="N76" i="733"/>
  <c r="E169" i="465"/>
  <c r="E170" i="465"/>
  <c r="E168" i="465"/>
  <c r="T77" i="733" l="1"/>
  <c r="T78" i="733"/>
  <c r="T80" i="733" s="1"/>
  <c r="D76" i="733"/>
  <c r="E47" i="733"/>
  <c r="E42" i="733"/>
  <c r="E8" i="733"/>
  <c r="E32" i="733"/>
  <c r="E27" i="733"/>
  <c r="E22" i="733"/>
  <c r="E17" i="733"/>
  <c r="E12" i="733"/>
  <c r="T18" i="733"/>
  <c r="T19" i="733" s="1"/>
  <c r="T20" i="733" s="1"/>
  <c r="T21" i="733" s="1"/>
  <c r="T13" i="733"/>
  <c r="D13" i="733" s="1"/>
  <c r="D78" i="733" l="1"/>
  <c r="T79" i="733"/>
  <c r="D79" i="733" s="1"/>
  <c r="D77" i="733"/>
  <c r="T83" i="733"/>
  <c r="E81" i="733"/>
  <c r="D18" i="733"/>
  <c r="D20" i="733"/>
  <c r="D19" i="733"/>
  <c r="D54" i="733"/>
  <c r="T14" i="733"/>
  <c r="J3" i="622"/>
  <c r="J4" i="622"/>
  <c r="J5" i="622"/>
  <c r="J6" i="622"/>
  <c r="J7" i="622"/>
  <c r="J8" i="622"/>
  <c r="J9" i="622"/>
  <c r="J10" i="622"/>
  <c r="J11" i="622"/>
  <c r="J12" i="622"/>
  <c r="I3" i="622"/>
  <c r="I4" i="622"/>
  <c r="I5" i="622"/>
  <c r="I6" i="622"/>
  <c r="I7" i="622"/>
  <c r="I8" i="622"/>
  <c r="I9" i="622"/>
  <c r="I10" i="622"/>
  <c r="I11" i="622"/>
  <c r="I12" i="622"/>
  <c r="I13" i="622"/>
  <c r="D80" i="733" l="1"/>
  <c r="T85" i="733"/>
  <c r="D83" i="733"/>
  <c r="T43" i="733"/>
  <c r="D14" i="733"/>
  <c r="T15" i="733"/>
  <c r="E66" i="622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  <c r="T90" i="733" l="1"/>
  <c r="D88" i="733"/>
  <c r="D82" i="733"/>
  <c r="T84" i="733"/>
  <c r="D85" i="733"/>
  <c r="T44" i="733"/>
  <c r="D43" i="733"/>
  <c r="T16" i="733"/>
  <c r="D16" i="733" s="1"/>
  <c r="D15" i="733"/>
  <c r="D84" i="733" l="1"/>
  <c r="T86" i="733"/>
  <c r="D86" i="733" s="1"/>
  <c r="D90" i="733"/>
  <c r="T92" i="733"/>
  <c r="D92" i="733" s="1"/>
  <c r="T89" i="733"/>
  <c r="E87" i="733"/>
  <c r="T45" i="733"/>
  <c r="D44" i="733"/>
  <c r="T91" i="733" l="1"/>
  <c r="D94" i="733" s="1"/>
  <c r="D89" i="733"/>
  <c r="T46" i="733"/>
  <c r="D45" i="733"/>
  <c r="D91" i="733" l="1"/>
  <c r="T48" i="733"/>
  <c r="D46" i="733"/>
  <c r="E93" i="733" l="1"/>
  <c r="T95" i="733"/>
  <c r="T97" i="733" s="1"/>
  <c r="D97" i="733" s="1"/>
  <c r="T49" i="733"/>
  <c r="D48" i="733"/>
  <c r="T96" i="733" l="1"/>
  <c r="D95" i="733"/>
  <c r="T50" i="733"/>
  <c r="D49" i="733"/>
  <c r="D99" i="733" l="1"/>
  <c r="T101" i="733"/>
  <c r="D96" i="733"/>
  <c r="T51" i="733"/>
  <c r="D50" i="733"/>
  <c r="D101" i="733" l="1"/>
  <c r="T103" i="733"/>
  <c r="D103" i="733" s="1"/>
  <c r="T100" i="733"/>
  <c r="E98" i="733"/>
  <c r="T52" i="733"/>
  <c r="D51" i="733"/>
  <c r="D100" i="733" l="1"/>
  <c r="T102" i="733"/>
  <c r="D105" i="733" s="1"/>
  <c r="T53" i="733"/>
  <c r="D52" i="733"/>
  <c r="D102" i="733" l="1"/>
  <c r="T55" i="733"/>
  <c r="D53" i="733"/>
  <c r="T23" i="733"/>
  <c r="D21" i="733"/>
  <c r="T106" i="733" l="1"/>
  <c r="T108" i="733" s="1"/>
  <c r="D108" i="733" s="1"/>
  <c r="E104" i="733"/>
  <c r="T24" i="733"/>
  <c r="D23" i="733"/>
  <c r="T56" i="733"/>
  <c r="D55" i="733"/>
  <c r="T107" i="733" l="1"/>
  <c r="D110" i="733" s="1"/>
  <c r="D106" i="733"/>
  <c r="T57" i="733"/>
  <c r="D57" i="733" s="1"/>
  <c r="D56" i="733"/>
  <c r="T25" i="733"/>
  <c r="D24" i="733"/>
  <c r="D107" i="733" l="1"/>
  <c r="T26" i="733"/>
  <c r="D25" i="733"/>
  <c r="T111" i="733" l="1"/>
  <c r="T113" i="733" s="1"/>
  <c r="D113" i="733" s="1"/>
  <c r="E109" i="733"/>
  <c r="T28" i="733"/>
  <c r="D26" i="733"/>
  <c r="T112" i="733" l="1"/>
  <c r="D111" i="733"/>
  <c r="T29" i="733"/>
  <c r="D28" i="733"/>
  <c r="D115" i="733" l="1"/>
  <c r="T117" i="733"/>
  <c r="D117" i="733" s="1"/>
  <c r="D112" i="733"/>
  <c r="T30" i="733"/>
  <c r="D29" i="733"/>
  <c r="E114" i="733" l="1"/>
  <c r="T116" i="733"/>
  <c r="T31" i="733"/>
  <c r="D30" i="733"/>
  <c r="T118" i="733" l="1"/>
  <c r="D116" i="733"/>
  <c r="T33" i="733"/>
  <c r="D31" i="733"/>
  <c r="T119" i="733" l="1"/>
  <c r="D118" i="733"/>
  <c r="T34" i="733"/>
  <c r="D33" i="733"/>
  <c r="D119" i="733" l="1"/>
  <c r="T35" i="733"/>
  <c r="D34" i="733"/>
  <c r="E120" i="733" l="1"/>
  <c r="T121" i="733"/>
  <c r="T36" i="733"/>
  <c r="D35" i="733"/>
  <c r="D121" i="733" l="1"/>
  <c r="T122" i="733"/>
  <c r="T123" i="733" s="1"/>
  <c r="D36" i="733"/>
  <c r="D122" i="733" l="1"/>
  <c r="T38" i="733"/>
  <c r="E37" i="733"/>
  <c r="D123" i="733" l="1"/>
  <c r="T39" i="733"/>
  <c r="D38" i="733"/>
  <c r="T125" i="733" l="1"/>
  <c r="E124" i="733"/>
  <c r="T40" i="733"/>
  <c r="D39" i="733"/>
  <c r="T126" i="733" l="1"/>
  <c r="D125" i="733"/>
  <c r="T41" i="733"/>
  <c r="D40" i="733"/>
  <c r="T127" i="733" l="1"/>
  <c r="D126" i="733"/>
  <c r="T9" i="733"/>
  <c r="D9" i="733" s="1"/>
  <c r="D41" i="733"/>
  <c r="D127" i="733" l="1"/>
  <c r="T10" i="733"/>
  <c r="T11" i="733" s="1"/>
  <c r="T129" i="733" l="1"/>
  <c r="D128" i="733"/>
  <c r="D11" i="733"/>
  <c r="D10" i="733"/>
  <c r="T131" i="733" l="1"/>
  <c r="D131" i="733" s="1"/>
  <c r="D129" i="733"/>
</calcChain>
</file>

<file path=xl/sharedStrings.xml><?xml version="1.0" encoding="utf-8"?>
<sst xmlns="http://schemas.openxmlformats.org/spreadsheetml/2006/main" count="2521" uniqueCount="857">
  <si>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</si>
  <si>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</si>
  <si>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</si>
  <si>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</si>
  <si>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</si>
  <si>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</si>
  <si>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</si>
  <si>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</si>
  <si>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</si>
  <si>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</si>
  <si>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</si>
  <si>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</si>
  <si>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</si>
  <si>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</si>
  <si>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</si>
  <si>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</si>
  <si>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</si>
  <si>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</si>
  <si>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</si>
  <si>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</si>
  <si>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</si>
  <si>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</si>
  <si>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</si>
  <si>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</si>
  <si>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</si>
  <si>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</si>
  <si>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</si>
  <si>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</si>
  <si>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</si>
  <si>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</si>
  <si>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</si>
  <si>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</si>
  <si>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</si>
  <si>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</si>
  <si>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</si>
  <si>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</si>
  <si>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</si>
  <si>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</si>
  <si>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</si>
  <si>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</si>
  <si>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</si>
  <si>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</si>
  <si>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</si>
  <si>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</si>
  <si>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</si>
  <si>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</si>
  <si>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</si>
  <si>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Different size units (LCU, SCU, etc)</t>
  </si>
  <si>
    <t>Different shapes (rectangle, circle, hexagon, etc)</t>
  </si>
  <si>
    <t>Output formats: - CounterSheet/DTP/ZunTsu - Individual/Vassal - GTL/Cyberboard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</si>
  <si>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</si>
  <si>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</si>
  <si>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</si>
  <si>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</si>
  <si>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</si>
  <si>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</si>
  <si>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</si>
  <si>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</si>
  <si>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</si>
  <si>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</si>
  <si>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</si>
  <si>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</si>
  <si>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</si>
  <si>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</si>
  <si>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</si>
  <si>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</si>
  <si>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</si>
  <si>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</si>
  <si>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</si>
  <si>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Different coloured elements (eg: dots)</t>
  </si>
  <si>
    <t>Italic</t>
  </si>
  <si>
    <t>3.3: italic</t>
  </si>
  <si>
    <t>3.3: dbseek to simplify rewrites</t>
  </si>
  <si>
    <t>shapes:</t>
  </si>
  <si>
    <t>- basic done</t>
  </si>
  <si>
    <t>- rotation</t>
  </si>
  <si>
    <t>- variable fill colour (if -1 then transparent)</t>
  </si>
  <si>
    <t>- shape params p1 &amp; p2 (determine limits)</t>
  </si>
  <si>
    <t>p1</t>
  </si>
  <si>
    <t>p2</t>
  </si>
  <si>
    <t>angle</t>
  </si>
  <si>
    <t>- line</t>
  </si>
  <si>
    <t>- flip horizontal &amp; vertical</t>
  </si>
  <si>
    <t>p1p2</t>
  </si>
  <si>
    <t>line</t>
  </si>
  <si>
    <t>sizes</t>
  </si>
  <si>
    <t>angled text</t>
  </si>
  <si>
    <t>flip</t>
  </si>
  <si>
    <t>move unit f &amp; b fill to schemes tab</t>
  </si>
  <si>
    <t>write help file</t>
  </si>
  <si>
    <t>pdl</t>
  </si>
  <si>
    <t>pcl</t>
  </si>
  <si>
    <t>hpcl</t>
  </si>
  <si>
    <t>svg</t>
  </si>
  <si>
    <t>png</t>
  </si>
  <si>
    <t>scheme designer</t>
  </si>
  <si>
    <t>Width</t>
  </si>
  <si>
    <t>Height</t>
  </si>
  <si>
    <t>n identical counters</t>
  </si>
  <si>
    <t>separate app from data (à la AC)  ====&gt; v.5</t>
  </si>
  <si>
    <t>standalone compiled app ====&gt; v.6</t>
  </si>
  <si>
    <t>v4 (change of major version as change of structure)</t>
  </si>
  <si>
    <t>rewrite code</t>
  </si>
  <si>
    <t>image subfolder</t>
  </si>
  <si>
    <t>Margin</t>
  </si>
  <si>
    <t>Sprue Height</t>
  </si>
  <si>
    <t>Image folder</t>
  </si>
  <si>
    <t>Parameter</t>
  </si>
  <si>
    <t>Value</t>
  </si>
  <si>
    <t>pb with single gridsize for shapes (squares, circles)</t>
  </si>
  <si>
    <t>sprues, number of rows per bloc (depends on size)</t>
  </si>
  <si>
    <t xml:space="preserve">  =&gt; hgridsize and vgridsize</t>
  </si>
  <si>
    <t>coordinates (text/shape/image and line)</t>
  </si>
  <si>
    <t>flip/rotate pictures</t>
  </si>
  <si>
    <t>hex values for colours</t>
  </si>
  <si>
    <t>true colours on colours tab</t>
  </si>
  <si>
    <t>HGridsize</t>
  </si>
  <si>
    <t>VGridsize</t>
  </si>
  <si>
    <t>autoit, basic, awk, convert…</t>
  </si>
  <si>
    <t>generate svg file</t>
  </si>
  <si>
    <t>Half inch</t>
  </si>
  <si>
    <t>Five eighths</t>
  </si>
  <si>
    <t>Three quarters</t>
  </si>
  <si>
    <t>One inch</t>
  </si>
  <si>
    <t>US card width</t>
  </si>
  <si>
    <t>US card height</t>
  </si>
  <si>
    <t>increment values on identical counters (/+)</t>
  </si>
  <si>
    <t>v4.1</t>
  </si>
  <si>
    <t>image</t>
  </si>
  <si>
    <t>double sided as option</t>
  </si>
  <si>
    <t>parameterize border colour</t>
  </si>
  <si>
    <t>check coordinates calculations</t>
  </si>
  <si>
    <t>x hides counter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</si>
  <si>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</si>
  <si>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</si>
  <si>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</si>
  <si>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</si>
  <si>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</si>
  <si>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</si>
  <si>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</si>
  <si>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</si>
  <si>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</si>
  <si>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Joker</t>
  </si>
  <si>
    <t>Ace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</si>
  <si>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</si>
  <si>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</si>
  <si>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</si>
  <si>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</si>
  <si>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</si>
  <si>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</si>
  <si>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</si>
  <si>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</si>
  <si>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</si>
  <si>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</si>
  <si>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</si>
  <si>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</si>
  <si>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</si>
  <si>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</si>
  <si>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</si>
  <si>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</si>
  <si>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</si>
  <si>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</si>
  <si>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</si>
  <si>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</si>
  <si>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</si>
  <si>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</si>
  <si>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</si>
  <si>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</si>
  <si>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</si>
  <si>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</si>
  <si>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</si>
  <si>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</si>
  <si>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</si>
  <si>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</si>
  <si>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</si>
  <si>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</si>
  <si>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</si>
  <si>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</si>
  <si>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</si>
  <si>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</si>
  <si>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</si>
  <si>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</si>
  <si>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</si>
  <si>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</si>
  <si>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</si>
  <si>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</si>
  <si>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</si>
  <si>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</si>
  <si>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</si>
  <si>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</si>
  <si>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</si>
  <si>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</si>
  <si>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</si>
  <si>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</si>
  <si>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</si>
  <si>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</si>
  <si>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</si>
  <si>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</si>
  <si>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</si>
  <si>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</si>
  <si>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</si>
  <si>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</si>
  <si>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</si>
  <si>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</si>
  <si>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</si>
  <si>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</si>
  <si>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</si>
  <si>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</si>
  <si>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</si>
  <si>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</si>
  <si>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</si>
  <si>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</si>
  <si>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</si>
  <si>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</si>
  <si>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</si>
  <si>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</si>
  <si>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</si>
  <si>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</si>
  <si>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</si>
  <si>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</si>
  <si>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</si>
  <si>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</si>
  <si>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</si>
  <si>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</si>
  <si>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</si>
  <si>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</si>
  <si>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</si>
  <si>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</si>
  <si>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</si>
  <si>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</si>
  <si>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</si>
  <si>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</si>
  <si>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</si>
  <si>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</si>
  <si>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</si>
  <si>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</si>
  <si>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</si>
  <si>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</si>
  <si>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</si>
  <si>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</si>
  <si>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</si>
  <si>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</si>
  <si>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</si>
  <si>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</si>
  <si>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</si>
  <si>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</si>
  <si>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</si>
  <si>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</si>
  <si>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</si>
  <si>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</si>
  <si>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</si>
  <si>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</si>
  <si>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</si>
  <si>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</si>
  <si>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</si>
  <si>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</si>
  <si>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</si>
  <si>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</si>
  <si>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</si>
  <si>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</si>
  <si>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</si>
  <si>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</si>
  <si>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</si>
  <si>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</si>
  <si>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</si>
  <si>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</si>
  <si>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</si>
  <si>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</si>
  <si>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</si>
  <si>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</si>
  <si>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</si>
  <si>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</si>
  <si>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</si>
  <si>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</si>
  <si>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</si>
  <si>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</si>
  <si>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</si>
  <si>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</si>
  <si>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</si>
  <si>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</si>
  <si>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don't move and resize with cells</t>
  </si>
  <si>
    <t xml:space="preserve">   if ++, till next value in field</t>
  </si>
  <si>
    <t>calculate column width and row height...</t>
  </si>
  <si>
    <t>red</t>
  </si>
  <si>
    <t>template designer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</si>
  <si>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</si>
  <si>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</si>
  <si>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</si>
  <si>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</si>
  <si>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</si>
  <si>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</si>
  <si>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</si>
  <si>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</si>
  <si>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</si>
  <si>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</si>
  <si>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</si>
  <si>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</si>
  <si>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</si>
  <si>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</si>
  <si>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</si>
  <si>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</si>
  <si>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</si>
  <si>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</si>
  <si>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</si>
  <si>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</si>
  <si>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</si>
  <si>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</si>
  <si>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</si>
  <si>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</si>
  <si>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</si>
  <si>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</si>
  <si>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</si>
  <si>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</si>
  <si>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</si>
  <si>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</si>
  <si>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</si>
  <si>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</si>
  <si>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</si>
  <si>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</si>
  <si>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</si>
  <si>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</si>
  <si>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</si>
  <si>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</si>
  <si>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</si>
  <si>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</si>
  <si>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</si>
  <si>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</si>
  <si>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</si>
  <si>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</si>
  <si>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</si>
  <si>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</si>
  <si>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</si>
  <si>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</si>
  <si>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</si>
  <si>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</si>
  <si>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</si>
  <si>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</si>
  <si>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</si>
  <si>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</si>
  <si>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</si>
  <si>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</si>
  <si>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</si>
  <si>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</si>
  <si>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</si>
  <si>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</si>
  <si>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</si>
  <si>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</si>
  <si>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</si>
  <si>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</si>
  <si>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</si>
  <si>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</si>
  <si>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</si>
  <si>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</si>
  <si>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</si>
  <si>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</si>
  <si>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</si>
  <si>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</si>
  <si>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</si>
  <si>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</si>
  <si>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</si>
  <si>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</si>
  <si>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</si>
  <si>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</si>
  <si>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</si>
  <si>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</si>
  <si>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</si>
  <si>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</si>
  <si>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</si>
  <si>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</si>
  <si>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</si>
  <si>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</si>
  <si>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</si>
  <si>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</si>
  <si>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</si>
  <si>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</si>
  <si>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</si>
  <si>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</si>
  <si>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</si>
  <si>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</si>
  <si>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</si>
  <si>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</si>
  <si>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</si>
  <si>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</si>
  <si>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</si>
  <si>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</si>
  <si>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</si>
  <si>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</si>
  <si>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</si>
  <si>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</si>
  <si>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</si>
  <si>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</si>
  <si>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</si>
  <si>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</si>
  <si>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</si>
  <si>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</si>
  <si>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</si>
  <si>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</si>
  <si>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</si>
  <si>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</si>
  <si>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</si>
  <si>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</si>
  <si>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</si>
  <si>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</si>
  <si>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</si>
  <si>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</si>
  <si>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</si>
  <si>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</si>
  <si>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</si>
  <si>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</si>
  <si>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</si>
  <si>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</si>
  <si>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</si>
  <si>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</si>
  <si>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</si>
  <si>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</si>
  <si>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</si>
  <si>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</si>
  <si>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</si>
  <si>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</si>
  <si>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</si>
  <si>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</si>
  <si>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</si>
  <si>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</si>
  <si>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</si>
  <si>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</si>
  <si>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</si>
  <si>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</si>
  <si>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</si>
  <si>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</si>
  <si>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</si>
  <si>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</si>
  <si>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</si>
  <si>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</si>
  <si>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</si>
  <si>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</si>
  <si>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</si>
  <si>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</si>
  <si>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</si>
  <si>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</si>
  <si>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</si>
  <si>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</si>
  <si>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</si>
  <si>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</si>
  <si>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</si>
  <si>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</si>
  <si>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</si>
  <si>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</si>
  <si>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</si>
  <si>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</si>
  <si>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</si>
  <si>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</si>
  <si>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</si>
  <si>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</si>
  <si>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</si>
  <si>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</si>
  <si>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</si>
  <si>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</si>
  <si>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</si>
  <si>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</si>
  <si>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</si>
  <si>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</si>
  <si>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</si>
  <si>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</si>
  <si>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</si>
  <si>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</si>
  <si>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</si>
  <si>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</si>
  <si>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</si>
  <si>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</si>
  <si>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</si>
  <si>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</si>
  <si>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</si>
  <si>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</si>
  <si>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</si>
  <si>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</si>
  <si>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</si>
  <si>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</si>
  <si>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</si>
  <si>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</si>
  <si>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</si>
  <si>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</si>
  <si>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</si>
  <si>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</si>
  <si>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</si>
  <si>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</si>
  <si>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</si>
  <si>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</si>
  <si>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</si>
  <si>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</si>
  <si>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</si>
  <si>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</si>
  <si>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</si>
  <si>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</si>
  <si>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</si>
  <si>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</si>
  <si>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</si>
  <si>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</si>
  <si>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</si>
  <si>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</si>
  <si>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</si>
  <si>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</si>
  <si>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</si>
  <si>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</si>
  <si>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</si>
  <si>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flag</t>
  </si>
  <si>
    <t>pic</t>
  </si>
  <si>
    <t>middle</t>
  </si>
  <si>
    <t>right</t>
  </si>
  <si>
    <t>jdg ldr</t>
  </si>
  <si>
    <t>jdg fr ldr</t>
  </si>
  <si>
    <t>NAP flag France</t>
  </si>
  <si>
    <t>Klein</t>
  </si>
  <si>
    <t>jdg ma</t>
  </si>
  <si>
    <t>Lasalles</t>
  </si>
  <si>
    <t>reduced</t>
  </si>
  <si>
    <t>subunit</t>
  </si>
  <si>
    <t>elite</t>
  </si>
  <si>
    <t>heavy</t>
  </si>
  <si>
    <t>eng</t>
  </si>
  <si>
    <t>jdg cav</t>
  </si>
  <si>
    <t>NAP unit cav dummy</t>
  </si>
  <si>
    <t>jdg inf</t>
  </si>
  <si>
    <t>NAP unit inf dummy</t>
  </si>
  <si>
    <t>(1)</t>
  </si>
  <si>
    <t>2-4</t>
  </si>
  <si>
    <t>3</t>
  </si>
  <si>
    <t>2</t>
  </si>
  <si>
    <t>1</t>
  </si>
  <si>
    <t>SIZE</t>
  </si>
  <si>
    <t>TEMPLATE</t>
  </si>
  <si>
    <t>SCHEME</t>
  </si>
  <si>
    <t>JDG 3/4 inch</t>
  </si>
  <si>
    <t>3++</t>
  </si>
  <si>
    <t>fleft</t>
  </si>
  <si>
    <t>fmiddle</t>
  </si>
  <si>
    <t>fright</t>
  </si>
  <si>
    <t>bleft</t>
  </si>
  <si>
    <t>bmiddle</t>
  </si>
  <si>
    <t>bright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</si>
  <si>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</si>
  <si>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</si>
  <si>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</si>
  <si>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</si>
  <si>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</si>
  <si>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</si>
  <si>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</si>
  <si>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</si>
  <si>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</si>
  <si>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</si>
  <si>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</si>
  <si>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</si>
  <si>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</si>
  <si>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</si>
  <si>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</si>
  <si>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</si>
  <si>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</si>
  <si>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</si>
  <si>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</si>
  <si>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</si>
  <si>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</si>
  <si>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</si>
  <si>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</si>
  <si>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</si>
  <si>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</si>
  <si>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</si>
  <si>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</si>
  <si>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</si>
  <si>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</si>
  <si>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</si>
  <si>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</si>
  <si>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</si>
  <si>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</si>
  <si>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</si>
  <si>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</si>
  <si>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orange</t>
  </si>
  <si>
    <t>jdg fr ma</t>
  </si>
  <si>
    <t>jdg fr cbt</t>
  </si>
  <si>
    <t>ldr3</t>
  </si>
  <si>
    <t>dims</t>
  </si>
  <si>
    <t>bot</t>
  </si>
  <si>
    <t>yellow</t>
  </si>
  <si>
    <t>aqua</t>
  </si>
  <si>
    <t>green</t>
  </si>
  <si>
    <t>blue</t>
  </si>
  <si>
    <t>rose</t>
  </si>
  <si>
    <t>seagreen</t>
  </si>
  <si>
    <t>lightgray</t>
  </si>
  <si>
    <t>overrides for all types of element</t>
  </si>
  <si>
    <t>image frame</t>
  </si>
  <si>
    <t>back values in same column : 4|2</t>
  </si>
  <si>
    <t>qty as fixed column after scheme</t>
  </si>
  <si>
    <t>check size and pos calculations, 1 pixel border around each unit</t>
  </si>
  <si>
    <t>jdg art</t>
  </si>
  <si>
    <t>overrides for font, size, all colours etc</t>
  </si>
  <si>
    <t>text outline</t>
  </si>
  <si>
    <t>art2</t>
  </si>
  <si>
    <t>jdg ru cbt</t>
  </si>
  <si>
    <t>jdg ru ma</t>
  </si>
  <si>
    <t>jdg ru ldr</t>
  </si>
  <si>
    <t>arial narrow</t>
  </si>
  <si>
    <t>element order</t>
  </si>
  <si>
    <t>define colour combos ? Eg : fauconnet = "black/salmon"</t>
  </si>
  <si>
    <t>russia_lt</t>
  </si>
  <si>
    <t>dpi, paper size</t>
  </si>
  <si>
    <t>viewport</t>
  </si>
  <si>
    <t>reverse: side-by-side, following, fronts-only backs-only</t>
  </si>
  <si>
    <t>attribute order (alignment on sheets tab)</t>
  </si>
  <si>
    <t>image aspect ratio (viewport)</t>
  </si>
  <si>
    <t>sizes, units (inches, cm)</t>
  </si>
  <si>
    <t>output: svg, png/jpg/bmp/etc, gtl, nandeck, imagemagick</t>
  </si>
  <si>
    <t>jdg ha</t>
  </si>
  <si>
    <t>horsehead-trans</t>
  </si>
  <si>
    <t>Wellington</t>
  </si>
  <si>
    <t>Pack</t>
  </si>
  <si>
    <t>Bradford</t>
  </si>
  <si>
    <t>May</t>
  </si>
  <si>
    <t>Arriaga</t>
  </si>
  <si>
    <t>Marmont</t>
  </si>
  <si>
    <t>Clausel</t>
  </si>
  <si>
    <t>Foy</t>
  </si>
  <si>
    <t>Ferey</t>
  </si>
  <si>
    <t>Sarrut</t>
  </si>
  <si>
    <t>Maucune</t>
  </si>
  <si>
    <t>Brennier</t>
  </si>
  <si>
    <t>Thomières</t>
  </si>
  <si>
    <t>Bonnet</t>
  </si>
  <si>
    <t>Curto</t>
  </si>
  <si>
    <t>Boyer</t>
  </si>
  <si>
    <t>Carrié</t>
  </si>
  <si>
    <t>jdg br ldr</t>
  </si>
  <si>
    <t>jdg br ma</t>
  </si>
  <si>
    <t>jdg sp ma</t>
  </si>
  <si>
    <t>O</t>
  </si>
  <si>
    <t>Sanchez</t>
  </si>
  <si>
    <t>L</t>
  </si>
  <si>
    <t>(3)</t>
  </si>
  <si>
    <t>(2)</t>
  </si>
  <si>
    <t>pink</t>
  </si>
  <si>
    <t>jdg br cbt</t>
  </si>
  <si>
    <t>jdg kgl cbt</t>
  </si>
  <si>
    <t>jdg po cbt</t>
  </si>
  <si>
    <t>jdg brpo cbt</t>
  </si>
  <si>
    <t>jdg sp cbt</t>
  </si>
  <si>
    <t>jdg brkgl cbt</t>
  </si>
  <si>
    <t>grey30</t>
  </si>
  <si>
    <t>Lt</t>
  </si>
  <si>
    <t>E</t>
  </si>
  <si>
    <t>C</t>
  </si>
  <si>
    <t>centre</t>
  </si>
  <si>
    <t>Campbell</t>
  </si>
  <si>
    <t>Pakenham</t>
  </si>
  <si>
    <t>Cole</t>
  </si>
  <si>
    <t>Leith</t>
  </si>
  <si>
    <t>Clinton</t>
  </si>
  <si>
    <t>Hope</t>
  </si>
  <si>
    <t>Alten</t>
  </si>
  <si>
    <t>Cotton</t>
  </si>
  <si>
    <t>black/red</t>
  </si>
  <si>
    <t>black/yellow</t>
  </si>
  <si>
    <t>white/brown</t>
  </si>
  <si>
    <t>white/black</t>
  </si>
  <si>
    <t>1-2</t>
  </si>
  <si>
    <t>black/pale_blue</t>
  </si>
  <si>
    <t>crimson</t>
  </si>
  <si>
    <t>white/teal</t>
  </si>
  <si>
    <t>black/lt_green</t>
  </si>
  <si>
    <t>white/indigo</t>
  </si>
  <si>
    <t>white/purple</t>
  </si>
  <si>
    <t>eras bold itc</t>
  </si>
  <si>
    <t>2-3</t>
  </si>
  <si>
    <t>gold</t>
  </si>
  <si>
    <t>DarkPink</t>
  </si>
  <si>
    <t>darkpink</t>
  </si>
  <si>
    <t>FF6AAF</t>
  </si>
  <si>
    <t>DarkPink1</t>
  </si>
  <si>
    <t>darkpink1</t>
  </si>
  <si>
    <t>Barnard</t>
  </si>
  <si>
    <t>Vandeleur</t>
  </si>
  <si>
    <t>Ross</t>
  </si>
  <si>
    <t>Fermor</t>
  </si>
  <si>
    <t>Wheatley</t>
  </si>
  <si>
    <t>Lowe</t>
  </si>
  <si>
    <t>Gardiner</t>
  </si>
  <si>
    <t>Wallace</t>
  </si>
  <si>
    <t>Power</t>
  </si>
  <si>
    <t>Douglas</t>
  </si>
  <si>
    <t>Anson</t>
  </si>
  <si>
    <t>Ellis</t>
  </si>
  <si>
    <t>Stubbs</t>
  </si>
  <si>
    <t>Sympher</t>
  </si>
  <si>
    <t>Greville</t>
  </si>
  <si>
    <t>Pringle</t>
  </si>
  <si>
    <t>Spry</t>
  </si>
  <si>
    <t>Lawson</t>
  </si>
  <si>
    <t>Hulse</t>
  </si>
  <si>
    <t>Hinde</t>
  </si>
  <si>
    <t>Rezende</t>
  </si>
  <si>
    <t>Greene</t>
  </si>
  <si>
    <t>Halkett</t>
  </si>
  <si>
    <t>Bernewitz</t>
  </si>
  <si>
    <t>Collins</t>
  </si>
  <si>
    <t>McDonald</t>
  </si>
  <si>
    <t>Le Marchant</t>
  </si>
  <si>
    <t>Bock</t>
  </si>
  <si>
    <t>D'Urban</t>
  </si>
  <si>
    <t>Bull</t>
  </si>
  <si>
    <t>lt_green</t>
  </si>
  <si>
    <t>black/lightseagreen</t>
  </si>
  <si>
    <t>black/orange</t>
  </si>
  <si>
    <t>black/pink</t>
  </si>
  <si>
    <t>white/darkgreen</t>
  </si>
  <si>
    <t>yellow/brown</t>
  </si>
  <si>
    <t>darkblue</t>
  </si>
  <si>
    <t>LC</t>
  </si>
  <si>
    <t>HC</t>
  </si>
  <si>
    <t>jdg</t>
  </si>
  <si>
    <t>I/Chemineau</t>
  </si>
  <si>
    <t>II/Chemineau</t>
  </si>
  <si>
    <t>I/D-Berth</t>
  </si>
  <si>
    <t>II/D-Berth</t>
  </si>
  <si>
    <t>yellow/darkblue</t>
  </si>
  <si>
    <t>cornflowerblue</t>
  </si>
  <si>
    <t>white/blue</t>
  </si>
  <si>
    <t>white/green</t>
  </si>
  <si>
    <t>black/darkturquoise</t>
  </si>
  <si>
    <t>I/ArtRes</t>
  </si>
  <si>
    <t>II/ArtRes</t>
  </si>
  <si>
    <t>III/ArtRes</t>
  </si>
  <si>
    <t>2nd Bgde</t>
  </si>
  <si>
    <t>I/2nd Bgde</t>
  </si>
  <si>
    <t>II/2nd Bgde</t>
  </si>
  <si>
    <t>1st Bgde</t>
  </si>
  <si>
    <t>I/Berlier</t>
  </si>
  <si>
    <t>II/Berlier</t>
  </si>
  <si>
    <t>I/Barbot</t>
  </si>
  <si>
    <t>II/Barbot</t>
  </si>
  <si>
    <t>I/Menne</t>
  </si>
  <si>
    <t>II/Menne</t>
  </si>
  <si>
    <t>I/Arnaud</t>
  </si>
  <si>
    <t>II/Arnaud</t>
  </si>
  <si>
    <t>I/Fririon</t>
  </si>
  <si>
    <t>II/Fririon</t>
  </si>
  <si>
    <t>I/Montfort</t>
  </si>
  <si>
    <t>II/Montfort</t>
  </si>
  <si>
    <t>I/Taupin</t>
  </si>
  <si>
    <t>II/Taupin</t>
  </si>
  <si>
    <t>I/Bonté</t>
  </si>
  <si>
    <t>II/Bonté</t>
  </si>
  <si>
    <t>I/Gautier</t>
  </si>
  <si>
    <t>II/Gautier</t>
  </si>
  <si>
    <t>España</t>
  </si>
  <si>
    <t>jdg mac</t>
  </si>
  <si>
    <t>arial</t>
  </si>
  <si>
    <t>jdg fr mac</t>
  </si>
  <si>
    <t>jdg br mac</t>
  </si>
  <si>
    <t>jdg fr text</t>
  </si>
  <si>
    <t>jdg br text</t>
  </si>
  <si>
    <t>darkpink2</t>
  </si>
  <si>
    <t>test lines</t>
  </si>
  <si>
    <t>jdg text 1</t>
  </si>
  <si>
    <t>jdg text 2</t>
  </si>
  <si>
    <t>jdg text 3</t>
  </si>
  <si>
    <t>jdg text 4</t>
  </si>
  <si>
    <t>lines lines lines[blue/orange]</t>
  </si>
  <si>
    <t>lines lines lines lines lines[red]</t>
  </si>
  <si>
    <t>LightOrange</t>
  </si>
  <si>
    <t>[blue/DarkOrange]</t>
  </si>
  <si>
    <t>lines lines lines lines[blue/lightorange]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</si>
  <si>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</si>
  <si>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</si>
  <si>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</si>
  <si>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</si>
  <si>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</si>
  <si>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</si>
  <si>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</si>
  <si>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</si>
  <si>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</si>
  <si>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</si>
  <si>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</si>
  <si>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</si>
  <si>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lines lines lines lines[blue/orange3]</t>
  </si>
  <si>
    <t>lines lines lines lines[blue/orange2]</t>
  </si>
  <si>
    <t>lines lines lines lines[blue/orange4]</t>
  </si>
  <si>
    <t>lines lines lines lines[blue/orange5]</t>
  </si>
  <si>
    <t>lines lines lines lines[blue/orange6]</t>
  </si>
  <si>
    <t>lines lines lines lines[blue/orange7]</t>
  </si>
  <si>
    <t>lines lines lines lines[blue/orange8]</t>
  </si>
  <si>
    <t>lines lines lines lines[blue/orange9]</t>
  </si>
  <si>
    <t>lines lines lines lines[blue/orange10]</t>
  </si>
  <si>
    <t>lines lines lines lines[blue/orange11]</t>
  </si>
  <si>
    <t>lines lines lines lines[blue/orange12]</t>
  </si>
  <si>
    <t>Att.
C[blue/orange2]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</si>
  <si>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</si>
  <si>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</si>
  <si>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</si>
  <si>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</si>
  <si>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</si>
  <si>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</si>
  <si>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</si>
  <si>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</si>
  <si>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</si>
  <si>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</si>
  <si>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</si>
  <si>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</si>
  <si>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</si>
  <si>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</si>
  <si>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</si>
  <si>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</si>
  <si>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</si>
  <si>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</si>
  <si>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</si>
  <si>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</si>
  <si>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</si>
  <si>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</si>
  <si>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</si>
  <si>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</si>
  <si>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</si>
  <si>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</si>
  <si>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</si>
  <si>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</si>
  <si>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</si>
  <si>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</si>
  <si>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I/España</t>
  </si>
  <si>
    <t>II/España</t>
  </si>
  <si>
    <t>Combined Attack</t>
  </si>
  <si>
    <t>Surprise Attack</t>
  </si>
  <si>
    <t>Mixed order</t>
  </si>
  <si>
    <t>Hold!</t>
  </si>
  <si>
    <t>Marmont injured[black/grey20]</t>
  </si>
  <si>
    <t xml:space="preserve">Counter-attack </t>
  </si>
  <si>
    <t>darkred</t>
  </si>
  <si>
    <t>Turn[black/lightorange]</t>
  </si>
  <si>
    <t>I/Art.Res</t>
  </si>
  <si>
    <t>II/Art.Res</t>
  </si>
  <si>
    <t>III/Art.Res</t>
  </si>
  <si>
    <t>generate front and back separately</t>
  </si>
  <si>
    <t>gradient colours: eg [black/red&gt;yellow:2-7]</t>
  </si>
  <si>
    <t>Rout</t>
  </si>
  <si>
    <t>Charge</t>
  </si>
  <si>
    <t>Orders</t>
  </si>
  <si>
    <t>No orders</t>
  </si>
  <si>
    <t>Square</t>
  </si>
  <si>
    <t>Reinf</t>
  </si>
  <si>
    <t>Shock</t>
  </si>
  <si>
    <t>Fired</t>
  </si>
  <si>
    <t>Shock + test</t>
  </si>
  <si>
    <t>lightorange</t>
  </si>
  <si>
    <t>darkgreen</t>
  </si>
  <si>
    <t>blank</t>
  </si>
  <si>
    <t>IV/Art.Res</t>
  </si>
  <si>
    <t>2-3 (3) 7 7</t>
  </si>
  <si>
    <t>2-4 (3) 7 6</t>
  </si>
  <si>
    <t>2-4 (2) 5 6</t>
  </si>
  <si>
    <t>G. St-Cyr</t>
  </si>
  <si>
    <t>Souham</t>
  </si>
  <si>
    <t>white/orange</t>
  </si>
  <si>
    <t>1er Rgt Inf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</si>
</sst>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49" fontId="3" fillId="0" borderId="0" xfId="0" applyNumberFormat="1" applyFont="1"/>
    <xf numFmtId="0" fontId="2" fillId="2" borderId="0" xfId="0" applyFont="1" applyFill="1" applyBorder="1"/>
    <xf numFmtId="0" fontId="2" fillId="0" borderId="0" xfId="0" applyFont="1"/>
    <xf numFmtId="49" fontId="5" fillId="0" borderId="0" xfId="0" applyNumberFormat="1" applyFont="1"/>
    <xf numFmtId="49" fontId="2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4" fillId="0" borderId="0" xfId="0" applyNumberFormat="1" applyFont="1"/>
    <xf numFmtId="0" fontId="4" fillId="0" borderId="0" xfId="0" applyFont="1"/>
    <xf numFmtId="0" fontId="0" fillId="0" borderId="0" xfId="0" applyFont="1"/>
    <xf numFmtId="49" fontId="0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center"/>
    </xf>
    <xf numFmtId="49" fontId="4" fillId="0" borderId="0" xfId="0" quotePrefix="1" applyNumberFormat="1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center"/>
    </xf>
  </cellXfs>
  <cellStyles count="2">
    <cellStyle name="Non défini" xfId="1"/>
    <cellStyle name="Normal" xfId="0" builtinId="0"/>
  </cellStyles>
  <dxfs count="8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579120</xdr:colOff>
          <xdr:row>0</xdr:row>
          <xdr:rowOff>68580</xdr:rowOff>
        </xdr:from>
        <xdr:to>
          <xdr:col>13</xdr:col>
          <xdr:colOff>411480</xdr:colOff>
          <xdr:row>3</xdr:row>
          <xdr:rowOff>144780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3" name="name 2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4" name="pic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5" name="left 4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6" name="middle 5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7" name="right 6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3" name="name 2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4" name="pic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5" name="left 4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6" name="middle 5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7" name="right 6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8" name="outline 7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0</xdr:row>
      <xdr:rowOff>38100</xdr:rowOff>
    </xdr:from>
    <xdr:to>
      <xdr:col>0</xdr:col>
      <xdr:colOff>1333500</xdr:colOff>
      <xdr:row>2</xdr:row>
      <xdr:rowOff>121920</xdr:rowOff>
    </xdr:to>
    <xdr:sp macro="" textlink="">
      <xdr:nvSpPr>
        <xdr:cNvPr id="9" name="flag 8"/>
        <xdr:cNvSpPr/>
      </xdr:nvSpPr>
      <xdr:spPr>
        <a:xfrm>
          <a:off x="8382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Souham</a:t>
          </a:r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825500</xdr:colOff>
      <xdr:row>2</xdr:row>
      <xdr:rowOff>147320</xdr:rowOff>
    </xdr:to>
    <xdr:sp macro="" textlink="">
      <xdr:nvSpPr>
        <xdr:cNvPr id="10" name="name 9"/>
        <xdr:cNvSpPr/>
      </xdr:nvSpPr>
      <xdr:spPr>
        <a:xfrm>
          <a:off x="6858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762000</xdr:colOff>
      <xdr:row>2</xdr:row>
      <xdr:rowOff>134620</xdr:rowOff>
    </xdr:from>
    <xdr:to>
      <xdr:col>0</xdr:col>
      <xdr:colOff>901700</xdr:colOff>
      <xdr:row>3</xdr:row>
      <xdr:rowOff>157480</xdr:rowOff>
    </xdr:to>
    <xdr:sp macro="" textlink="">
      <xdr:nvSpPr>
        <xdr:cNvPr id="11" name="left 10"/>
        <xdr:cNvSpPr/>
      </xdr:nvSpPr>
      <xdr:spPr>
        <a:xfrm>
          <a:off x="762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</xdr:row>
      <xdr:rowOff>134620</xdr:rowOff>
    </xdr:from>
    <xdr:to>
      <xdr:col>0</xdr:col>
      <xdr:colOff>1308100</xdr:colOff>
      <xdr:row>3</xdr:row>
      <xdr:rowOff>157480</xdr:rowOff>
    </xdr:to>
    <xdr:sp macro="" textlink="">
      <xdr:nvSpPr>
        <xdr:cNvPr id="12" name="right 11"/>
        <xdr:cNvSpPr/>
      </xdr:nvSpPr>
      <xdr:spPr>
        <a:xfrm>
          <a:off x="116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13" name="outline 12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0</xdr:row>
      <xdr:rowOff>38100</xdr:rowOff>
    </xdr:from>
    <xdr:to>
      <xdr:col>0</xdr:col>
      <xdr:colOff>2006600</xdr:colOff>
      <xdr:row>2</xdr:row>
      <xdr:rowOff>121920</xdr:rowOff>
    </xdr:to>
    <xdr:sp macro="" textlink="">
      <xdr:nvSpPr>
        <xdr:cNvPr id="14" name="flag 13"/>
        <xdr:cNvSpPr/>
      </xdr:nvSpPr>
      <xdr:spPr>
        <a:xfrm>
          <a:off x="15113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Souham</a:t>
          </a:r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1498600</xdr:colOff>
      <xdr:row>2</xdr:row>
      <xdr:rowOff>147320</xdr:rowOff>
    </xdr:to>
    <xdr:sp macro="" textlink="">
      <xdr:nvSpPr>
        <xdr:cNvPr id="15" name="name 14"/>
        <xdr:cNvSpPr/>
      </xdr:nvSpPr>
      <xdr:spPr>
        <a:xfrm>
          <a:off x="13589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1435100</xdr:colOff>
      <xdr:row>2</xdr:row>
      <xdr:rowOff>134620</xdr:rowOff>
    </xdr:from>
    <xdr:to>
      <xdr:col>0</xdr:col>
      <xdr:colOff>1574800</xdr:colOff>
      <xdr:row>3</xdr:row>
      <xdr:rowOff>157480</xdr:rowOff>
    </xdr:to>
    <xdr:sp macro="" textlink="">
      <xdr:nvSpPr>
        <xdr:cNvPr id="16" name="left 15"/>
        <xdr:cNvSpPr/>
      </xdr:nvSpPr>
      <xdr:spPr>
        <a:xfrm>
          <a:off x="1435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</xdr:row>
      <xdr:rowOff>134620</xdr:rowOff>
    </xdr:from>
    <xdr:to>
      <xdr:col>0</xdr:col>
      <xdr:colOff>1981200</xdr:colOff>
      <xdr:row>3</xdr:row>
      <xdr:rowOff>157480</xdr:rowOff>
    </xdr:to>
    <xdr:sp macro="" textlink="">
      <xdr:nvSpPr>
        <xdr:cNvPr id="17" name="right 16"/>
        <xdr:cNvSpPr/>
      </xdr:nvSpPr>
      <xdr:spPr>
        <a:xfrm>
          <a:off x="1841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152400</xdr:colOff>
      <xdr:row>2</xdr:row>
      <xdr:rowOff>121920</xdr:rowOff>
    </xdr:to>
    <xdr:sp macro="" textlink="">
      <xdr:nvSpPr>
        <xdr:cNvPr id="3" name="name 2"/>
        <xdr:cNvSpPr/>
      </xdr:nvSpPr>
      <xdr:spPr>
        <a:xfrm>
          <a:off x="12700" y="12700"/>
          <a:ext cx="139700" cy="444500"/>
        </a:xfrm>
        <a:prstGeom prst="rect">
          <a:avLst/>
        </a:prstGeom>
        <a:solidFill>
          <a:srgbClr val="FF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r"/>
          <a:r>
            <a:rPr lang="en-GB" sz="825" b="1" i="0">
              <a:solidFill>
                <a:srgbClr val="000000"/>
              </a:solidFill>
              <a:latin typeface="arial narrow"/>
            </a:rPr>
            <a:t>G. St-Cyr</a:t>
          </a:r>
        </a:p>
      </xdr:txBody>
    </xdr:sp>
    <xdr:clientData/>
  </xdr:twoCellAnchor>
  <xdr:twoCellAnchor editAs="absolute">
    <xdr:from>
      <xdr:col>0</xdr:col>
      <xdr:colOff>165100</xdr:colOff>
      <xdr:row>0</xdr:row>
      <xdr:rowOff>63500</xdr:rowOff>
    </xdr:from>
    <xdr:to>
      <xdr:col>0</xdr:col>
      <xdr:colOff>660400</xdr:colOff>
      <xdr:row>3</xdr:row>
      <xdr:rowOff>55880</xdr:rowOff>
    </xdr:to>
    <xdr:pic>
      <xdr:nvPicPr>
        <xdr:cNvPr id="4" name="pic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63500"/>
          <a:ext cx="495300" cy="495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88900</xdr:colOff>
      <xdr:row>2</xdr:row>
      <xdr:rowOff>134620</xdr:rowOff>
    </xdr:from>
    <xdr:to>
      <xdr:col>0</xdr:col>
      <xdr:colOff>228600</xdr:colOff>
      <xdr:row>3</xdr:row>
      <xdr:rowOff>157480</xdr:rowOff>
    </xdr:to>
    <xdr:sp macro="" textlink="">
      <xdr:nvSpPr>
        <xdr:cNvPr id="5" name="left 4"/>
        <xdr:cNvSpPr/>
      </xdr:nvSpPr>
      <xdr:spPr>
        <a:xfrm>
          <a:off x="889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292100</xdr:colOff>
      <xdr:row>2</xdr:row>
      <xdr:rowOff>134620</xdr:rowOff>
    </xdr:from>
    <xdr:to>
      <xdr:col>0</xdr:col>
      <xdr:colOff>431800</xdr:colOff>
      <xdr:row>3</xdr:row>
      <xdr:rowOff>157480</xdr:rowOff>
    </xdr:to>
    <xdr:sp macro="" textlink="">
      <xdr:nvSpPr>
        <xdr:cNvPr id="6" name="middle 5"/>
        <xdr:cNvSpPr/>
      </xdr:nvSpPr>
      <xdr:spPr>
        <a:xfrm>
          <a:off x="292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2</xdr:row>
      <xdr:rowOff>134620</xdr:rowOff>
    </xdr:from>
    <xdr:to>
      <xdr:col>0</xdr:col>
      <xdr:colOff>635000</xdr:colOff>
      <xdr:row>3</xdr:row>
      <xdr:rowOff>157480</xdr:rowOff>
    </xdr:to>
    <xdr:sp macro="" textlink="">
      <xdr:nvSpPr>
        <xdr:cNvPr id="7" name="right 6"/>
        <xdr:cNvSpPr/>
      </xdr:nvSpPr>
      <xdr:spPr>
        <a:xfrm>
          <a:off x="4953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8" name="outline 7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838200</xdr:colOff>
      <xdr:row>0</xdr:row>
      <xdr:rowOff>38100</xdr:rowOff>
    </xdr:from>
    <xdr:to>
      <xdr:col>0</xdr:col>
      <xdr:colOff>1333500</xdr:colOff>
      <xdr:row>2</xdr:row>
      <xdr:rowOff>121920</xdr:rowOff>
    </xdr:to>
    <xdr:sp macro="" textlink="">
      <xdr:nvSpPr>
        <xdr:cNvPr id="9" name="flag 8"/>
        <xdr:cNvSpPr/>
      </xdr:nvSpPr>
      <xdr:spPr>
        <a:xfrm>
          <a:off x="8382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Souham</a:t>
          </a:r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825500</xdr:colOff>
      <xdr:row>2</xdr:row>
      <xdr:rowOff>147320</xdr:rowOff>
    </xdr:to>
    <xdr:sp macro="" textlink="">
      <xdr:nvSpPr>
        <xdr:cNvPr id="10" name="name 9"/>
        <xdr:cNvSpPr/>
      </xdr:nvSpPr>
      <xdr:spPr>
        <a:xfrm>
          <a:off x="6858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762000</xdr:colOff>
      <xdr:row>2</xdr:row>
      <xdr:rowOff>134620</xdr:rowOff>
    </xdr:from>
    <xdr:to>
      <xdr:col>0</xdr:col>
      <xdr:colOff>901700</xdr:colOff>
      <xdr:row>3</xdr:row>
      <xdr:rowOff>157480</xdr:rowOff>
    </xdr:to>
    <xdr:sp macro="" textlink="">
      <xdr:nvSpPr>
        <xdr:cNvPr id="11" name="left 10"/>
        <xdr:cNvSpPr/>
      </xdr:nvSpPr>
      <xdr:spPr>
        <a:xfrm>
          <a:off x="7620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1168400</xdr:colOff>
      <xdr:row>2</xdr:row>
      <xdr:rowOff>134620</xdr:rowOff>
    </xdr:from>
    <xdr:to>
      <xdr:col>0</xdr:col>
      <xdr:colOff>1308100</xdr:colOff>
      <xdr:row>3</xdr:row>
      <xdr:rowOff>157480</xdr:rowOff>
    </xdr:to>
    <xdr:sp macro="" textlink="">
      <xdr:nvSpPr>
        <xdr:cNvPr id="12" name="right 11"/>
        <xdr:cNvSpPr/>
      </xdr:nvSpPr>
      <xdr:spPr>
        <a:xfrm>
          <a:off x="11684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13" name="outline 12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6495ED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1511300</xdr:colOff>
      <xdr:row>0</xdr:row>
      <xdr:rowOff>38100</xdr:rowOff>
    </xdr:from>
    <xdr:to>
      <xdr:col>0</xdr:col>
      <xdr:colOff>2006600</xdr:colOff>
      <xdr:row>2</xdr:row>
      <xdr:rowOff>121920</xdr:rowOff>
    </xdr:to>
    <xdr:sp macro="" textlink="">
      <xdr:nvSpPr>
        <xdr:cNvPr id="14" name="flag 13"/>
        <xdr:cNvSpPr/>
      </xdr:nvSpPr>
      <xdr:spPr>
        <a:xfrm>
          <a:off x="1511300" y="38100"/>
          <a:ext cx="495300" cy="419100"/>
        </a:xfrm>
        <a:prstGeom prst="rect">
          <a:avLst/>
        </a:prstGeom>
        <a:solidFill>
          <a:srgbClr val="6495ED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475" b="1" i="0">
              <a:solidFill>
                <a:srgbClr val="00008B"/>
              </a:solidFill>
              <a:latin typeface="eras bold itc"/>
            </a:rPr>
            <a:t>Souham</a:t>
          </a:r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1498600</xdr:colOff>
      <xdr:row>2</xdr:row>
      <xdr:rowOff>147320</xdr:rowOff>
    </xdr:to>
    <xdr:sp macro="" textlink="">
      <xdr:nvSpPr>
        <xdr:cNvPr id="15" name="name 14"/>
        <xdr:cNvSpPr/>
      </xdr:nvSpPr>
      <xdr:spPr>
        <a:xfrm>
          <a:off x="1358900" y="12700"/>
          <a:ext cx="139700" cy="4699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arial narrow"/>
            </a:rPr>
            <a:t>Souham</a:t>
          </a:r>
        </a:p>
      </xdr:txBody>
    </xdr:sp>
    <xdr:clientData/>
  </xdr:twoCellAnchor>
  <xdr:twoCellAnchor editAs="absolute">
    <xdr:from>
      <xdr:col>0</xdr:col>
      <xdr:colOff>1435100</xdr:colOff>
      <xdr:row>2</xdr:row>
      <xdr:rowOff>134620</xdr:rowOff>
    </xdr:from>
    <xdr:to>
      <xdr:col>0</xdr:col>
      <xdr:colOff>1574800</xdr:colOff>
      <xdr:row>3</xdr:row>
      <xdr:rowOff>157480</xdr:rowOff>
    </xdr:to>
    <xdr:sp macro="" textlink="">
      <xdr:nvSpPr>
        <xdr:cNvPr id="16" name="left 15"/>
        <xdr:cNvSpPr/>
      </xdr:nvSpPr>
      <xdr:spPr>
        <a:xfrm>
          <a:off x="14351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O</a:t>
          </a:r>
        </a:p>
      </xdr:txBody>
    </xdr:sp>
    <xdr:clientData/>
  </xdr:twoCellAnchor>
  <xdr:twoCellAnchor editAs="absolute">
    <xdr:from>
      <xdr:col>0</xdr:col>
      <xdr:colOff>1841500</xdr:colOff>
      <xdr:row>2</xdr:row>
      <xdr:rowOff>134620</xdr:rowOff>
    </xdr:from>
    <xdr:to>
      <xdr:col>0</xdr:col>
      <xdr:colOff>1981200</xdr:colOff>
      <xdr:row>3</xdr:row>
      <xdr:rowOff>157480</xdr:rowOff>
    </xdr:to>
    <xdr:sp macro="" textlink="">
      <xdr:nvSpPr>
        <xdr:cNvPr id="17" name="right 16"/>
        <xdr:cNvSpPr/>
      </xdr:nvSpPr>
      <xdr:spPr>
        <a:xfrm>
          <a:off x="1841500" y="469900"/>
          <a:ext cx="139700" cy="190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18" name="outline 17"/>
        <xdr:cNvSpPr/>
      </xdr:nvSpPr>
      <xdr:spPr>
        <a:xfrm>
          <a:off x="2019300" y="0"/>
          <a:ext cx="673100" cy="6731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0</xdr:row>
      <xdr:rowOff>152400</xdr:rowOff>
    </xdr:to>
    <xdr:sp macro="" textlink="">
      <xdr:nvSpPr>
        <xdr:cNvPr id="19" name="name 18"/>
        <xdr:cNvSpPr/>
      </xdr:nvSpPr>
      <xdr:spPr>
        <a:xfrm>
          <a:off x="2032000" y="12700"/>
          <a:ext cx="647700" cy="139700"/>
        </a:xfrm>
        <a:prstGeom prst="rect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825" b="1" i="0">
              <a:solidFill>
                <a:srgbClr val="FFFFFF"/>
              </a:solidFill>
              <a:latin typeface="arial narrow"/>
            </a:rPr>
            <a:t>1er Rgt Inf Leg</a:t>
          </a:r>
        </a:p>
      </xdr:txBody>
    </xdr:sp>
    <xdr:clientData/>
  </xdr:twoCellAnchor>
  <xdr:twoCellAnchor editAs="absolute">
    <xdr:from>
      <xdr:col>0</xdr:col>
      <xdr:colOff>2235200</xdr:colOff>
      <xdr:row>0</xdr:row>
      <xdr:rowOff>165100</xdr:rowOff>
    </xdr:from>
    <xdr:to>
      <xdr:col>0</xdr:col>
      <xdr:colOff>2603500</xdr:colOff>
      <xdr:row>3</xdr:row>
      <xdr:rowOff>81280</xdr:rowOff>
    </xdr:to>
    <xdr:pic>
      <xdr:nvPicPr>
        <xdr:cNvPr id="20" name="symbol 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5200" y="165100"/>
          <a:ext cx="3683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2082800</xdr:colOff>
      <xdr:row>2</xdr:row>
      <xdr:rowOff>134620</xdr:rowOff>
    </xdr:from>
    <xdr:to>
      <xdr:col>0</xdr:col>
      <xdr:colOff>2247900</xdr:colOff>
      <xdr:row>3</xdr:row>
      <xdr:rowOff>157480</xdr:rowOff>
    </xdr:to>
    <xdr:sp macro="" textlink="">
      <xdr:nvSpPr>
        <xdr:cNvPr id="21" name="fleft 20"/>
        <xdr:cNvSpPr/>
      </xdr:nvSpPr>
      <xdr:spPr>
        <a:xfrm>
          <a:off x="20828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134620</xdr:rowOff>
    </xdr:from>
    <xdr:to>
      <xdr:col>0</xdr:col>
      <xdr:colOff>2527300</xdr:colOff>
      <xdr:row>3</xdr:row>
      <xdr:rowOff>157480</xdr:rowOff>
    </xdr:to>
    <xdr:sp macro="" textlink="">
      <xdr:nvSpPr>
        <xdr:cNvPr id="22" name="fmiddle 21"/>
        <xdr:cNvSpPr/>
      </xdr:nvSpPr>
      <xdr:spPr>
        <a:xfrm>
          <a:off x="2387600" y="469900"/>
          <a:ext cx="1397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2514600</xdr:colOff>
      <xdr:row>2</xdr:row>
      <xdr:rowOff>134620</xdr:rowOff>
    </xdr:from>
    <xdr:to>
      <xdr:col>0</xdr:col>
      <xdr:colOff>2679700</xdr:colOff>
      <xdr:row>3</xdr:row>
      <xdr:rowOff>157480</xdr:rowOff>
    </xdr:to>
    <xdr:sp macro="" textlink="">
      <xdr:nvSpPr>
        <xdr:cNvPr id="23" name="fright 22"/>
        <xdr:cNvSpPr/>
      </xdr:nvSpPr>
      <xdr:spPr>
        <a:xfrm>
          <a:off x="2514600" y="469900"/>
          <a:ext cx="165100" cy="1905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2540000</xdr:colOff>
      <xdr:row>1</xdr:row>
      <xdr:rowOff>48260</xdr:rowOff>
    </xdr:from>
    <xdr:to>
      <xdr:col>0</xdr:col>
      <xdr:colOff>2679700</xdr:colOff>
      <xdr:row>2</xdr:row>
      <xdr:rowOff>45720</xdr:rowOff>
    </xdr:to>
    <xdr:sp macro="" textlink="">
      <xdr:nvSpPr>
        <xdr:cNvPr id="24" name="eng 23"/>
        <xdr:cNvSpPr/>
      </xdr:nvSpPr>
      <xdr:spPr>
        <a:xfrm>
          <a:off x="2540000" y="215900"/>
          <a:ext cx="139700" cy="1651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7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7"/>
  <sheetViews>
    <sheetView topLeftCell="A57" workbookViewId="0">
      <selection activeCell="A78" sqref="A78"/>
    </sheetView>
  </sheetViews>
  <sheetFormatPr defaultColWidth="9.109375" defaultRowHeight="13.2" x14ac:dyDescent="0.25"/>
  <cols>
    <col min="1" max="1" width="68.88671875" bestFit="1" customWidth="1"/>
    <col min="2" max="2" width="24.21875" bestFit="1" customWidth="1"/>
    <col min="3" max="3" width="4.33203125" bestFit="1" customWidth="1"/>
    <col min="5" max="5" width="6" bestFit="1" customWidth="1"/>
  </cols>
  <sheetData>
    <row r="1" spans="1:3" x14ac:dyDescent="0.25">
      <c r="A1" s="4" t="s">
        <v>47</v>
      </c>
    </row>
    <row r="2" spans="1:3" x14ac:dyDescent="0.25">
      <c r="A2" s="8" t="s">
        <v>48</v>
      </c>
    </row>
    <row r="3" spans="1:3" x14ac:dyDescent="0.25">
      <c r="A3" s="8" t="s">
        <v>69</v>
      </c>
    </row>
    <row r="4" spans="1:3" x14ac:dyDescent="0.25">
      <c r="A4" s="4" t="s">
        <v>49</v>
      </c>
      <c r="C4" t="s">
        <v>90</v>
      </c>
    </row>
    <row r="5" spans="1:3" x14ac:dyDescent="0.25">
      <c r="C5" t="s">
        <v>91</v>
      </c>
    </row>
    <row r="6" spans="1:3" x14ac:dyDescent="0.25">
      <c r="A6" s="4" t="s">
        <v>72</v>
      </c>
      <c r="C6" t="s">
        <v>92</v>
      </c>
    </row>
    <row r="7" spans="1:3" x14ac:dyDescent="0.25">
      <c r="A7" s="4" t="s">
        <v>71</v>
      </c>
      <c r="C7" t="s">
        <v>93</v>
      </c>
    </row>
    <row r="8" spans="1:3" x14ac:dyDescent="0.25">
      <c r="C8" t="s">
        <v>94</v>
      </c>
    </row>
    <row r="9" spans="1:3" x14ac:dyDescent="0.25">
      <c r="A9" s="4" t="s">
        <v>73</v>
      </c>
    </row>
    <row r="10" spans="1:3" x14ac:dyDescent="0.25">
      <c r="A10" s="8" t="s">
        <v>74</v>
      </c>
    </row>
    <row r="11" spans="1:3" x14ac:dyDescent="0.25">
      <c r="A11" s="8" t="s">
        <v>77</v>
      </c>
    </row>
    <row r="12" spans="1:3" x14ac:dyDescent="0.25">
      <c r="A12" s="8" t="s">
        <v>75</v>
      </c>
    </row>
    <row r="13" spans="1:3" x14ac:dyDescent="0.25">
      <c r="A13" s="8" t="s">
        <v>76</v>
      </c>
    </row>
    <row r="14" spans="1:3" x14ac:dyDescent="0.25">
      <c r="A14" s="8" t="s">
        <v>82</v>
      </c>
    </row>
    <row r="15" spans="1:3" x14ac:dyDescent="0.25">
      <c r="A15" s="8" t="s">
        <v>81</v>
      </c>
    </row>
    <row r="17" spans="1:5" x14ac:dyDescent="0.25">
      <c r="A17" s="8" t="s">
        <v>83</v>
      </c>
    </row>
    <row r="18" spans="1:5" x14ac:dyDescent="0.25">
      <c r="A18" s="8" t="s">
        <v>84</v>
      </c>
    </row>
    <row r="19" spans="1:5" x14ac:dyDescent="0.25">
      <c r="A19" s="8" t="s">
        <v>87</v>
      </c>
    </row>
    <row r="20" spans="1:5" x14ac:dyDescent="0.25">
      <c r="A20" s="8"/>
    </row>
    <row r="21" spans="1:5" x14ac:dyDescent="0.25">
      <c r="A21" s="13" t="s">
        <v>101</v>
      </c>
    </row>
    <row r="22" spans="1:5" x14ac:dyDescent="0.25">
      <c r="A22" s="8" t="s">
        <v>102</v>
      </c>
    </row>
    <row r="23" spans="1:5" x14ac:dyDescent="0.25">
      <c r="A23" s="8" t="s">
        <v>112</v>
      </c>
    </row>
    <row r="24" spans="1:5" x14ac:dyDescent="0.25">
      <c r="A24" s="8" t="s">
        <v>85</v>
      </c>
    </row>
    <row r="25" spans="1:5" x14ac:dyDescent="0.25">
      <c r="A25" s="11" t="s">
        <v>88</v>
      </c>
    </row>
    <row r="26" spans="1:5" x14ac:dyDescent="0.25">
      <c r="A26" s="8" t="s">
        <v>98</v>
      </c>
      <c r="B26" t="s">
        <v>120</v>
      </c>
      <c r="C26">
        <v>36</v>
      </c>
      <c r="E26" s="1" t="s">
        <v>143</v>
      </c>
    </row>
    <row r="27" spans="1:5" x14ac:dyDescent="0.25">
      <c r="A27" s="8" t="s">
        <v>103</v>
      </c>
      <c r="B27" t="s">
        <v>121</v>
      </c>
      <c r="C27">
        <v>45</v>
      </c>
      <c r="E27" s="1" t="s">
        <v>133</v>
      </c>
    </row>
    <row r="28" spans="1:5" x14ac:dyDescent="0.25">
      <c r="A28" s="8" t="s">
        <v>110</v>
      </c>
      <c r="B28" t="s">
        <v>122</v>
      </c>
      <c r="C28">
        <v>54</v>
      </c>
      <c r="E28" s="1" t="s">
        <v>134</v>
      </c>
    </row>
    <row r="29" spans="1:5" x14ac:dyDescent="0.25">
      <c r="A29" s="8" t="s">
        <v>109</v>
      </c>
      <c r="B29" t="s">
        <v>123</v>
      </c>
      <c r="C29">
        <v>72</v>
      </c>
      <c r="E29" s="1" t="s">
        <v>135</v>
      </c>
    </row>
    <row r="30" spans="1:5" x14ac:dyDescent="0.25">
      <c r="A30" s="8" t="s">
        <v>111</v>
      </c>
      <c r="B30" t="s">
        <v>124</v>
      </c>
      <c r="C30">
        <v>162</v>
      </c>
      <c r="E30" s="1" t="s">
        <v>136</v>
      </c>
    </row>
    <row r="31" spans="1:5" x14ac:dyDescent="0.25">
      <c r="A31" s="11" t="s">
        <v>113</v>
      </c>
      <c r="B31" t="s">
        <v>125</v>
      </c>
      <c r="C31">
        <v>234</v>
      </c>
      <c r="E31" s="1" t="s">
        <v>137</v>
      </c>
    </row>
    <row r="32" spans="1:5" x14ac:dyDescent="0.25">
      <c r="A32" s="8" t="s">
        <v>132</v>
      </c>
      <c r="E32" s="1" t="s">
        <v>138</v>
      </c>
    </row>
    <row r="33" spans="1:5" x14ac:dyDescent="0.25">
      <c r="A33" s="8" t="s">
        <v>130</v>
      </c>
      <c r="E33" s="1" t="s">
        <v>139</v>
      </c>
    </row>
    <row r="34" spans="1:5" x14ac:dyDescent="0.25">
      <c r="A34" s="8" t="s">
        <v>129</v>
      </c>
      <c r="E34" s="1" t="s">
        <v>140</v>
      </c>
    </row>
    <row r="35" spans="1:5" x14ac:dyDescent="0.25">
      <c r="A35" s="4" t="s">
        <v>131</v>
      </c>
      <c r="E35" s="1" t="s">
        <v>141</v>
      </c>
    </row>
    <row r="36" spans="1:5" x14ac:dyDescent="0.25">
      <c r="A36" s="8" t="s">
        <v>126</v>
      </c>
      <c r="E36" s="1" t="s">
        <v>142</v>
      </c>
    </row>
    <row r="37" spans="1:5" x14ac:dyDescent="0.25">
      <c r="A37" s="4" t="s">
        <v>281</v>
      </c>
    </row>
    <row r="38" spans="1:5" x14ac:dyDescent="0.25">
      <c r="A38" s="4" t="s">
        <v>282</v>
      </c>
    </row>
    <row r="39" spans="1:5" x14ac:dyDescent="0.25">
      <c r="A39" s="4" t="s">
        <v>280</v>
      </c>
    </row>
    <row r="41" spans="1:5" x14ac:dyDescent="0.25">
      <c r="A41" s="12" t="s">
        <v>127</v>
      </c>
    </row>
    <row r="42" spans="1:5" x14ac:dyDescent="0.25">
      <c r="A42" s="4" t="s">
        <v>114</v>
      </c>
    </row>
    <row r="43" spans="1:5" x14ac:dyDescent="0.25">
      <c r="A43" s="8" t="s">
        <v>115</v>
      </c>
    </row>
    <row r="44" spans="1:5" x14ac:dyDescent="0.25">
      <c r="A44" s="4" t="s">
        <v>86</v>
      </c>
    </row>
    <row r="46" spans="1:5" x14ac:dyDescent="0.25">
      <c r="A46" s="4" t="s">
        <v>119</v>
      </c>
    </row>
    <row r="48" spans="1:5" x14ac:dyDescent="0.25">
      <c r="A48" s="4" t="s">
        <v>89</v>
      </c>
    </row>
    <row r="50" spans="1:2" x14ac:dyDescent="0.25">
      <c r="A50" s="12" t="s">
        <v>99</v>
      </c>
    </row>
    <row r="52" spans="1:2" x14ac:dyDescent="0.25">
      <c r="A52" s="12" t="s">
        <v>100</v>
      </c>
      <c r="B52" t="s">
        <v>118</v>
      </c>
    </row>
    <row r="54" spans="1:2" x14ac:dyDescent="0.25">
      <c r="A54" s="4" t="s">
        <v>284</v>
      </c>
    </row>
    <row r="55" spans="1:2" x14ac:dyDescent="0.25">
      <c r="A55" s="4" t="s">
        <v>95</v>
      </c>
    </row>
    <row r="57" spans="1:2" x14ac:dyDescent="0.25">
      <c r="A57" s="23" t="s">
        <v>587</v>
      </c>
    </row>
    <row r="58" spans="1:2" x14ac:dyDescent="0.25">
      <c r="A58" s="23" t="s">
        <v>588</v>
      </c>
    </row>
    <row r="59" spans="1:2" x14ac:dyDescent="0.25">
      <c r="A59" s="23" t="s">
        <v>593</v>
      </c>
    </row>
    <row r="60" spans="1:2" x14ac:dyDescent="0.25">
      <c r="A60" s="23" t="s">
        <v>589</v>
      </c>
    </row>
    <row r="61" spans="1:2" x14ac:dyDescent="0.25">
      <c r="A61" s="23" t="s">
        <v>590</v>
      </c>
    </row>
    <row r="62" spans="1:2" x14ac:dyDescent="0.25">
      <c r="A62" s="23" t="s">
        <v>591</v>
      </c>
    </row>
    <row r="63" spans="1:2" x14ac:dyDescent="0.25">
      <c r="A63" s="23" t="s">
        <v>607</v>
      </c>
    </row>
    <row r="64" spans="1:2" x14ac:dyDescent="0.25">
      <c r="A64" s="23" t="s">
        <v>594</v>
      </c>
    </row>
    <row r="65" spans="1:1" x14ac:dyDescent="0.25">
      <c r="A65" s="23" t="s">
        <v>600</v>
      </c>
    </row>
    <row r="66" spans="1:1" x14ac:dyDescent="0.25">
      <c r="A66" s="23" t="s">
        <v>606</v>
      </c>
    </row>
    <row r="67" spans="1:1" x14ac:dyDescent="0.25">
      <c r="A67" s="23" t="s">
        <v>601</v>
      </c>
    </row>
    <row r="68" spans="1:1" x14ac:dyDescent="0.25">
      <c r="A68" s="23" t="s">
        <v>603</v>
      </c>
    </row>
    <row r="69" spans="1:1" x14ac:dyDescent="0.25">
      <c r="A69" s="23" t="s">
        <v>608</v>
      </c>
    </row>
    <row r="70" spans="1:1" x14ac:dyDescent="0.25">
      <c r="A70" s="23" t="s">
        <v>604</v>
      </c>
    </row>
    <row r="71" spans="1:1" x14ac:dyDescent="0.25">
      <c r="A71" s="23" t="s">
        <v>605</v>
      </c>
    </row>
    <row r="73" spans="1:1" x14ac:dyDescent="0.25">
      <c r="A73" s="23" t="s">
        <v>609</v>
      </c>
    </row>
    <row r="75" spans="1:1" x14ac:dyDescent="0.25">
      <c r="A75" s="23" t="s">
        <v>835</v>
      </c>
    </row>
    <row r="77" spans="1:1" x14ac:dyDescent="0.25">
      <c r="A77" s="23" t="s">
        <v>836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8" sqref="B8"/>
    </sheetView>
  </sheetViews>
  <sheetFormatPr defaultRowHeight="13.2" x14ac:dyDescent="0.25"/>
  <sheetData>
    <row r="1" spans="1:5" x14ac:dyDescent="0.25">
      <c r="A1" s="2" t="s">
        <v>107</v>
      </c>
      <c r="B1" s="15" t="s">
        <v>108</v>
      </c>
      <c r="C1" s="2" t="s">
        <v>289</v>
      </c>
    </row>
    <row r="2" spans="1:5" x14ac:dyDescent="0.25">
      <c r="A2" t="s">
        <v>104</v>
      </c>
      <c r="B2" s="1">
        <v>0</v>
      </c>
      <c r="C2" t="s">
        <v>463</v>
      </c>
    </row>
    <row r="3" spans="1:5" x14ac:dyDescent="0.25">
      <c r="A3" t="s">
        <v>105</v>
      </c>
      <c r="B3" s="1">
        <v>0</v>
      </c>
      <c r="C3" t="s">
        <v>464</v>
      </c>
    </row>
    <row r="4" spans="1:5" x14ac:dyDescent="0.25">
      <c r="A4" t="s">
        <v>106</v>
      </c>
      <c r="B4" s="1" t="s">
        <v>543</v>
      </c>
      <c r="C4" t="s">
        <v>465</v>
      </c>
      <c r="E4" s="1"/>
    </row>
    <row r="5" spans="1:5" x14ac:dyDescent="0.25">
      <c r="A5" t="s">
        <v>500</v>
      </c>
      <c r="B5" s="1" t="s">
        <v>543</v>
      </c>
      <c r="C5" t="s">
        <v>501</v>
      </c>
      <c r="E5" s="1"/>
    </row>
    <row r="6" spans="1:5" x14ac:dyDescent="0.25">
      <c r="A6" t="s">
        <v>147</v>
      </c>
      <c r="B6" s="1" t="s">
        <v>496</v>
      </c>
      <c r="C6" t="s">
        <v>147</v>
      </c>
    </row>
    <row r="7" spans="1:5" x14ac:dyDescent="0.25">
      <c r="A7" t="s">
        <v>148</v>
      </c>
      <c r="B7" s="1" t="b">
        <v>0</v>
      </c>
      <c r="C7" t="s">
        <v>495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F8" sqref="F8"/>
    </sheetView>
  </sheetViews>
  <sheetFormatPr defaultColWidth="9.109375" defaultRowHeight="13.2" x14ac:dyDescent="0.25"/>
  <sheetData>
    <row r="1" spans="1:8" x14ac:dyDescent="0.25">
      <c r="A1" s="16" t="s">
        <v>0</v>
      </c>
      <c r="B1" s="16" t="s">
        <v>96</v>
      </c>
      <c r="C1" s="16" t="s">
        <v>97</v>
      </c>
      <c r="D1" s="16" t="s">
        <v>502</v>
      </c>
      <c r="E1" s="16" t="s">
        <v>503</v>
      </c>
      <c r="F1" s="16" t="s">
        <v>116</v>
      </c>
      <c r="G1" s="16" t="s">
        <v>117</v>
      </c>
      <c r="H1" s="15" t="s">
        <v>289</v>
      </c>
    </row>
    <row r="2" spans="1:8" x14ac:dyDescent="0.25">
      <c r="A2" t="s">
        <v>715</v>
      </c>
      <c r="B2">
        <v>52</v>
      </c>
      <c r="C2">
        <v>52</v>
      </c>
      <c r="D2">
        <v>6</v>
      </c>
      <c r="E2">
        <v>100</v>
      </c>
      <c r="F2">
        <v>26</v>
      </c>
      <c r="G2">
        <v>26</v>
      </c>
      <c r="H2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C14" sqref="C14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287</v>
      </c>
    </row>
    <row r="2" spans="1:2" x14ac:dyDescent="0.25">
      <c r="A2" t="s">
        <v>512</v>
      </c>
    </row>
    <row r="3" spans="1:2" x14ac:dyDescent="0.25">
      <c r="A3" t="s">
        <v>521</v>
      </c>
    </row>
    <row r="4" spans="1:2" x14ac:dyDescent="0.25">
      <c r="A4" t="s">
        <v>508</v>
      </c>
    </row>
    <row r="5" spans="1:2" x14ac:dyDescent="0.25">
      <c r="A5" t="s">
        <v>519</v>
      </c>
    </row>
    <row r="6" spans="1:2" x14ac:dyDescent="0.25">
      <c r="A6" s="23" t="s">
        <v>578</v>
      </c>
    </row>
    <row r="7" spans="1:2" x14ac:dyDescent="0.25">
      <c r="A7" s="23" t="s">
        <v>592</v>
      </c>
    </row>
    <row r="8" spans="1:2" x14ac:dyDescent="0.25">
      <c r="A8" s="23" t="s">
        <v>610</v>
      </c>
    </row>
    <row r="9" spans="1:2" x14ac:dyDescent="0.25">
      <c r="A9" s="23" t="s">
        <v>751</v>
      </c>
    </row>
    <row r="10" spans="1:2" x14ac:dyDescent="0.25">
      <c r="A10" s="23" t="s">
        <v>759</v>
      </c>
    </row>
    <row r="11" spans="1:2" x14ac:dyDescent="0.25">
      <c r="A11" s="23" t="s">
        <v>760</v>
      </c>
    </row>
    <row r="12" spans="1:2" x14ac:dyDescent="0.25">
      <c r="A12" s="23" t="s">
        <v>761</v>
      </c>
    </row>
    <row r="13" spans="1:2" x14ac:dyDescent="0.25">
      <c r="A13" s="23" t="s">
        <v>762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73"/>
  <sheetViews>
    <sheetView workbookViewId="0">
      <pane ySplit="1" topLeftCell="A44" activePane="bottomLeft" state="frozen"/>
      <selection pane="bottomLeft" activeCell="F59" sqref="F59"/>
    </sheetView>
  </sheetViews>
  <sheetFormatPr defaultColWidth="9.109375" defaultRowHeight="13.2" x14ac:dyDescent="0.25"/>
  <sheetData>
    <row r="1" spans="1:21" s="7" customFormat="1" x14ac:dyDescent="0.25">
      <c r="A1" s="9" t="s">
        <v>285</v>
      </c>
      <c r="B1" s="9" t="s">
        <v>0</v>
      </c>
      <c r="C1" s="9" t="s">
        <v>37</v>
      </c>
      <c r="D1" s="9" t="s">
        <v>66</v>
      </c>
      <c r="E1" s="9" t="s">
        <v>38</v>
      </c>
      <c r="F1" s="9" t="s">
        <v>39</v>
      </c>
      <c r="G1" s="9" t="s">
        <v>40</v>
      </c>
      <c r="H1" s="9" t="s">
        <v>41</v>
      </c>
      <c r="I1" s="9" t="s">
        <v>26</v>
      </c>
      <c r="J1" s="9" t="s">
        <v>27</v>
      </c>
      <c r="K1" s="9" t="s">
        <v>28</v>
      </c>
      <c r="L1" s="9" t="s">
        <v>70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44</v>
      </c>
      <c r="R1" s="9" t="s">
        <v>78</v>
      </c>
      <c r="S1" s="9" t="s">
        <v>79</v>
      </c>
      <c r="T1" s="9" t="s">
        <v>80</v>
      </c>
      <c r="U1" s="9" t="s">
        <v>87</v>
      </c>
    </row>
    <row r="2" spans="1:21" x14ac:dyDescent="0.25">
      <c r="A2" t="s">
        <v>508</v>
      </c>
      <c r="B2" t="s">
        <v>504</v>
      </c>
      <c r="C2" t="s">
        <v>128</v>
      </c>
      <c r="D2" t="s">
        <v>498</v>
      </c>
      <c r="E2">
        <v>0</v>
      </c>
      <c r="F2">
        <v>0</v>
      </c>
      <c r="G2">
        <v>26</v>
      </c>
      <c r="H2">
        <v>26</v>
      </c>
    </row>
    <row r="3" spans="1:21" x14ac:dyDescent="0.25">
      <c r="A3" t="s">
        <v>508</v>
      </c>
      <c r="B3" t="s">
        <v>514</v>
      </c>
      <c r="C3" t="s">
        <v>33</v>
      </c>
      <c r="D3" t="s">
        <v>43</v>
      </c>
      <c r="E3">
        <v>0</v>
      </c>
      <c r="F3">
        <v>11</v>
      </c>
      <c r="G3">
        <v>26</v>
      </c>
      <c r="H3">
        <v>6</v>
      </c>
      <c r="Q3" t="b">
        <v>1</v>
      </c>
    </row>
    <row r="4" spans="1:21" x14ac:dyDescent="0.25">
      <c r="A4" t="s">
        <v>508</v>
      </c>
      <c r="B4" t="s">
        <v>24</v>
      </c>
      <c r="C4" t="s">
        <v>33</v>
      </c>
      <c r="D4" t="s">
        <v>498</v>
      </c>
      <c r="E4">
        <v>0</v>
      </c>
      <c r="F4">
        <v>0</v>
      </c>
      <c r="G4">
        <v>6</v>
      </c>
      <c r="H4">
        <v>18</v>
      </c>
      <c r="I4" t="s">
        <v>599</v>
      </c>
      <c r="K4" t="b">
        <v>1</v>
      </c>
      <c r="N4" t="s">
        <v>497</v>
      </c>
      <c r="O4" t="s">
        <v>507</v>
      </c>
      <c r="P4">
        <v>1</v>
      </c>
      <c r="Q4" t="b">
        <v>1</v>
      </c>
    </row>
    <row r="5" spans="1:21" x14ac:dyDescent="0.25">
      <c r="A5" t="s">
        <v>508</v>
      </c>
      <c r="B5" t="s">
        <v>505</v>
      </c>
      <c r="C5" t="s">
        <v>128</v>
      </c>
      <c r="D5" t="s">
        <v>498</v>
      </c>
      <c r="E5">
        <v>6</v>
      </c>
      <c r="F5">
        <v>2</v>
      </c>
      <c r="G5">
        <v>20</v>
      </c>
      <c r="H5">
        <v>20</v>
      </c>
    </row>
    <row r="6" spans="1:21" x14ac:dyDescent="0.25">
      <c r="A6" t="s">
        <v>508</v>
      </c>
      <c r="B6" t="s">
        <v>38</v>
      </c>
      <c r="C6" t="s">
        <v>33</v>
      </c>
      <c r="D6" t="s">
        <v>498</v>
      </c>
      <c r="E6">
        <v>3</v>
      </c>
      <c r="F6">
        <v>18</v>
      </c>
      <c r="G6">
        <v>6</v>
      </c>
      <c r="H6">
        <v>8</v>
      </c>
      <c r="K6" t="b">
        <v>1</v>
      </c>
      <c r="P6">
        <v>1</v>
      </c>
    </row>
    <row r="7" spans="1:21" x14ac:dyDescent="0.25">
      <c r="A7" t="s">
        <v>508</v>
      </c>
      <c r="B7" t="s">
        <v>506</v>
      </c>
      <c r="C7" t="s">
        <v>33</v>
      </c>
      <c r="D7" t="s">
        <v>498</v>
      </c>
      <c r="E7">
        <v>11</v>
      </c>
      <c r="F7">
        <v>18</v>
      </c>
      <c r="G7">
        <v>6</v>
      </c>
      <c r="H7">
        <v>8</v>
      </c>
      <c r="K7" t="b">
        <v>1</v>
      </c>
      <c r="P7">
        <v>1</v>
      </c>
    </row>
    <row r="8" spans="1:21" x14ac:dyDescent="0.25">
      <c r="A8" t="s">
        <v>508</v>
      </c>
      <c r="B8" t="s">
        <v>507</v>
      </c>
      <c r="C8" t="s">
        <v>33</v>
      </c>
      <c r="D8" t="s">
        <v>498</v>
      </c>
      <c r="E8">
        <v>19</v>
      </c>
      <c r="F8">
        <v>18</v>
      </c>
      <c r="G8">
        <v>6</v>
      </c>
      <c r="H8">
        <v>8</v>
      </c>
      <c r="K8" t="b">
        <v>1</v>
      </c>
      <c r="P8">
        <v>1</v>
      </c>
    </row>
    <row r="9" spans="1:21" x14ac:dyDescent="0.25">
      <c r="A9" t="s">
        <v>521</v>
      </c>
      <c r="B9" t="s">
        <v>24</v>
      </c>
      <c r="C9" t="s">
        <v>33</v>
      </c>
      <c r="D9" t="s">
        <v>498</v>
      </c>
      <c r="E9">
        <v>0</v>
      </c>
      <c r="F9">
        <v>0</v>
      </c>
      <c r="G9">
        <v>26</v>
      </c>
      <c r="H9">
        <v>6</v>
      </c>
      <c r="I9" t="s">
        <v>599</v>
      </c>
      <c r="K9" t="b">
        <v>1</v>
      </c>
      <c r="O9" t="s">
        <v>507</v>
      </c>
      <c r="Q9" t="b">
        <v>1</v>
      </c>
    </row>
    <row r="10" spans="1:21" x14ac:dyDescent="0.25">
      <c r="A10" t="s">
        <v>521</v>
      </c>
      <c r="B10" t="s">
        <v>514</v>
      </c>
      <c r="C10" t="s">
        <v>33</v>
      </c>
      <c r="D10" t="s">
        <v>43</v>
      </c>
      <c r="E10">
        <v>0</v>
      </c>
      <c r="F10">
        <v>11</v>
      </c>
      <c r="G10">
        <v>26</v>
      </c>
      <c r="H10">
        <v>6</v>
      </c>
      <c r="Q10" t="b">
        <v>1</v>
      </c>
    </row>
    <row r="11" spans="1:21" x14ac:dyDescent="0.25">
      <c r="A11" t="s">
        <v>521</v>
      </c>
      <c r="B11" t="s">
        <v>515</v>
      </c>
      <c r="C11" t="s">
        <v>33</v>
      </c>
      <c r="D11" t="s">
        <v>498</v>
      </c>
      <c r="E11">
        <v>2</v>
      </c>
      <c r="F11">
        <v>6</v>
      </c>
      <c r="G11">
        <v>3</v>
      </c>
      <c r="H11">
        <v>3</v>
      </c>
      <c r="K11" t="b">
        <v>1</v>
      </c>
      <c r="P11">
        <v>1</v>
      </c>
    </row>
    <row r="12" spans="1:21" x14ac:dyDescent="0.25">
      <c r="A12" t="s">
        <v>521</v>
      </c>
      <c r="B12" t="s">
        <v>457</v>
      </c>
      <c r="C12" t="s">
        <v>128</v>
      </c>
      <c r="D12" t="s">
        <v>498</v>
      </c>
      <c r="E12">
        <v>8</v>
      </c>
      <c r="F12">
        <v>6</v>
      </c>
      <c r="G12">
        <v>15</v>
      </c>
      <c r="H12">
        <v>17</v>
      </c>
    </row>
    <row r="13" spans="1:21" x14ac:dyDescent="0.25">
      <c r="A13" t="s">
        <v>521</v>
      </c>
      <c r="B13" t="s">
        <v>516</v>
      </c>
      <c r="C13" t="s">
        <v>128</v>
      </c>
      <c r="D13" t="s">
        <v>498</v>
      </c>
      <c r="E13">
        <v>2</v>
      </c>
      <c r="F13">
        <v>10</v>
      </c>
      <c r="G13">
        <v>3</v>
      </c>
      <c r="H13">
        <v>3</v>
      </c>
    </row>
    <row r="14" spans="1:21" x14ac:dyDescent="0.25">
      <c r="A14" t="s">
        <v>521</v>
      </c>
      <c r="B14" t="s">
        <v>517</v>
      </c>
      <c r="C14" t="s">
        <v>33</v>
      </c>
      <c r="D14" t="s">
        <v>498</v>
      </c>
      <c r="E14">
        <v>2</v>
      </c>
      <c r="F14">
        <v>10</v>
      </c>
      <c r="G14">
        <v>6</v>
      </c>
      <c r="H14">
        <v>6</v>
      </c>
      <c r="K14" t="b">
        <v>1</v>
      </c>
      <c r="P14">
        <v>1</v>
      </c>
    </row>
    <row r="15" spans="1:21" x14ac:dyDescent="0.25">
      <c r="A15" t="s">
        <v>521</v>
      </c>
      <c r="B15" t="s">
        <v>533</v>
      </c>
      <c r="C15" t="s">
        <v>33</v>
      </c>
      <c r="D15" t="s">
        <v>42</v>
      </c>
      <c r="E15">
        <v>2</v>
      </c>
      <c r="F15">
        <v>18</v>
      </c>
      <c r="G15">
        <v>7</v>
      </c>
      <c r="H15">
        <v>8</v>
      </c>
      <c r="K15" t="b">
        <v>1</v>
      </c>
      <c r="P15">
        <v>1</v>
      </c>
    </row>
    <row r="16" spans="1:21" x14ac:dyDescent="0.25">
      <c r="A16" t="s">
        <v>521</v>
      </c>
      <c r="B16" t="s">
        <v>534</v>
      </c>
      <c r="C16" t="s">
        <v>33</v>
      </c>
      <c r="D16" t="s">
        <v>42</v>
      </c>
      <c r="E16">
        <v>14</v>
      </c>
      <c r="F16">
        <v>18</v>
      </c>
      <c r="G16">
        <v>6</v>
      </c>
      <c r="H16">
        <v>8</v>
      </c>
      <c r="K16" t="b">
        <v>1</v>
      </c>
      <c r="P16">
        <v>1</v>
      </c>
    </row>
    <row r="17" spans="1:17" x14ac:dyDescent="0.25">
      <c r="A17" t="s">
        <v>521</v>
      </c>
      <c r="B17" t="s">
        <v>535</v>
      </c>
      <c r="C17" t="s">
        <v>33</v>
      </c>
      <c r="D17" t="s">
        <v>42</v>
      </c>
      <c r="E17">
        <v>19</v>
      </c>
      <c r="F17">
        <v>18</v>
      </c>
      <c r="G17">
        <v>7</v>
      </c>
      <c r="H17">
        <v>8</v>
      </c>
      <c r="K17" t="b">
        <v>1</v>
      </c>
      <c r="P17">
        <v>1</v>
      </c>
    </row>
    <row r="18" spans="1:17" x14ac:dyDescent="0.25">
      <c r="A18" t="s">
        <v>521</v>
      </c>
      <c r="B18" t="s">
        <v>518</v>
      </c>
      <c r="C18" t="s">
        <v>33</v>
      </c>
      <c r="D18" t="s">
        <v>42</v>
      </c>
      <c r="E18">
        <v>20</v>
      </c>
      <c r="F18">
        <v>8</v>
      </c>
      <c r="G18">
        <v>6</v>
      </c>
      <c r="H18">
        <v>7</v>
      </c>
      <c r="K18" t="b">
        <v>1</v>
      </c>
      <c r="P18">
        <v>1</v>
      </c>
    </row>
    <row r="19" spans="1:17" x14ac:dyDescent="0.25">
      <c r="A19" t="s">
        <v>521</v>
      </c>
      <c r="B19" t="s">
        <v>536</v>
      </c>
      <c r="C19" t="s">
        <v>33</v>
      </c>
      <c r="D19" t="s">
        <v>43</v>
      </c>
      <c r="E19">
        <v>2</v>
      </c>
      <c r="F19">
        <v>18</v>
      </c>
      <c r="G19">
        <v>7</v>
      </c>
      <c r="H19">
        <v>8</v>
      </c>
      <c r="K19" t="b">
        <v>1</v>
      </c>
      <c r="P19">
        <v>1</v>
      </c>
    </row>
    <row r="20" spans="1:17" x14ac:dyDescent="0.25">
      <c r="A20" t="s">
        <v>521</v>
      </c>
      <c r="B20" t="s">
        <v>537</v>
      </c>
      <c r="C20" t="s">
        <v>33</v>
      </c>
      <c r="D20" t="s">
        <v>43</v>
      </c>
      <c r="E20">
        <v>14</v>
      </c>
      <c r="F20">
        <v>18</v>
      </c>
      <c r="G20">
        <v>6</v>
      </c>
      <c r="H20">
        <v>8</v>
      </c>
      <c r="K20" t="b">
        <v>1</v>
      </c>
      <c r="P20">
        <v>1</v>
      </c>
    </row>
    <row r="21" spans="1:17" x14ac:dyDescent="0.25">
      <c r="A21" t="s">
        <v>521</v>
      </c>
      <c r="B21" t="s">
        <v>538</v>
      </c>
      <c r="C21" t="s">
        <v>33</v>
      </c>
      <c r="D21" t="s">
        <v>43</v>
      </c>
      <c r="E21">
        <v>19</v>
      </c>
      <c r="F21">
        <v>18</v>
      </c>
      <c r="G21">
        <v>7</v>
      </c>
      <c r="H21">
        <v>8</v>
      </c>
      <c r="K21" t="b">
        <v>1</v>
      </c>
      <c r="P21">
        <v>1</v>
      </c>
    </row>
    <row r="22" spans="1:17" x14ac:dyDescent="0.25">
      <c r="A22" t="s">
        <v>512</v>
      </c>
      <c r="B22" t="s">
        <v>504</v>
      </c>
      <c r="C22" s="23" t="s">
        <v>33</v>
      </c>
      <c r="D22" s="23" t="s">
        <v>42</v>
      </c>
      <c r="E22">
        <v>6</v>
      </c>
      <c r="F22">
        <v>1</v>
      </c>
      <c r="G22">
        <v>20</v>
      </c>
      <c r="H22">
        <v>17</v>
      </c>
      <c r="I22" s="23" t="s">
        <v>668</v>
      </c>
      <c r="K22" t="b">
        <v>1</v>
      </c>
      <c r="P22">
        <v>1</v>
      </c>
    </row>
    <row r="23" spans="1:17" x14ac:dyDescent="0.25">
      <c r="A23" t="s">
        <v>512</v>
      </c>
      <c r="B23" t="s">
        <v>24</v>
      </c>
      <c r="C23" t="s">
        <v>33</v>
      </c>
      <c r="D23" t="s">
        <v>42</v>
      </c>
      <c r="E23">
        <v>0</v>
      </c>
      <c r="F23">
        <v>0</v>
      </c>
      <c r="G23">
        <v>6</v>
      </c>
      <c r="H23">
        <v>19</v>
      </c>
      <c r="I23" t="s">
        <v>599</v>
      </c>
      <c r="J23">
        <v>8</v>
      </c>
      <c r="K23" t="b">
        <v>1</v>
      </c>
      <c r="N23" t="s">
        <v>497</v>
      </c>
      <c r="O23" s="23" t="s">
        <v>648</v>
      </c>
      <c r="P23">
        <v>0</v>
      </c>
      <c r="Q23" t="b">
        <v>1</v>
      </c>
    </row>
    <row r="24" spans="1:17" x14ac:dyDescent="0.25">
      <c r="A24" t="s">
        <v>512</v>
      </c>
      <c r="B24" t="s">
        <v>38</v>
      </c>
      <c r="C24" t="s">
        <v>33</v>
      </c>
      <c r="D24" t="s">
        <v>42</v>
      </c>
      <c r="E24">
        <v>3</v>
      </c>
      <c r="F24">
        <v>18</v>
      </c>
      <c r="G24">
        <v>6</v>
      </c>
      <c r="H24">
        <v>8</v>
      </c>
      <c r="K24" t="b">
        <v>1</v>
      </c>
      <c r="P24">
        <v>1</v>
      </c>
      <c r="Q24" t="b">
        <v>1</v>
      </c>
    </row>
    <row r="25" spans="1:17" x14ac:dyDescent="0.25">
      <c r="A25" t="s">
        <v>512</v>
      </c>
      <c r="B25" t="s">
        <v>507</v>
      </c>
      <c r="C25" t="s">
        <v>33</v>
      </c>
      <c r="D25" t="s">
        <v>42</v>
      </c>
      <c r="E25">
        <v>19</v>
      </c>
      <c r="F25">
        <v>18</v>
      </c>
      <c r="G25">
        <v>6</v>
      </c>
      <c r="H25">
        <v>8</v>
      </c>
      <c r="K25" t="b">
        <v>1</v>
      </c>
      <c r="P25">
        <v>1</v>
      </c>
      <c r="Q25" t="b">
        <v>1</v>
      </c>
    </row>
    <row r="26" spans="1:17" x14ac:dyDescent="0.25">
      <c r="A26" t="s">
        <v>519</v>
      </c>
      <c r="B26" t="s">
        <v>24</v>
      </c>
      <c r="C26" t="s">
        <v>33</v>
      </c>
      <c r="D26" t="s">
        <v>498</v>
      </c>
      <c r="E26">
        <v>0</v>
      </c>
      <c r="F26">
        <v>0</v>
      </c>
      <c r="G26">
        <v>26</v>
      </c>
      <c r="H26">
        <v>6</v>
      </c>
      <c r="I26" t="s">
        <v>599</v>
      </c>
      <c r="J26">
        <v>6</v>
      </c>
      <c r="K26" t="b">
        <v>1</v>
      </c>
      <c r="O26" t="s">
        <v>507</v>
      </c>
      <c r="Q26" t="b">
        <v>1</v>
      </c>
    </row>
    <row r="27" spans="1:17" x14ac:dyDescent="0.25">
      <c r="A27" t="s">
        <v>519</v>
      </c>
      <c r="B27" t="s">
        <v>514</v>
      </c>
      <c r="C27" t="s">
        <v>33</v>
      </c>
      <c r="D27" t="s">
        <v>43</v>
      </c>
      <c r="E27">
        <v>0</v>
      </c>
      <c r="F27">
        <v>11</v>
      </c>
      <c r="G27">
        <v>26</v>
      </c>
      <c r="H27">
        <v>6</v>
      </c>
      <c r="J27">
        <v>6</v>
      </c>
      <c r="Q27" t="b">
        <v>1</v>
      </c>
    </row>
    <row r="28" spans="1:17" x14ac:dyDescent="0.25">
      <c r="A28" t="s">
        <v>519</v>
      </c>
      <c r="B28" t="s">
        <v>515</v>
      </c>
      <c r="C28" t="s">
        <v>33</v>
      </c>
      <c r="D28" t="s">
        <v>498</v>
      </c>
      <c r="E28">
        <v>2</v>
      </c>
      <c r="F28">
        <v>6</v>
      </c>
      <c r="G28">
        <v>3</v>
      </c>
      <c r="H28">
        <v>3</v>
      </c>
      <c r="J28">
        <v>6</v>
      </c>
      <c r="K28" t="b">
        <v>1</v>
      </c>
      <c r="P28">
        <v>1</v>
      </c>
    </row>
    <row r="29" spans="1:17" x14ac:dyDescent="0.25">
      <c r="A29" t="s">
        <v>519</v>
      </c>
      <c r="B29" t="s">
        <v>457</v>
      </c>
      <c r="C29" t="s">
        <v>128</v>
      </c>
      <c r="D29" t="s">
        <v>498</v>
      </c>
      <c r="E29">
        <v>6</v>
      </c>
      <c r="F29">
        <v>5</v>
      </c>
      <c r="G29">
        <v>15</v>
      </c>
      <c r="H29">
        <v>17</v>
      </c>
    </row>
    <row r="30" spans="1:17" x14ac:dyDescent="0.25">
      <c r="A30" t="s">
        <v>519</v>
      </c>
      <c r="B30" t="s">
        <v>516</v>
      </c>
      <c r="C30" t="s">
        <v>128</v>
      </c>
      <c r="D30" t="s">
        <v>498</v>
      </c>
      <c r="E30">
        <v>2</v>
      </c>
      <c r="F30">
        <v>10</v>
      </c>
      <c r="G30">
        <v>3</v>
      </c>
      <c r="H30">
        <v>3</v>
      </c>
    </row>
    <row r="31" spans="1:17" x14ac:dyDescent="0.25">
      <c r="A31" t="s">
        <v>519</v>
      </c>
      <c r="B31" t="s">
        <v>517</v>
      </c>
      <c r="C31" t="s">
        <v>33</v>
      </c>
      <c r="D31" t="s">
        <v>498</v>
      </c>
      <c r="E31">
        <v>2</v>
      </c>
      <c r="F31">
        <v>7</v>
      </c>
      <c r="G31">
        <v>6</v>
      </c>
      <c r="H31">
        <v>7</v>
      </c>
      <c r="K31" t="b">
        <v>1</v>
      </c>
      <c r="P31">
        <v>1</v>
      </c>
    </row>
    <row r="32" spans="1:17" x14ac:dyDescent="0.25">
      <c r="A32" t="s">
        <v>519</v>
      </c>
      <c r="B32" t="s">
        <v>533</v>
      </c>
      <c r="C32" t="s">
        <v>33</v>
      </c>
      <c r="D32" t="s">
        <v>42</v>
      </c>
      <c r="E32">
        <v>2</v>
      </c>
      <c r="F32">
        <v>18</v>
      </c>
      <c r="G32">
        <v>7</v>
      </c>
      <c r="H32">
        <v>8</v>
      </c>
      <c r="K32" t="b">
        <v>1</v>
      </c>
      <c r="P32">
        <v>1</v>
      </c>
    </row>
    <row r="33" spans="1:17" x14ac:dyDescent="0.25">
      <c r="A33" t="s">
        <v>519</v>
      </c>
      <c r="B33" t="s">
        <v>534</v>
      </c>
      <c r="C33" t="s">
        <v>33</v>
      </c>
      <c r="D33" t="s">
        <v>42</v>
      </c>
      <c r="E33">
        <v>11</v>
      </c>
      <c r="F33">
        <v>18</v>
      </c>
      <c r="G33">
        <v>6</v>
      </c>
      <c r="H33">
        <v>8</v>
      </c>
      <c r="K33" t="b">
        <v>1</v>
      </c>
      <c r="P33">
        <v>1</v>
      </c>
    </row>
    <row r="34" spans="1:17" x14ac:dyDescent="0.25">
      <c r="A34" t="s">
        <v>519</v>
      </c>
      <c r="B34" t="s">
        <v>535</v>
      </c>
      <c r="C34" t="s">
        <v>33</v>
      </c>
      <c r="D34" t="s">
        <v>42</v>
      </c>
      <c r="E34">
        <v>18</v>
      </c>
      <c r="F34">
        <v>18</v>
      </c>
      <c r="G34">
        <v>7</v>
      </c>
      <c r="H34">
        <v>8</v>
      </c>
      <c r="K34" t="b">
        <v>1</v>
      </c>
      <c r="P34">
        <v>1</v>
      </c>
    </row>
    <row r="35" spans="1:17" x14ac:dyDescent="0.25">
      <c r="A35" t="s">
        <v>519</v>
      </c>
      <c r="B35" t="s">
        <v>518</v>
      </c>
      <c r="C35" t="s">
        <v>33</v>
      </c>
      <c r="D35" t="s">
        <v>42</v>
      </c>
      <c r="E35">
        <v>20</v>
      </c>
      <c r="F35">
        <v>7</v>
      </c>
      <c r="G35">
        <v>6</v>
      </c>
      <c r="H35">
        <v>7</v>
      </c>
      <c r="K35" t="b">
        <v>1</v>
      </c>
      <c r="P35">
        <v>1</v>
      </c>
    </row>
    <row r="36" spans="1:17" x14ac:dyDescent="0.25">
      <c r="A36" t="s">
        <v>519</v>
      </c>
      <c r="B36" t="s">
        <v>536</v>
      </c>
      <c r="C36" t="s">
        <v>33</v>
      </c>
      <c r="D36" t="s">
        <v>43</v>
      </c>
      <c r="E36">
        <v>2</v>
      </c>
      <c r="F36">
        <v>18</v>
      </c>
      <c r="G36">
        <v>7</v>
      </c>
      <c r="H36">
        <v>8</v>
      </c>
      <c r="K36" t="b">
        <v>1</v>
      </c>
      <c r="P36">
        <v>1</v>
      </c>
    </row>
    <row r="37" spans="1:17" x14ac:dyDescent="0.25">
      <c r="A37" t="s">
        <v>519</v>
      </c>
      <c r="B37" t="s">
        <v>537</v>
      </c>
      <c r="C37" t="s">
        <v>33</v>
      </c>
      <c r="D37" t="s">
        <v>43</v>
      </c>
      <c r="E37">
        <v>11</v>
      </c>
      <c r="F37">
        <v>18</v>
      </c>
      <c r="G37">
        <v>6</v>
      </c>
      <c r="H37">
        <v>8</v>
      </c>
      <c r="K37" t="b">
        <v>1</v>
      </c>
      <c r="P37">
        <v>1</v>
      </c>
    </row>
    <row r="38" spans="1:17" x14ac:dyDescent="0.25">
      <c r="A38" t="s">
        <v>519</v>
      </c>
      <c r="B38" t="s">
        <v>538</v>
      </c>
      <c r="C38" t="s">
        <v>33</v>
      </c>
      <c r="D38" t="s">
        <v>43</v>
      </c>
      <c r="E38">
        <v>18</v>
      </c>
      <c r="F38">
        <v>18</v>
      </c>
      <c r="G38">
        <v>7</v>
      </c>
      <c r="H38">
        <v>8</v>
      </c>
      <c r="K38" t="b">
        <v>1</v>
      </c>
      <c r="P38">
        <v>1</v>
      </c>
    </row>
    <row r="39" spans="1:17" x14ac:dyDescent="0.25">
      <c r="A39" s="24" t="s">
        <v>578</v>
      </c>
      <c r="B39" s="24" t="s">
        <v>39</v>
      </c>
      <c r="C39" s="24" t="s">
        <v>33</v>
      </c>
      <c r="D39" s="24" t="s">
        <v>42</v>
      </c>
      <c r="E39">
        <v>0</v>
      </c>
      <c r="F39">
        <v>0</v>
      </c>
      <c r="G39">
        <v>26</v>
      </c>
      <c r="H39">
        <v>13</v>
      </c>
      <c r="Q39" t="b">
        <v>1</v>
      </c>
    </row>
    <row r="40" spans="1:17" x14ac:dyDescent="0.25">
      <c r="A40" s="24" t="s">
        <v>578</v>
      </c>
      <c r="B40" s="24" t="s">
        <v>579</v>
      </c>
      <c r="C40" s="24" t="s">
        <v>33</v>
      </c>
      <c r="D40" s="24" t="s">
        <v>42</v>
      </c>
      <c r="E40">
        <v>0</v>
      </c>
      <c r="F40">
        <v>13</v>
      </c>
      <c r="G40">
        <v>26</v>
      </c>
      <c r="H40">
        <v>13</v>
      </c>
    </row>
    <row r="41" spans="1:17" x14ac:dyDescent="0.25">
      <c r="A41" t="s">
        <v>592</v>
      </c>
      <c r="B41" t="s">
        <v>24</v>
      </c>
      <c r="C41" t="s">
        <v>33</v>
      </c>
      <c r="D41" t="s">
        <v>498</v>
      </c>
      <c r="E41">
        <v>8</v>
      </c>
      <c r="F41">
        <v>0</v>
      </c>
      <c r="G41">
        <v>18</v>
      </c>
      <c r="H41">
        <v>6</v>
      </c>
      <c r="I41" t="s">
        <v>599</v>
      </c>
      <c r="J41">
        <v>6</v>
      </c>
      <c r="K41" t="b">
        <v>1</v>
      </c>
      <c r="O41" t="s">
        <v>507</v>
      </c>
      <c r="Q41" t="b">
        <v>1</v>
      </c>
    </row>
    <row r="42" spans="1:17" x14ac:dyDescent="0.25">
      <c r="A42" t="s">
        <v>592</v>
      </c>
      <c r="B42" t="s">
        <v>514</v>
      </c>
      <c r="C42" t="s">
        <v>33</v>
      </c>
      <c r="D42" t="s">
        <v>43</v>
      </c>
      <c r="E42">
        <v>0</v>
      </c>
      <c r="F42">
        <v>11</v>
      </c>
      <c r="G42">
        <v>26</v>
      </c>
      <c r="H42">
        <v>6</v>
      </c>
      <c r="J42">
        <v>6</v>
      </c>
      <c r="Q42" t="b">
        <v>1</v>
      </c>
    </row>
    <row r="43" spans="1:17" x14ac:dyDescent="0.25">
      <c r="A43" t="s">
        <v>592</v>
      </c>
      <c r="B43" t="s">
        <v>515</v>
      </c>
      <c r="C43" t="s">
        <v>33</v>
      </c>
      <c r="D43" t="s">
        <v>498</v>
      </c>
      <c r="E43">
        <v>2</v>
      </c>
      <c r="F43">
        <v>6</v>
      </c>
      <c r="G43">
        <v>3</v>
      </c>
      <c r="H43">
        <v>3</v>
      </c>
      <c r="J43">
        <v>6</v>
      </c>
      <c r="K43" t="b">
        <v>1</v>
      </c>
      <c r="P43">
        <v>1</v>
      </c>
    </row>
    <row r="44" spans="1:17" x14ac:dyDescent="0.25">
      <c r="A44" t="s">
        <v>592</v>
      </c>
      <c r="B44" t="s">
        <v>457</v>
      </c>
      <c r="C44" t="s">
        <v>128</v>
      </c>
      <c r="D44" t="s">
        <v>498</v>
      </c>
      <c r="E44">
        <v>3</v>
      </c>
      <c r="F44">
        <v>7</v>
      </c>
      <c r="G44">
        <v>20</v>
      </c>
      <c r="H44">
        <v>12</v>
      </c>
    </row>
    <row r="45" spans="1:17" x14ac:dyDescent="0.25">
      <c r="A45" t="s">
        <v>592</v>
      </c>
      <c r="B45" t="s">
        <v>516</v>
      </c>
      <c r="C45" t="s">
        <v>128</v>
      </c>
      <c r="D45" t="s">
        <v>498</v>
      </c>
      <c r="E45">
        <v>2</v>
      </c>
      <c r="F45">
        <v>10</v>
      </c>
      <c r="G45">
        <v>3</v>
      </c>
      <c r="H45">
        <v>3</v>
      </c>
    </row>
    <row r="46" spans="1:17" x14ac:dyDescent="0.25">
      <c r="A46" t="s">
        <v>592</v>
      </c>
      <c r="B46" t="s">
        <v>517</v>
      </c>
      <c r="C46" t="s">
        <v>33</v>
      </c>
      <c r="D46" t="s">
        <v>498</v>
      </c>
      <c r="E46">
        <v>2</v>
      </c>
      <c r="F46">
        <v>10</v>
      </c>
      <c r="G46">
        <v>6</v>
      </c>
      <c r="H46">
        <v>6</v>
      </c>
      <c r="J46">
        <v>6</v>
      </c>
      <c r="K46" t="b">
        <v>1</v>
      </c>
      <c r="P46">
        <v>1</v>
      </c>
    </row>
    <row r="47" spans="1:17" x14ac:dyDescent="0.25">
      <c r="A47" t="s">
        <v>592</v>
      </c>
      <c r="B47" t="s">
        <v>533</v>
      </c>
      <c r="C47" t="s">
        <v>33</v>
      </c>
      <c r="D47" t="s">
        <v>42</v>
      </c>
      <c r="E47">
        <v>2</v>
      </c>
      <c r="F47">
        <v>18</v>
      </c>
      <c r="G47">
        <v>8</v>
      </c>
      <c r="H47">
        <v>7</v>
      </c>
      <c r="J47">
        <v>6</v>
      </c>
      <c r="K47" t="b">
        <v>1</v>
      </c>
      <c r="P47">
        <v>1</v>
      </c>
    </row>
    <row r="48" spans="1:17" x14ac:dyDescent="0.25">
      <c r="A48" t="s">
        <v>592</v>
      </c>
      <c r="B48" t="s">
        <v>534</v>
      </c>
      <c r="C48" t="s">
        <v>33</v>
      </c>
      <c r="D48" t="s">
        <v>42</v>
      </c>
      <c r="E48">
        <v>11</v>
      </c>
      <c r="F48">
        <v>18</v>
      </c>
      <c r="G48">
        <v>6</v>
      </c>
      <c r="H48">
        <v>8</v>
      </c>
      <c r="K48" t="b">
        <v>1</v>
      </c>
      <c r="P48">
        <v>1</v>
      </c>
    </row>
    <row r="49" spans="1:17" x14ac:dyDescent="0.25">
      <c r="A49" t="s">
        <v>592</v>
      </c>
      <c r="B49" t="s">
        <v>535</v>
      </c>
      <c r="C49" t="s">
        <v>33</v>
      </c>
      <c r="D49" t="s">
        <v>42</v>
      </c>
      <c r="E49">
        <v>18</v>
      </c>
      <c r="F49">
        <v>18</v>
      </c>
      <c r="G49">
        <v>7</v>
      </c>
      <c r="H49">
        <v>8</v>
      </c>
      <c r="K49" t="b">
        <v>1</v>
      </c>
      <c r="P49">
        <v>1</v>
      </c>
    </row>
    <row r="50" spans="1:17" x14ac:dyDescent="0.25">
      <c r="A50" t="s">
        <v>592</v>
      </c>
      <c r="B50" t="s">
        <v>518</v>
      </c>
      <c r="C50" t="s">
        <v>33</v>
      </c>
      <c r="D50" t="s">
        <v>42</v>
      </c>
      <c r="E50">
        <v>0</v>
      </c>
      <c r="F50">
        <v>0</v>
      </c>
      <c r="G50">
        <v>8</v>
      </c>
      <c r="H50">
        <v>5</v>
      </c>
      <c r="J50">
        <v>4</v>
      </c>
      <c r="K50" t="b">
        <v>1</v>
      </c>
      <c r="P50">
        <v>1</v>
      </c>
    </row>
    <row r="51" spans="1:17" x14ac:dyDescent="0.25">
      <c r="A51" t="s">
        <v>592</v>
      </c>
      <c r="B51" t="s">
        <v>536</v>
      </c>
      <c r="C51" t="s">
        <v>33</v>
      </c>
      <c r="D51" t="s">
        <v>43</v>
      </c>
      <c r="E51">
        <v>2</v>
      </c>
      <c r="F51">
        <v>18</v>
      </c>
      <c r="G51">
        <v>7</v>
      </c>
      <c r="H51">
        <v>8</v>
      </c>
      <c r="K51" t="b">
        <v>1</v>
      </c>
      <c r="P51">
        <v>1</v>
      </c>
    </row>
    <row r="52" spans="1:17" x14ac:dyDescent="0.25">
      <c r="A52" t="s">
        <v>592</v>
      </c>
      <c r="B52" t="s">
        <v>537</v>
      </c>
      <c r="C52" t="s">
        <v>33</v>
      </c>
      <c r="D52" t="s">
        <v>43</v>
      </c>
      <c r="E52">
        <v>11</v>
      </c>
      <c r="F52">
        <v>18</v>
      </c>
      <c r="G52">
        <v>6</v>
      </c>
      <c r="H52">
        <v>8</v>
      </c>
      <c r="K52" t="b">
        <v>1</v>
      </c>
      <c r="P52">
        <v>1</v>
      </c>
    </row>
    <row r="53" spans="1:17" x14ac:dyDescent="0.25">
      <c r="A53" t="s">
        <v>592</v>
      </c>
      <c r="B53" t="s">
        <v>538</v>
      </c>
      <c r="C53" t="s">
        <v>33</v>
      </c>
      <c r="D53" t="s">
        <v>43</v>
      </c>
      <c r="E53">
        <v>18</v>
      </c>
      <c r="F53">
        <v>18</v>
      </c>
      <c r="G53">
        <v>7</v>
      </c>
      <c r="H53">
        <v>8</v>
      </c>
      <c r="K53" t="b">
        <v>1</v>
      </c>
      <c r="P53">
        <v>1</v>
      </c>
    </row>
    <row r="54" spans="1:17" x14ac:dyDescent="0.25">
      <c r="A54" s="23" t="s">
        <v>610</v>
      </c>
      <c r="B54" t="s">
        <v>24</v>
      </c>
      <c r="C54" t="s">
        <v>33</v>
      </c>
      <c r="D54" t="s">
        <v>498</v>
      </c>
      <c r="E54">
        <v>8</v>
      </c>
      <c r="F54">
        <v>0</v>
      </c>
      <c r="G54">
        <v>18</v>
      </c>
      <c r="H54">
        <v>6</v>
      </c>
      <c r="I54" t="s">
        <v>599</v>
      </c>
      <c r="J54">
        <v>6</v>
      </c>
      <c r="K54" t="b">
        <v>1</v>
      </c>
      <c r="O54" t="s">
        <v>507</v>
      </c>
      <c r="Q54" t="b">
        <v>1</v>
      </c>
    </row>
    <row r="55" spans="1:17" x14ac:dyDescent="0.25">
      <c r="A55" s="23" t="s">
        <v>610</v>
      </c>
      <c r="B55" t="s">
        <v>514</v>
      </c>
      <c r="C55" t="s">
        <v>33</v>
      </c>
      <c r="D55" t="s">
        <v>43</v>
      </c>
      <c r="E55">
        <v>0</v>
      </c>
      <c r="F55">
        <v>11</v>
      </c>
      <c r="G55">
        <v>26</v>
      </c>
      <c r="H55">
        <v>6</v>
      </c>
      <c r="J55">
        <v>6</v>
      </c>
      <c r="Q55" t="b">
        <v>1</v>
      </c>
    </row>
    <row r="56" spans="1:17" x14ac:dyDescent="0.25">
      <c r="A56" s="23" t="s">
        <v>610</v>
      </c>
      <c r="B56" t="s">
        <v>515</v>
      </c>
      <c r="C56" t="s">
        <v>33</v>
      </c>
      <c r="D56" t="s">
        <v>498</v>
      </c>
      <c r="E56">
        <v>2</v>
      </c>
      <c r="F56">
        <v>6</v>
      </c>
      <c r="G56">
        <v>3</v>
      </c>
      <c r="H56">
        <v>3</v>
      </c>
      <c r="J56">
        <v>6</v>
      </c>
      <c r="K56" t="b">
        <v>1</v>
      </c>
      <c r="P56">
        <v>1</v>
      </c>
    </row>
    <row r="57" spans="1:17" x14ac:dyDescent="0.25">
      <c r="A57" s="23" t="s">
        <v>610</v>
      </c>
      <c r="B57" t="s">
        <v>457</v>
      </c>
      <c r="C57" t="s">
        <v>128</v>
      </c>
      <c r="D57" t="s">
        <v>498</v>
      </c>
      <c r="E57">
        <v>2</v>
      </c>
      <c r="F57">
        <v>9</v>
      </c>
      <c r="G57">
        <v>16</v>
      </c>
      <c r="H57">
        <v>10</v>
      </c>
    </row>
    <row r="58" spans="1:17" x14ac:dyDescent="0.25">
      <c r="A58" s="23" t="s">
        <v>610</v>
      </c>
      <c r="B58" t="s">
        <v>516</v>
      </c>
      <c r="C58" t="s">
        <v>128</v>
      </c>
      <c r="D58" t="s">
        <v>498</v>
      </c>
      <c r="E58">
        <v>14</v>
      </c>
      <c r="F58">
        <v>5</v>
      </c>
      <c r="G58">
        <v>12</v>
      </c>
      <c r="H58">
        <v>12</v>
      </c>
    </row>
    <row r="59" spans="1:17" x14ac:dyDescent="0.25">
      <c r="A59" s="23" t="s">
        <v>610</v>
      </c>
      <c r="B59" t="s">
        <v>517</v>
      </c>
      <c r="C59" t="s">
        <v>33</v>
      </c>
      <c r="D59" t="s">
        <v>498</v>
      </c>
      <c r="E59">
        <v>2</v>
      </c>
      <c r="F59">
        <v>14</v>
      </c>
      <c r="G59">
        <v>3</v>
      </c>
      <c r="H59">
        <v>3</v>
      </c>
      <c r="J59">
        <v>6</v>
      </c>
      <c r="K59" t="b">
        <v>1</v>
      </c>
      <c r="P59">
        <v>1</v>
      </c>
    </row>
    <row r="60" spans="1:17" x14ac:dyDescent="0.25">
      <c r="A60" s="23" t="s">
        <v>610</v>
      </c>
      <c r="B60" t="s">
        <v>533</v>
      </c>
      <c r="C60" t="s">
        <v>33</v>
      </c>
      <c r="D60" t="s">
        <v>42</v>
      </c>
      <c r="E60">
        <v>2</v>
      </c>
      <c r="F60">
        <v>19</v>
      </c>
      <c r="G60">
        <v>8</v>
      </c>
      <c r="H60">
        <v>7</v>
      </c>
      <c r="J60">
        <v>6</v>
      </c>
      <c r="K60" t="b">
        <v>1</v>
      </c>
      <c r="P60">
        <v>1</v>
      </c>
    </row>
    <row r="61" spans="1:17" x14ac:dyDescent="0.25">
      <c r="A61" s="23" t="s">
        <v>610</v>
      </c>
      <c r="B61" t="s">
        <v>534</v>
      </c>
      <c r="C61" t="s">
        <v>33</v>
      </c>
      <c r="D61" t="s">
        <v>42</v>
      </c>
      <c r="E61">
        <v>11</v>
      </c>
      <c r="F61">
        <v>18</v>
      </c>
      <c r="G61">
        <v>6</v>
      </c>
      <c r="H61">
        <v>8</v>
      </c>
      <c r="K61" t="b">
        <v>1</v>
      </c>
      <c r="P61">
        <v>1</v>
      </c>
    </row>
    <row r="62" spans="1:17" x14ac:dyDescent="0.25">
      <c r="A62" s="23" t="s">
        <v>610</v>
      </c>
      <c r="B62" t="s">
        <v>535</v>
      </c>
      <c r="C62" t="s">
        <v>33</v>
      </c>
      <c r="D62" t="s">
        <v>42</v>
      </c>
      <c r="E62">
        <v>18</v>
      </c>
      <c r="F62">
        <v>18</v>
      </c>
      <c r="G62">
        <v>7</v>
      </c>
      <c r="H62">
        <v>8</v>
      </c>
      <c r="K62" t="b">
        <v>1</v>
      </c>
      <c r="P62">
        <v>1</v>
      </c>
    </row>
    <row r="63" spans="1:17" x14ac:dyDescent="0.25">
      <c r="A63" s="23" t="s">
        <v>610</v>
      </c>
      <c r="B63" t="s">
        <v>518</v>
      </c>
      <c r="C63" t="s">
        <v>33</v>
      </c>
      <c r="D63" t="s">
        <v>42</v>
      </c>
      <c r="E63">
        <v>0</v>
      </c>
      <c r="F63">
        <v>0</v>
      </c>
      <c r="G63">
        <v>8</v>
      </c>
      <c r="H63">
        <v>5</v>
      </c>
      <c r="J63">
        <v>4</v>
      </c>
      <c r="K63" t="b">
        <v>1</v>
      </c>
      <c r="P63">
        <v>1</v>
      </c>
    </row>
    <row r="64" spans="1:17" x14ac:dyDescent="0.25">
      <c r="A64" s="23" t="s">
        <v>610</v>
      </c>
      <c r="B64" t="s">
        <v>536</v>
      </c>
      <c r="C64" t="s">
        <v>33</v>
      </c>
      <c r="D64" t="s">
        <v>43</v>
      </c>
      <c r="E64">
        <v>2</v>
      </c>
      <c r="F64">
        <v>18</v>
      </c>
      <c r="G64">
        <v>7</v>
      </c>
      <c r="H64">
        <v>8</v>
      </c>
      <c r="K64" t="b">
        <v>1</v>
      </c>
      <c r="P64">
        <v>1</v>
      </c>
    </row>
    <row r="65" spans="1:17" x14ac:dyDescent="0.25">
      <c r="A65" s="23" t="s">
        <v>610</v>
      </c>
      <c r="B65" t="s">
        <v>537</v>
      </c>
      <c r="C65" t="s">
        <v>33</v>
      </c>
      <c r="D65" t="s">
        <v>43</v>
      </c>
      <c r="E65">
        <v>11</v>
      </c>
      <c r="F65">
        <v>18</v>
      </c>
      <c r="G65">
        <v>6</v>
      </c>
      <c r="H65">
        <v>8</v>
      </c>
      <c r="K65" t="b">
        <v>1</v>
      </c>
      <c r="P65">
        <v>1</v>
      </c>
    </row>
    <row r="66" spans="1:17" x14ac:dyDescent="0.25">
      <c r="A66" t="s">
        <v>610</v>
      </c>
      <c r="B66" t="s">
        <v>538</v>
      </c>
      <c r="C66" t="s">
        <v>33</v>
      </c>
      <c r="D66" t="s">
        <v>43</v>
      </c>
      <c r="E66">
        <v>18</v>
      </c>
      <c r="F66">
        <v>18</v>
      </c>
      <c r="G66">
        <v>7</v>
      </c>
      <c r="H66">
        <v>8</v>
      </c>
      <c r="K66" t="b">
        <v>1</v>
      </c>
      <c r="P66">
        <v>1</v>
      </c>
    </row>
    <row r="67" spans="1:17" x14ac:dyDescent="0.25">
      <c r="A67" t="s">
        <v>751</v>
      </c>
      <c r="B67" t="s">
        <v>24</v>
      </c>
      <c r="C67" t="s">
        <v>33</v>
      </c>
      <c r="D67" t="s">
        <v>42</v>
      </c>
      <c r="E67">
        <v>0</v>
      </c>
      <c r="F67">
        <v>0</v>
      </c>
      <c r="G67">
        <v>26</v>
      </c>
      <c r="H67">
        <v>19</v>
      </c>
      <c r="I67" t="s">
        <v>752</v>
      </c>
      <c r="J67">
        <v>30</v>
      </c>
      <c r="K67" t="b">
        <v>1</v>
      </c>
      <c r="L67" t="b">
        <v>1</v>
      </c>
      <c r="O67" s="23" t="s">
        <v>648</v>
      </c>
      <c r="P67">
        <v>1</v>
      </c>
      <c r="Q67" t="b">
        <v>1</v>
      </c>
    </row>
    <row r="68" spans="1:17" x14ac:dyDescent="0.25">
      <c r="A68" t="s">
        <v>751</v>
      </c>
      <c r="B68" t="s">
        <v>38</v>
      </c>
      <c r="C68" t="s">
        <v>33</v>
      </c>
      <c r="D68" t="s">
        <v>42</v>
      </c>
      <c r="E68">
        <v>3</v>
      </c>
      <c r="F68">
        <v>18</v>
      </c>
      <c r="G68">
        <v>6</v>
      </c>
      <c r="H68">
        <v>8</v>
      </c>
      <c r="K68" t="b">
        <v>1</v>
      </c>
      <c r="P68">
        <v>1</v>
      </c>
      <c r="Q68" t="b">
        <v>1</v>
      </c>
    </row>
    <row r="69" spans="1:17" x14ac:dyDescent="0.25">
      <c r="A69" t="s">
        <v>751</v>
      </c>
      <c r="B69" t="s">
        <v>507</v>
      </c>
      <c r="C69" t="s">
        <v>33</v>
      </c>
      <c r="D69" t="s">
        <v>42</v>
      </c>
      <c r="E69">
        <v>19</v>
      </c>
      <c r="F69">
        <v>18</v>
      </c>
      <c r="G69">
        <v>6</v>
      </c>
      <c r="H69">
        <v>8</v>
      </c>
      <c r="K69" t="b">
        <v>1</v>
      </c>
      <c r="P69">
        <v>1</v>
      </c>
      <c r="Q69" t="b">
        <v>1</v>
      </c>
    </row>
    <row r="70" spans="1:17" x14ac:dyDescent="0.25">
      <c r="A70" t="s">
        <v>759</v>
      </c>
      <c r="B70" t="s">
        <v>24</v>
      </c>
      <c r="C70" t="s">
        <v>33</v>
      </c>
      <c r="D70" t="s">
        <v>42</v>
      </c>
      <c r="E70">
        <v>0</v>
      </c>
      <c r="F70">
        <v>0</v>
      </c>
      <c r="G70">
        <v>26</v>
      </c>
      <c r="H70">
        <v>26</v>
      </c>
      <c r="I70" t="s">
        <v>752</v>
      </c>
      <c r="J70">
        <v>40</v>
      </c>
      <c r="K70" t="b">
        <v>1</v>
      </c>
      <c r="L70" t="b">
        <v>1</v>
      </c>
      <c r="O70" s="23" t="s">
        <v>648</v>
      </c>
      <c r="Q70" t="b">
        <v>1</v>
      </c>
    </row>
    <row r="71" spans="1:17" x14ac:dyDescent="0.25">
      <c r="A71" t="s">
        <v>760</v>
      </c>
      <c r="B71" t="s">
        <v>24</v>
      </c>
      <c r="C71" t="s">
        <v>33</v>
      </c>
      <c r="D71" t="s">
        <v>42</v>
      </c>
      <c r="E71">
        <v>0</v>
      </c>
      <c r="F71">
        <v>0</v>
      </c>
      <c r="G71">
        <v>26</v>
      </c>
      <c r="H71">
        <v>26</v>
      </c>
      <c r="I71" t="s">
        <v>752</v>
      </c>
      <c r="J71">
        <v>30</v>
      </c>
      <c r="K71" t="b">
        <v>1</v>
      </c>
      <c r="L71" t="b">
        <v>1</v>
      </c>
      <c r="O71" s="23" t="s">
        <v>648</v>
      </c>
      <c r="Q71" t="b">
        <v>1</v>
      </c>
    </row>
    <row r="72" spans="1:17" x14ac:dyDescent="0.25">
      <c r="A72" t="s">
        <v>761</v>
      </c>
      <c r="B72" t="s">
        <v>24</v>
      </c>
      <c r="C72" t="s">
        <v>33</v>
      </c>
      <c r="D72" t="s">
        <v>42</v>
      </c>
      <c r="E72">
        <v>0</v>
      </c>
      <c r="F72">
        <v>0</v>
      </c>
      <c r="G72">
        <v>26</v>
      </c>
      <c r="H72">
        <v>26</v>
      </c>
      <c r="I72" t="s">
        <v>752</v>
      </c>
      <c r="J72">
        <v>25</v>
      </c>
      <c r="K72" t="b">
        <v>1</v>
      </c>
      <c r="L72" t="b">
        <v>1</v>
      </c>
      <c r="O72" s="23" t="s">
        <v>648</v>
      </c>
      <c r="Q72" t="b">
        <v>1</v>
      </c>
    </row>
    <row r="73" spans="1:17" x14ac:dyDescent="0.25">
      <c r="A73" t="s">
        <v>762</v>
      </c>
      <c r="B73" t="s">
        <v>24</v>
      </c>
      <c r="C73" t="s">
        <v>33</v>
      </c>
      <c r="D73" t="s">
        <v>42</v>
      </c>
      <c r="E73">
        <v>0</v>
      </c>
      <c r="F73">
        <v>0</v>
      </c>
      <c r="G73">
        <v>26</v>
      </c>
      <c r="H73">
        <v>26</v>
      </c>
      <c r="I73" t="s">
        <v>752</v>
      </c>
      <c r="J73">
        <v>20</v>
      </c>
      <c r="K73" t="b">
        <v>1</v>
      </c>
      <c r="L73" t="b">
        <v>1</v>
      </c>
      <c r="O73" s="23" t="s">
        <v>648</v>
      </c>
      <c r="Q73" t="b">
        <v>1</v>
      </c>
    </row>
  </sheetData>
  <autoFilter ref="A1:U53"/>
  <conditionalFormatting sqref="A2:XFD2">
    <cfRule type="expression" dxfId="7" priority="8">
      <formula>($A2&lt;&gt;$A4)</formula>
    </cfRule>
  </conditionalFormatting>
  <conditionalFormatting sqref="A58:D58 I58:XFD58 A4:XFD55 A59:XFD65 U67:XFD68 A67:T69">
    <cfRule type="expression" dxfId="6" priority="7">
      <formula>($A4&lt;&gt;$A5)</formula>
    </cfRule>
  </conditionalFormatting>
  <conditionalFormatting sqref="A3:XFD3">
    <cfRule type="expression" dxfId="5" priority="6">
      <formula>($A3&lt;&gt;$A4)</formula>
    </cfRule>
  </conditionalFormatting>
  <conditionalFormatting sqref="A56:XFD56">
    <cfRule type="expression" dxfId="4" priority="9">
      <formula>($A56&lt;&gt;#REF!)</formula>
    </cfRule>
  </conditionalFormatting>
  <conditionalFormatting sqref="A57:XFD57">
    <cfRule type="expression" dxfId="3" priority="11">
      <formula>($A57&lt;&gt;#REF!)</formula>
    </cfRule>
  </conditionalFormatting>
  <conditionalFormatting sqref="E58:H58">
    <cfRule type="expression" dxfId="2" priority="4">
      <formula>($A58&lt;&gt;#REF!)</formula>
    </cfRule>
  </conditionalFormatting>
  <conditionalFormatting sqref="A66:T66">
    <cfRule type="expression" dxfId="1" priority="2">
      <formula>($A66&lt;&gt;$A67)</formula>
    </cfRule>
  </conditionalFormatting>
  <conditionalFormatting sqref="A70:Q73">
    <cfRule type="expression" dxfId="0" priority="1">
      <formula>($A70&lt;&gt;$A71)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"/>
  <sheetViews>
    <sheetView workbookViewId="0">
      <selection activeCell="E29" sqref="E29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289</v>
      </c>
    </row>
    <row r="2" spans="1:2" x14ac:dyDescent="0.25">
      <c r="A2" t="s">
        <v>509</v>
      </c>
    </row>
    <row r="3" spans="1:2" x14ac:dyDescent="0.25">
      <c r="A3" t="s">
        <v>576</v>
      </c>
    </row>
    <row r="4" spans="1:2" x14ac:dyDescent="0.25">
      <c r="A4" s="1" t="s">
        <v>575</v>
      </c>
    </row>
    <row r="5" spans="1:2" x14ac:dyDescent="0.25">
      <c r="A5" s="23" t="s">
        <v>578</v>
      </c>
    </row>
    <row r="6" spans="1:2" x14ac:dyDescent="0.25">
      <c r="A6" t="s">
        <v>598</v>
      </c>
    </row>
    <row r="7" spans="1:2" x14ac:dyDescent="0.25">
      <c r="A7" t="s">
        <v>596</v>
      </c>
    </row>
    <row r="8" spans="1:2" x14ac:dyDescent="0.25">
      <c r="A8" s="1" t="s">
        <v>597</v>
      </c>
    </row>
    <row r="9" spans="1:2" x14ac:dyDescent="0.25">
      <c r="A9" t="s">
        <v>629</v>
      </c>
    </row>
    <row r="10" spans="1:2" x14ac:dyDescent="0.25">
      <c r="A10" t="s">
        <v>630</v>
      </c>
    </row>
    <row r="11" spans="1:2" x14ac:dyDescent="0.25">
      <c r="A11" t="s">
        <v>638</v>
      </c>
    </row>
    <row r="12" spans="1:2" x14ac:dyDescent="0.25">
      <c r="A12" t="s">
        <v>639</v>
      </c>
    </row>
    <row r="13" spans="1:2" x14ac:dyDescent="0.25">
      <c r="A13" t="s">
        <v>640</v>
      </c>
    </row>
    <row r="14" spans="1:2" x14ac:dyDescent="0.25">
      <c r="A14" t="s">
        <v>643</v>
      </c>
    </row>
    <row r="15" spans="1:2" x14ac:dyDescent="0.25">
      <c r="A15" t="s">
        <v>641</v>
      </c>
    </row>
    <row r="16" spans="1:2" x14ac:dyDescent="0.25">
      <c r="A16" t="s">
        <v>631</v>
      </c>
    </row>
    <row r="17" spans="1:1" x14ac:dyDescent="0.25">
      <c r="A17" t="s">
        <v>642</v>
      </c>
    </row>
    <row r="18" spans="1:1" x14ac:dyDescent="0.25">
      <c r="A18" t="s">
        <v>753</v>
      </c>
    </row>
    <row r="19" spans="1:1" x14ac:dyDescent="0.25">
      <c r="A19" t="s">
        <v>754</v>
      </c>
    </row>
    <row r="20" spans="1:1" x14ac:dyDescent="0.25">
      <c r="A20" t="s">
        <v>755</v>
      </c>
    </row>
    <row r="21" spans="1:1" x14ac:dyDescent="0.25">
      <c r="A21" t="s">
        <v>756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92"/>
  <sheetViews>
    <sheetView workbookViewId="0">
      <pane ySplit="1" topLeftCell="A140" activePane="bottomLeft" state="frozen"/>
      <selection activeCell="B31" activeCellId="1" sqref="A1 B31"/>
      <selection pane="bottomLeft" activeCell="H194" sqref="H194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286</v>
      </c>
      <c r="C1" s="3" t="s">
        <v>35</v>
      </c>
      <c r="D1" s="3" t="s">
        <v>36</v>
      </c>
      <c r="E1" s="3" t="s">
        <v>53</v>
      </c>
      <c r="F1" s="3" t="s">
        <v>67</v>
      </c>
      <c r="G1" s="3" t="s">
        <v>68</v>
      </c>
    </row>
    <row r="2" spans="1:7" x14ac:dyDescent="0.25">
      <c r="A2" t="s">
        <v>509</v>
      </c>
      <c r="B2" t="s">
        <v>145</v>
      </c>
      <c r="C2" s="4" t="s">
        <v>1</v>
      </c>
      <c r="D2" s="4" t="s">
        <v>1</v>
      </c>
    </row>
    <row r="3" spans="1:7" x14ac:dyDescent="0.25">
      <c r="A3" t="s">
        <v>509</v>
      </c>
      <c r="B3" t="s">
        <v>146</v>
      </c>
      <c r="C3" s="4" t="s">
        <v>1</v>
      </c>
      <c r="D3" s="4" t="s">
        <v>1</v>
      </c>
    </row>
    <row r="4" spans="1:7" x14ac:dyDescent="0.25">
      <c r="A4" t="s">
        <v>509</v>
      </c>
      <c r="B4" t="s">
        <v>504</v>
      </c>
    </row>
    <row r="5" spans="1:7" x14ac:dyDescent="0.25">
      <c r="A5" t="s">
        <v>509</v>
      </c>
      <c r="B5" t="s">
        <v>514</v>
      </c>
      <c r="C5" s="4" t="s">
        <v>499</v>
      </c>
      <c r="D5" s="4" t="s">
        <v>499</v>
      </c>
    </row>
    <row r="6" spans="1:7" x14ac:dyDescent="0.25">
      <c r="A6" t="s">
        <v>509</v>
      </c>
      <c r="B6" t="s">
        <v>24</v>
      </c>
      <c r="C6" s="4" t="s">
        <v>459</v>
      </c>
      <c r="D6" s="4" t="s">
        <v>539</v>
      </c>
    </row>
    <row r="7" spans="1:7" x14ac:dyDescent="0.25">
      <c r="A7" t="s">
        <v>509</v>
      </c>
      <c r="B7" t="s">
        <v>505</v>
      </c>
    </row>
    <row r="8" spans="1:7" x14ac:dyDescent="0.25">
      <c r="A8" t="s">
        <v>509</v>
      </c>
      <c r="B8" t="s">
        <v>38</v>
      </c>
      <c r="C8" s="4" t="s">
        <v>288</v>
      </c>
      <c r="D8" s="4" t="s">
        <v>499</v>
      </c>
    </row>
    <row r="9" spans="1:7" x14ac:dyDescent="0.25">
      <c r="A9" t="s">
        <v>509</v>
      </c>
      <c r="B9" t="s">
        <v>506</v>
      </c>
      <c r="C9" s="4" t="s">
        <v>283</v>
      </c>
      <c r="D9" s="4" t="s">
        <v>499</v>
      </c>
    </row>
    <row r="10" spans="1:7" x14ac:dyDescent="0.25">
      <c r="A10" t="s">
        <v>509</v>
      </c>
      <c r="B10" t="s">
        <v>507</v>
      </c>
      <c r="C10" s="4" t="s">
        <v>288</v>
      </c>
      <c r="D10" s="4" t="s">
        <v>499</v>
      </c>
    </row>
    <row r="11" spans="1:7" x14ac:dyDescent="0.25">
      <c r="A11" s="1" t="s">
        <v>575</v>
      </c>
      <c r="B11" t="s">
        <v>145</v>
      </c>
      <c r="C11" s="22" t="s">
        <v>721</v>
      </c>
      <c r="D11" s="22" t="s">
        <v>721</v>
      </c>
    </row>
    <row r="12" spans="1:7" x14ac:dyDescent="0.25">
      <c r="A12" s="1" t="s">
        <v>575</v>
      </c>
      <c r="B12" t="s">
        <v>146</v>
      </c>
      <c r="C12" s="22" t="s">
        <v>721</v>
      </c>
      <c r="D12" s="22" t="s">
        <v>721</v>
      </c>
    </row>
    <row r="13" spans="1:7" x14ac:dyDescent="0.25">
      <c r="A13" s="1" t="s">
        <v>575</v>
      </c>
      <c r="B13" t="s">
        <v>504</v>
      </c>
      <c r="C13" s="4" t="s">
        <v>712</v>
      </c>
      <c r="D13" s="22" t="s">
        <v>721</v>
      </c>
    </row>
    <row r="14" spans="1:7" x14ac:dyDescent="0.25">
      <c r="A14" s="1" t="s">
        <v>575</v>
      </c>
      <c r="B14" t="s">
        <v>24</v>
      </c>
      <c r="C14" s="4" t="s">
        <v>288</v>
      </c>
      <c r="D14" s="4" t="s">
        <v>541</v>
      </c>
    </row>
    <row r="15" spans="1:7" x14ac:dyDescent="0.25">
      <c r="A15" s="1" t="s">
        <v>575</v>
      </c>
      <c r="B15" t="s">
        <v>38</v>
      </c>
      <c r="C15" s="4" t="s">
        <v>288</v>
      </c>
      <c r="D15" s="4" t="s">
        <v>499</v>
      </c>
    </row>
    <row r="16" spans="1:7" x14ac:dyDescent="0.25">
      <c r="A16" s="1" t="s">
        <v>575</v>
      </c>
      <c r="B16" t="s">
        <v>507</v>
      </c>
      <c r="C16" s="4" t="s">
        <v>288</v>
      </c>
      <c r="D16" s="4" t="s">
        <v>499</v>
      </c>
    </row>
    <row r="17" spans="1:4" x14ac:dyDescent="0.25">
      <c r="A17" t="s">
        <v>576</v>
      </c>
      <c r="B17" t="s">
        <v>145</v>
      </c>
      <c r="C17" s="4" t="s">
        <v>1</v>
      </c>
      <c r="D17" s="4" t="s">
        <v>1</v>
      </c>
    </row>
    <row r="18" spans="1:4" x14ac:dyDescent="0.25">
      <c r="A18" t="s">
        <v>576</v>
      </c>
      <c r="B18" t="s">
        <v>146</v>
      </c>
      <c r="C18" s="4" t="s">
        <v>1</v>
      </c>
      <c r="D18" s="4" t="s">
        <v>1</v>
      </c>
    </row>
    <row r="19" spans="1:4" x14ac:dyDescent="0.25">
      <c r="A19" t="s">
        <v>576</v>
      </c>
      <c r="B19" t="s">
        <v>24</v>
      </c>
      <c r="C19" s="4" t="s">
        <v>459</v>
      </c>
      <c r="D19" s="4" t="s">
        <v>574</v>
      </c>
    </row>
    <row r="20" spans="1:4" x14ac:dyDescent="0.25">
      <c r="A20" t="s">
        <v>576</v>
      </c>
      <c r="B20" t="s">
        <v>514</v>
      </c>
      <c r="C20" s="4" t="s">
        <v>542</v>
      </c>
      <c r="D20" s="4" t="s">
        <v>542</v>
      </c>
    </row>
    <row r="21" spans="1:4" x14ac:dyDescent="0.25">
      <c r="A21" t="s">
        <v>576</v>
      </c>
      <c r="B21" t="s">
        <v>515</v>
      </c>
      <c r="C21" s="4" t="s">
        <v>288</v>
      </c>
    </row>
    <row r="22" spans="1:4" x14ac:dyDescent="0.25">
      <c r="A22" t="s">
        <v>576</v>
      </c>
      <c r="B22" t="s">
        <v>457</v>
      </c>
    </row>
    <row r="23" spans="1:4" x14ac:dyDescent="0.25">
      <c r="A23" t="s">
        <v>576</v>
      </c>
      <c r="B23" t="s">
        <v>516</v>
      </c>
    </row>
    <row r="24" spans="1:4" x14ac:dyDescent="0.25">
      <c r="A24" t="s">
        <v>576</v>
      </c>
      <c r="B24" t="s">
        <v>517</v>
      </c>
      <c r="C24" s="4" t="s">
        <v>288</v>
      </c>
    </row>
    <row r="25" spans="1:4" x14ac:dyDescent="0.25">
      <c r="A25" t="s">
        <v>576</v>
      </c>
      <c r="B25" t="s">
        <v>533</v>
      </c>
      <c r="C25" s="4" t="s">
        <v>288</v>
      </c>
    </row>
    <row r="26" spans="1:4" x14ac:dyDescent="0.25">
      <c r="A26" t="s">
        <v>576</v>
      </c>
      <c r="B26" t="s">
        <v>534</v>
      </c>
      <c r="C26" s="4" t="s">
        <v>539</v>
      </c>
    </row>
    <row r="27" spans="1:4" x14ac:dyDescent="0.25">
      <c r="A27" t="s">
        <v>576</v>
      </c>
      <c r="B27" t="s">
        <v>535</v>
      </c>
      <c r="C27" s="4" t="s">
        <v>288</v>
      </c>
    </row>
    <row r="28" spans="1:4" x14ac:dyDescent="0.25">
      <c r="A28" t="s">
        <v>576</v>
      </c>
      <c r="B28" t="s">
        <v>518</v>
      </c>
      <c r="C28" s="4" t="s">
        <v>288</v>
      </c>
    </row>
    <row r="29" spans="1:4" x14ac:dyDescent="0.25">
      <c r="A29" t="s">
        <v>576</v>
      </c>
      <c r="B29" t="s">
        <v>536</v>
      </c>
      <c r="C29" s="4" t="s">
        <v>288</v>
      </c>
    </row>
    <row r="30" spans="1:4" x14ac:dyDescent="0.25">
      <c r="A30" t="s">
        <v>576</v>
      </c>
      <c r="B30" t="s">
        <v>537</v>
      </c>
      <c r="C30" s="4" t="s">
        <v>539</v>
      </c>
    </row>
    <row r="31" spans="1:4" x14ac:dyDescent="0.25">
      <c r="A31" t="s">
        <v>576</v>
      </c>
      <c r="B31" t="s">
        <v>538</v>
      </c>
      <c r="C31" s="4" t="s">
        <v>288</v>
      </c>
    </row>
    <row r="32" spans="1:4" x14ac:dyDescent="0.25">
      <c r="A32" s="23" t="s">
        <v>578</v>
      </c>
      <c r="B32" s="23" t="s">
        <v>145</v>
      </c>
      <c r="C32" s="25" t="s">
        <v>580</v>
      </c>
      <c r="D32" s="23" t="s">
        <v>581</v>
      </c>
    </row>
    <row r="33" spans="1:4" x14ac:dyDescent="0.25">
      <c r="A33" s="23" t="s">
        <v>578</v>
      </c>
      <c r="B33" s="23" t="s">
        <v>146</v>
      </c>
      <c r="C33" s="25" t="s">
        <v>288</v>
      </c>
      <c r="D33" s="23" t="s">
        <v>582</v>
      </c>
    </row>
    <row r="34" spans="1:4" x14ac:dyDescent="0.25">
      <c r="A34" s="23" t="s">
        <v>578</v>
      </c>
      <c r="B34" s="23" t="s">
        <v>39</v>
      </c>
      <c r="C34" s="25" t="s">
        <v>583</v>
      </c>
      <c r="D34" s="23" t="s">
        <v>584</v>
      </c>
    </row>
    <row r="35" spans="1:4" x14ac:dyDescent="0.25">
      <c r="A35" s="23" t="s">
        <v>578</v>
      </c>
      <c r="B35" s="23" t="s">
        <v>579</v>
      </c>
      <c r="C35" s="25" t="s">
        <v>585</v>
      </c>
      <c r="D35" s="23" t="s">
        <v>586</v>
      </c>
    </row>
    <row r="36" spans="1:4" x14ac:dyDescent="0.25">
      <c r="A36" t="s">
        <v>598</v>
      </c>
      <c r="B36" t="s">
        <v>145</v>
      </c>
      <c r="C36" s="22" t="s">
        <v>602</v>
      </c>
      <c r="D36" s="22" t="s">
        <v>602</v>
      </c>
    </row>
    <row r="37" spans="1:4" x14ac:dyDescent="0.25">
      <c r="A37" t="s">
        <v>598</v>
      </c>
      <c r="B37" t="s">
        <v>146</v>
      </c>
      <c r="C37" s="22" t="s">
        <v>602</v>
      </c>
      <c r="D37" s="22" t="s">
        <v>602</v>
      </c>
    </row>
    <row r="38" spans="1:4" x14ac:dyDescent="0.25">
      <c r="A38" t="s">
        <v>598</v>
      </c>
      <c r="B38" t="s">
        <v>504</v>
      </c>
    </row>
    <row r="39" spans="1:4" x14ac:dyDescent="0.25">
      <c r="A39" t="s">
        <v>598</v>
      </c>
      <c r="B39" t="s">
        <v>514</v>
      </c>
      <c r="C39" s="4" t="s">
        <v>542</v>
      </c>
      <c r="D39" s="4" t="s">
        <v>542</v>
      </c>
    </row>
    <row r="40" spans="1:4" x14ac:dyDescent="0.25">
      <c r="A40" t="s">
        <v>598</v>
      </c>
      <c r="B40" t="s">
        <v>24</v>
      </c>
      <c r="C40" s="4" t="s">
        <v>459</v>
      </c>
      <c r="D40" s="4" t="s">
        <v>539</v>
      </c>
    </row>
    <row r="41" spans="1:4" x14ac:dyDescent="0.25">
      <c r="A41" t="s">
        <v>598</v>
      </c>
      <c r="B41" t="s">
        <v>505</v>
      </c>
    </row>
    <row r="42" spans="1:4" x14ac:dyDescent="0.25">
      <c r="A42" t="s">
        <v>598</v>
      </c>
      <c r="B42" t="s">
        <v>38</v>
      </c>
      <c r="C42" s="4" t="s">
        <v>288</v>
      </c>
      <c r="D42" s="4" t="s">
        <v>499</v>
      </c>
    </row>
    <row r="43" spans="1:4" x14ac:dyDescent="0.25">
      <c r="A43" t="s">
        <v>598</v>
      </c>
      <c r="B43" t="s">
        <v>506</v>
      </c>
      <c r="C43" s="4" t="s">
        <v>283</v>
      </c>
      <c r="D43" s="4" t="s">
        <v>499</v>
      </c>
    </row>
    <row r="44" spans="1:4" x14ac:dyDescent="0.25">
      <c r="A44" t="s">
        <v>598</v>
      </c>
      <c r="B44" t="s">
        <v>507</v>
      </c>
      <c r="C44" s="4" t="s">
        <v>288</v>
      </c>
      <c r="D44" s="4" t="s">
        <v>499</v>
      </c>
    </row>
    <row r="45" spans="1:4" x14ac:dyDescent="0.25">
      <c r="A45" s="1" t="s">
        <v>597</v>
      </c>
      <c r="B45" t="s">
        <v>145</v>
      </c>
      <c r="C45" s="22" t="s">
        <v>602</v>
      </c>
      <c r="D45" s="22" t="s">
        <v>602</v>
      </c>
    </row>
    <row r="46" spans="1:4" x14ac:dyDescent="0.25">
      <c r="A46" s="1" t="s">
        <v>597</v>
      </c>
      <c r="B46" t="s">
        <v>146</v>
      </c>
      <c r="C46" s="22" t="s">
        <v>602</v>
      </c>
      <c r="D46" s="22" t="s">
        <v>602</v>
      </c>
    </row>
    <row r="47" spans="1:4" x14ac:dyDescent="0.25">
      <c r="A47" s="1" t="s">
        <v>597</v>
      </c>
      <c r="B47" t="s">
        <v>504</v>
      </c>
    </row>
    <row r="48" spans="1:4" x14ac:dyDescent="0.25">
      <c r="A48" s="1" t="s">
        <v>597</v>
      </c>
      <c r="B48" t="s">
        <v>24</v>
      </c>
      <c r="C48" s="4" t="s">
        <v>288</v>
      </c>
      <c r="D48" s="4" t="s">
        <v>541</v>
      </c>
    </row>
    <row r="49" spans="1:4" x14ac:dyDescent="0.25">
      <c r="A49" s="1" t="s">
        <v>597</v>
      </c>
      <c r="B49" t="s">
        <v>38</v>
      </c>
      <c r="C49" s="4" t="s">
        <v>288</v>
      </c>
      <c r="D49" s="4" t="s">
        <v>499</v>
      </c>
    </row>
    <row r="50" spans="1:4" x14ac:dyDescent="0.25">
      <c r="A50" s="1" t="s">
        <v>597</v>
      </c>
      <c r="B50" t="s">
        <v>507</v>
      </c>
      <c r="C50" s="4" t="s">
        <v>288</v>
      </c>
      <c r="D50" s="4" t="s">
        <v>499</v>
      </c>
    </row>
    <row r="51" spans="1:4" x14ac:dyDescent="0.25">
      <c r="A51" t="s">
        <v>596</v>
      </c>
      <c r="B51" t="s">
        <v>145</v>
      </c>
      <c r="C51" s="22" t="s">
        <v>602</v>
      </c>
      <c r="D51" s="22" t="s">
        <v>602</v>
      </c>
    </row>
    <row r="52" spans="1:4" x14ac:dyDescent="0.25">
      <c r="A52" t="s">
        <v>596</v>
      </c>
      <c r="B52" t="s">
        <v>146</v>
      </c>
      <c r="C52" s="22" t="s">
        <v>602</v>
      </c>
      <c r="D52" s="22" t="s">
        <v>602</v>
      </c>
    </row>
    <row r="53" spans="1:4" x14ac:dyDescent="0.25">
      <c r="A53" t="s">
        <v>596</v>
      </c>
      <c r="B53" t="s">
        <v>24</v>
      </c>
      <c r="C53" s="4" t="s">
        <v>459</v>
      </c>
      <c r="D53" s="4" t="s">
        <v>574</v>
      </c>
    </row>
    <row r="54" spans="1:4" x14ac:dyDescent="0.25">
      <c r="A54" t="s">
        <v>596</v>
      </c>
      <c r="B54" t="s">
        <v>514</v>
      </c>
      <c r="C54" s="4" t="s">
        <v>542</v>
      </c>
      <c r="D54" s="4" t="s">
        <v>542</v>
      </c>
    </row>
    <row r="55" spans="1:4" x14ac:dyDescent="0.25">
      <c r="A55" t="s">
        <v>596</v>
      </c>
      <c r="B55" t="s">
        <v>515</v>
      </c>
      <c r="C55" s="4" t="s">
        <v>288</v>
      </c>
    </row>
    <row r="56" spans="1:4" x14ac:dyDescent="0.25">
      <c r="A56" t="s">
        <v>596</v>
      </c>
      <c r="B56" t="s">
        <v>457</v>
      </c>
    </row>
    <row r="57" spans="1:4" x14ac:dyDescent="0.25">
      <c r="A57" t="s">
        <v>596</v>
      </c>
      <c r="B57" t="s">
        <v>516</v>
      </c>
    </row>
    <row r="58" spans="1:4" x14ac:dyDescent="0.25">
      <c r="A58" t="s">
        <v>596</v>
      </c>
      <c r="B58" t="s">
        <v>517</v>
      </c>
      <c r="C58" s="4" t="s">
        <v>288</v>
      </c>
    </row>
    <row r="59" spans="1:4" x14ac:dyDescent="0.25">
      <c r="A59" t="s">
        <v>596</v>
      </c>
      <c r="B59" t="s">
        <v>533</v>
      </c>
      <c r="C59" s="4" t="s">
        <v>288</v>
      </c>
    </row>
    <row r="60" spans="1:4" x14ac:dyDescent="0.25">
      <c r="A60" t="s">
        <v>596</v>
      </c>
      <c r="B60" t="s">
        <v>534</v>
      </c>
      <c r="C60" s="4" t="s">
        <v>539</v>
      </c>
    </row>
    <row r="61" spans="1:4" x14ac:dyDescent="0.25">
      <c r="A61" t="s">
        <v>596</v>
      </c>
      <c r="B61" t="s">
        <v>535</v>
      </c>
      <c r="C61" s="4" t="s">
        <v>288</v>
      </c>
    </row>
    <row r="62" spans="1:4" x14ac:dyDescent="0.25">
      <c r="A62" t="s">
        <v>596</v>
      </c>
      <c r="B62" t="s">
        <v>518</v>
      </c>
      <c r="C62" s="4" t="s">
        <v>288</v>
      </c>
    </row>
    <row r="63" spans="1:4" x14ac:dyDescent="0.25">
      <c r="A63" t="s">
        <v>596</v>
      </c>
      <c r="B63" t="s">
        <v>536</v>
      </c>
      <c r="C63" s="4" t="s">
        <v>288</v>
      </c>
    </row>
    <row r="64" spans="1:4" x14ac:dyDescent="0.25">
      <c r="A64" t="s">
        <v>596</v>
      </c>
      <c r="B64" t="s">
        <v>537</v>
      </c>
      <c r="C64" s="4" t="s">
        <v>539</v>
      </c>
    </row>
    <row r="65" spans="1:4" x14ac:dyDescent="0.25">
      <c r="A65" t="s">
        <v>596</v>
      </c>
      <c r="B65" t="s">
        <v>538</v>
      </c>
      <c r="C65" s="4" t="s">
        <v>288</v>
      </c>
    </row>
    <row r="66" spans="1:4" x14ac:dyDescent="0.25">
      <c r="A66" s="23" t="s">
        <v>629</v>
      </c>
      <c r="B66" t="s">
        <v>145</v>
      </c>
      <c r="C66" s="22" t="s">
        <v>637</v>
      </c>
      <c r="D66" s="22" t="s">
        <v>637</v>
      </c>
    </row>
    <row r="67" spans="1:4" x14ac:dyDescent="0.25">
      <c r="A67" s="23" t="s">
        <v>629</v>
      </c>
      <c r="B67" t="s">
        <v>146</v>
      </c>
      <c r="C67" s="22" t="s">
        <v>637</v>
      </c>
      <c r="D67" s="22" t="s">
        <v>637</v>
      </c>
    </row>
    <row r="68" spans="1:4" x14ac:dyDescent="0.25">
      <c r="A68" s="23" t="s">
        <v>629</v>
      </c>
      <c r="B68" t="s">
        <v>504</v>
      </c>
    </row>
    <row r="69" spans="1:4" x14ac:dyDescent="0.25">
      <c r="A69" s="23" t="s">
        <v>629</v>
      </c>
      <c r="B69" t="s">
        <v>514</v>
      </c>
      <c r="C69" s="4" t="s">
        <v>542</v>
      </c>
      <c r="D69" s="4" t="s">
        <v>542</v>
      </c>
    </row>
    <row r="70" spans="1:4" x14ac:dyDescent="0.25">
      <c r="A70" s="23" t="s">
        <v>629</v>
      </c>
      <c r="B70" t="s">
        <v>24</v>
      </c>
      <c r="C70" s="4" t="s">
        <v>459</v>
      </c>
      <c r="D70" s="4" t="s">
        <v>539</v>
      </c>
    </row>
    <row r="71" spans="1:4" x14ac:dyDescent="0.25">
      <c r="A71" s="23" t="s">
        <v>629</v>
      </c>
      <c r="B71" t="s">
        <v>505</v>
      </c>
    </row>
    <row r="72" spans="1:4" x14ac:dyDescent="0.25">
      <c r="A72" s="23" t="s">
        <v>629</v>
      </c>
      <c r="B72" t="s">
        <v>38</v>
      </c>
      <c r="C72" s="4" t="s">
        <v>288</v>
      </c>
      <c r="D72" s="4" t="s">
        <v>499</v>
      </c>
    </row>
    <row r="73" spans="1:4" x14ac:dyDescent="0.25">
      <c r="A73" s="23" t="s">
        <v>629</v>
      </c>
      <c r="B73" t="s">
        <v>506</v>
      </c>
      <c r="C73" s="4" t="s">
        <v>283</v>
      </c>
      <c r="D73" s="4" t="s">
        <v>499</v>
      </c>
    </row>
    <row r="74" spans="1:4" x14ac:dyDescent="0.25">
      <c r="A74" s="23" t="s">
        <v>629</v>
      </c>
      <c r="B74" t="s">
        <v>507</v>
      </c>
      <c r="C74" s="4" t="s">
        <v>288</v>
      </c>
      <c r="D74" s="4" t="s">
        <v>499</v>
      </c>
    </row>
    <row r="75" spans="1:4" x14ac:dyDescent="0.25">
      <c r="A75" s="28" t="s">
        <v>630</v>
      </c>
      <c r="B75" t="s">
        <v>145</v>
      </c>
      <c r="C75" s="22" t="s">
        <v>672</v>
      </c>
      <c r="D75" s="22" t="s">
        <v>675</v>
      </c>
    </row>
    <row r="76" spans="1:4" x14ac:dyDescent="0.25">
      <c r="A76" s="28" t="s">
        <v>630</v>
      </c>
      <c r="B76" t="s">
        <v>146</v>
      </c>
      <c r="C76" s="22" t="s">
        <v>672</v>
      </c>
      <c r="D76" s="22" t="s">
        <v>675</v>
      </c>
    </row>
    <row r="77" spans="1:4" x14ac:dyDescent="0.25">
      <c r="A77" s="28" t="s">
        <v>630</v>
      </c>
      <c r="B77" t="s">
        <v>504</v>
      </c>
      <c r="C77" s="22" t="s">
        <v>663</v>
      </c>
      <c r="D77" s="22" t="s">
        <v>675</v>
      </c>
    </row>
    <row r="78" spans="1:4" x14ac:dyDescent="0.25">
      <c r="A78" s="28" t="s">
        <v>630</v>
      </c>
      <c r="B78" t="s">
        <v>24</v>
      </c>
      <c r="C78" s="4" t="s">
        <v>288</v>
      </c>
      <c r="D78" s="4" t="s">
        <v>541</v>
      </c>
    </row>
    <row r="79" spans="1:4" x14ac:dyDescent="0.25">
      <c r="A79" s="28" t="s">
        <v>630</v>
      </c>
      <c r="B79" t="s">
        <v>38</v>
      </c>
      <c r="C79" s="4" t="s">
        <v>288</v>
      </c>
      <c r="D79" s="4" t="s">
        <v>499</v>
      </c>
    </row>
    <row r="80" spans="1:4" x14ac:dyDescent="0.25">
      <c r="A80" s="28" t="s">
        <v>630</v>
      </c>
      <c r="B80" t="s">
        <v>507</v>
      </c>
      <c r="C80" s="4" t="s">
        <v>288</v>
      </c>
      <c r="D80" s="4" t="s">
        <v>499</v>
      </c>
    </row>
    <row r="81" spans="1:9" x14ac:dyDescent="0.25">
      <c r="A81" s="23" t="s">
        <v>638</v>
      </c>
      <c r="B81" t="s">
        <v>145</v>
      </c>
      <c r="C81" s="22" t="s">
        <v>637</v>
      </c>
      <c r="D81" s="22" t="s">
        <v>637</v>
      </c>
    </row>
    <row r="82" spans="1:9" x14ac:dyDescent="0.25">
      <c r="A82" s="23" t="s">
        <v>638</v>
      </c>
      <c r="B82" t="s">
        <v>146</v>
      </c>
      <c r="C82" s="22" t="s">
        <v>637</v>
      </c>
      <c r="D82" s="22" t="s">
        <v>637</v>
      </c>
    </row>
    <row r="83" spans="1:9" x14ac:dyDescent="0.25">
      <c r="A83" s="23" t="s">
        <v>638</v>
      </c>
      <c r="B83" t="s">
        <v>24</v>
      </c>
      <c r="C83" s="4" t="s">
        <v>459</v>
      </c>
      <c r="D83" s="4" t="s">
        <v>574</v>
      </c>
    </row>
    <row r="84" spans="1:9" x14ac:dyDescent="0.25">
      <c r="A84" s="23" t="s">
        <v>638</v>
      </c>
      <c r="B84" t="s">
        <v>514</v>
      </c>
      <c r="C84" s="4" t="s">
        <v>542</v>
      </c>
      <c r="D84" s="4" t="s">
        <v>542</v>
      </c>
    </row>
    <row r="85" spans="1:9" x14ac:dyDescent="0.25">
      <c r="A85" s="23" t="s">
        <v>638</v>
      </c>
      <c r="B85" t="s">
        <v>515</v>
      </c>
      <c r="C85" s="4" t="s">
        <v>288</v>
      </c>
    </row>
    <row r="86" spans="1:9" x14ac:dyDescent="0.25">
      <c r="A86" s="23" t="s">
        <v>638</v>
      </c>
      <c r="B86" t="s">
        <v>457</v>
      </c>
    </row>
    <row r="87" spans="1:9" x14ac:dyDescent="0.25">
      <c r="A87" s="23" t="s">
        <v>638</v>
      </c>
      <c r="B87" t="s">
        <v>516</v>
      </c>
    </row>
    <row r="88" spans="1:9" x14ac:dyDescent="0.25">
      <c r="A88" s="23" t="s">
        <v>638</v>
      </c>
      <c r="B88" t="s">
        <v>517</v>
      </c>
      <c r="C88" s="4" t="s">
        <v>288</v>
      </c>
    </row>
    <row r="89" spans="1:9" x14ac:dyDescent="0.25">
      <c r="A89" s="23" t="s">
        <v>638</v>
      </c>
      <c r="B89" t="s">
        <v>533</v>
      </c>
      <c r="C89" s="4" t="s">
        <v>288</v>
      </c>
    </row>
    <row r="90" spans="1:9" x14ac:dyDescent="0.25">
      <c r="A90" s="23" t="s">
        <v>638</v>
      </c>
      <c r="B90" t="s">
        <v>534</v>
      </c>
      <c r="C90" s="4" t="s">
        <v>539</v>
      </c>
    </row>
    <row r="91" spans="1:9" x14ac:dyDescent="0.25">
      <c r="A91" s="23" t="s">
        <v>638</v>
      </c>
      <c r="B91" t="s">
        <v>535</v>
      </c>
      <c r="C91" s="4" t="s">
        <v>288</v>
      </c>
    </row>
    <row r="92" spans="1:9" x14ac:dyDescent="0.25">
      <c r="A92" s="23" t="s">
        <v>638</v>
      </c>
      <c r="B92" t="s">
        <v>518</v>
      </c>
      <c r="C92" s="4" t="s">
        <v>288</v>
      </c>
    </row>
    <row r="93" spans="1:9" x14ac:dyDescent="0.25">
      <c r="A93" s="23" t="s">
        <v>638</v>
      </c>
      <c r="B93" t="s">
        <v>536</v>
      </c>
      <c r="C93" s="4" t="s">
        <v>288</v>
      </c>
    </row>
    <row r="94" spans="1:9" x14ac:dyDescent="0.25">
      <c r="A94" s="23" t="s">
        <v>638</v>
      </c>
      <c r="B94" t="s">
        <v>537</v>
      </c>
      <c r="C94" s="4" t="s">
        <v>539</v>
      </c>
    </row>
    <row r="95" spans="1:9" x14ac:dyDescent="0.25">
      <c r="A95" s="23" t="s">
        <v>638</v>
      </c>
      <c r="B95" t="s">
        <v>538</v>
      </c>
      <c r="C95" s="4" t="s">
        <v>288</v>
      </c>
    </row>
    <row r="96" spans="1:9" x14ac:dyDescent="0.25">
      <c r="A96" s="23" t="s">
        <v>639</v>
      </c>
      <c r="B96" t="s">
        <v>145</v>
      </c>
      <c r="C96" s="22" t="s">
        <v>706</v>
      </c>
      <c r="D96" s="22" t="s">
        <v>706</v>
      </c>
      <c r="H96" s="22" t="s">
        <v>644</v>
      </c>
      <c r="I96" s="22" t="s">
        <v>644</v>
      </c>
    </row>
    <row r="97" spans="1:9" x14ac:dyDescent="0.25">
      <c r="A97" s="23" t="s">
        <v>639</v>
      </c>
      <c r="B97" t="s">
        <v>146</v>
      </c>
      <c r="C97" s="22" t="s">
        <v>706</v>
      </c>
      <c r="D97" s="22" t="s">
        <v>706</v>
      </c>
      <c r="H97" s="22" t="s">
        <v>644</v>
      </c>
      <c r="I97" s="22" t="s">
        <v>644</v>
      </c>
    </row>
    <row r="98" spans="1:9" x14ac:dyDescent="0.25">
      <c r="A98" s="23" t="s">
        <v>639</v>
      </c>
      <c r="B98" t="s">
        <v>24</v>
      </c>
      <c r="C98" s="4" t="s">
        <v>459</v>
      </c>
      <c r="D98" s="4" t="s">
        <v>574</v>
      </c>
    </row>
    <row r="99" spans="1:9" x14ac:dyDescent="0.25">
      <c r="A99" s="23" t="s">
        <v>639</v>
      </c>
      <c r="B99" t="s">
        <v>514</v>
      </c>
      <c r="C99" s="4" t="s">
        <v>542</v>
      </c>
      <c r="D99" s="4" t="s">
        <v>542</v>
      </c>
    </row>
    <row r="100" spans="1:9" x14ac:dyDescent="0.25">
      <c r="A100" s="23" t="s">
        <v>639</v>
      </c>
      <c r="B100" t="s">
        <v>515</v>
      </c>
      <c r="C100" s="4" t="s">
        <v>288</v>
      </c>
    </row>
    <row r="101" spans="1:9" x14ac:dyDescent="0.25">
      <c r="A101" s="23" t="s">
        <v>639</v>
      </c>
      <c r="B101" t="s">
        <v>457</v>
      </c>
    </row>
    <row r="102" spans="1:9" x14ac:dyDescent="0.25">
      <c r="A102" s="23" t="s">
        <v>639</v>
      </c>
      <c r="B102" t="s">
        <v>516</v>
      </c>
    </row>
    <row r="103" spans="1:9" x14ac:dyDescent="0.25">
      <c r="A103" s="23" t="s">
        <v>639</v>
      </c>
      <c r="B103" t="s">
        <v>517</v>
      </c>
      <c r="C103" s="4" t="s">
        <v>288</v>
      </c>
    </row>
    <row r="104" spans="1:9" x14ac:dyDescent="0.25">
      <c r="A104" s="23" t="s">
        <v>639</v>
      </c>
      <c r="B104" t="s">
        <v>533</v>
      </c>
      <c r="C104" s="4" t="s">
        <v>288</v>
      </c>
    </row>
    <row r="105" spans="1:9" x14ac:dyDescent="0.25">
      <c r="A105" s="23" t="s">
        <v>639</v>
      </c>
      <c r="B105" t="s">
        <v>534</v>
      </c>
      <c r="C105" s="4" t="s">
        <v>539</v>
      </c>
    </row>
    <row r="106" spans="1:9" x14ac:dyDescent="0.25">
      <c r="A106" s="23" t="s">
        <v>639</v>
      </c>
      <c r="B106" t="s">
        <v>535</v>
      </c>
      <c r="C106" s="4" t="s">
        <v>288</v>
      </c>
    </row>
    <row r="107" spans="1:9" x14ac:dyDescent="0.25">
      <c r="A107" s="23" t="s">
        <v>639</v>
      </c>
      <c r="B107" t="s">
        <v>518</v>
      </c>
      <c r="C107" s="4" t="s">
        <v>288</v>
      </c>
    </row>
    <row r="108" spans="1:9" x14ac:dyDescent="0.25">
      <c r="A108" s="23" t="s">
        <v>639</v>
      </c>
      <c r="B108" t="s">
        <v>536</v>
      </c>
      <c r="C108" s="4" t="s">
        <v>288</v>
      </c>
    </row>
    <row r="109" spans="1:9" x14ac:dyDescent="0.25">
      <c r="A109" s="23" t="s">
        <v>639</v>
      </c>
      <c r="B109" t="s">
        <v>537</v>
      </c>
      <c r="C109" s="4" t="s">
        <v>539</v>
      </c>
    </row>
    <row r="110" spans="1:9" x14ac:dyDescent="0.25">
      <c r="A110" s="23" t="s">
        <v>639</v>
      </c>
      <c r="B110" t="s">
        <v>538</v>
      </c>
      <c r="C110" s="4" t="s">
        <v>288</v>
      </c>
    </row>
    <row r="111" spans="1:9" x14ac:dyDescent="0.25">
      <c r="A111" s="23" t="s">
        <v>640</v>
      </c>
      <c r="B111" t="s">
        <v>145</v>
      </c>
      <c r="C111" s="22" t="s">
        <v>574</v>
      </c>
      <c r="D111" s="22" t="s">
        <v>574</v>
      </c>
    </row>
    <row r="112" spans="1:9" x14ac:dyDescent="0.25">
      <c r="A112" s="23" t="s">
        <v>640</v>
      </c>
      <c r="B112" t="s">
        <v>146</v>
      </c>
      <c r="C112" s="22" t="s">
        <v>574</v>
      </c>
      <c r="D112" s="22" t="s">
        <v>574</v>
      </c>
    </row>
    <row r="113" spans="1:4" x14ac:dyDescent="0.25">
      <c r="A113" s="23" t="s">
        <v>640</v>
      </c>
      <c r="B113" t="s">
        <v>24</v>
      </c>
      <c r="C113" s="4" t="s">
        <v>459</v>
      </c>
      <c r="D113" s="22" t="s">
        <v>574</v>
      </c>
    </row>
    <row r="114" spans="1:4" x14ac:dyDescent="0.25">
      <c r="A114" s="23" t="s">
        <v>640</v>
      </c>
      <c r="B114" t="s">
        <v>514</v>
      </c>
      <c r="C114" s="4" t="s">
        <v>542</v>
      </c>
      <c r="D114" s="4" t="s">
        <v>542</v>
      </c>
    </row>
    <row r="115" spans="1:4" x14ac:dyDescent="0.25">
      <c r="A115" s="23" t="s">
        <v>640</v>
      </c>
      <c r="B115" t="s">
        <v>515</v>
      </c>
      <c r="C115" s="4" t="s">
        <v>288</v>
      </c>
    </row>
    <row r="116" spans="1:4" x14ac:dyDescent="0.25">
      <c r="A116" s="23" t="s">
        <v>640</v>
      </c>
      <c r="B116" t="s">
        <v>457</v>
      </c>
    </row>
    <row r="117" spans="1:4" x14ac:dyDescent="0.25">
      <c r="A117" s="23" t="s">
        <v>640</v>
      </c>
      <c r="B117" t="s">
        <v>516</v>
      </c>
    </row>
    <row r="118" spans="1:4" x14ac:dyDescent="0.25">
      <c r="A118" s="23" t="s">
        <v>640</v>
      </c>
      <c r="B118" t="s">
        <v>517</v>
      </c>
      <c r="C118" s="4" t="s">
        <v>288</v>
      </c>
    </row>
    <row r="119" spans="1:4" x14ac:dyDescent="0.25">
      <c r="A119" s="23" t="s">
        <v>640</v>
      </c>
      <c r="B119" t="s">
        <v>533</v>
      </c>
      <c r="C119" s="4" t="s">
        <v>288</v>
      </c>
    </row>
    <row r="120" spans="1:4" x14ac:dyDescent="0.25">
      <c r="A120" s="23" t="s">
        <v>640</v>
      </c>
      <c r="B120" t="s">
        <v>534</v>
      </c>
      <c r="C120" s="4" t="s">
        <v>539</v>
      </c>
    </row>
    <row r="121" spans="1:4" x14ac:dyDescent="0.25">
      <c r="A121" s="23" t="s">
        <v>640</v>
      </c>
      <c r="B121" t="s">
        <v>535</v>
      </c>
      <c r="C121" s="4" t="s">
        <v>288</v>
      </c>
    </row>
    <row r="122" spans="1:4" x14ac:dyDescent="0.25">
      <c r="A122" s="23" t="s">
        <v>640</v>
      </c>
      <c r="B122" t="s">
        <v>518</v>
      </c>
      <c r="C122" s="4" t="s">
        <v>288</v>
      </c>
    </row>
    <row r="123" spans="1:4" x14ac:dyDescent="0.25">
      <c r="A123" s="23" t="s">
        <v>640</v>
      </c>
      <c r="B123" t="s">
        <v>536</v>
      </c>
      <c r="C123" s="4" t="s">
        <v>288</v>
      </c>
    </row>
    <row r="124" spans="1:4" x14ac:dyDescent="0.25">
      <c r="A124" s="23" t="s">
        <v>640</v>
      </c>
      <c r="B124" t="s">
        <v>537</v>
      </c>
      <c r="C124" s="4" t="s">
        <v>539</v>
      </c>
    </row>
    <row r="125" spans="1:4" x14ac:dyDescent="0.25">
      <c r="A125" s="23" t="s">
        <v>640</v>
      </c>
      <c r="B125" t="s">
        <v>538</v>
      </c>
      <c r="C125" s="4" t="s">
        <v>288</v>
      </c>
    </row>
    <row r="126" spans="1:4" x14ac:dyDescent="0.25">
      <c r="A126" s="23" t="s">
        <v>642</v>
      </c>
      <c r="B126" t="s">
        <v>145</v>
      </c>
      <c r="C126" s="22" t="s">
        <v>580</v>
      </c>
      <c r="D126" s="22" t="s">
        <v>580</v>
      </c>
    </row>
    <row r="127" spans="1:4" x14ac:dyDescent="0.25">
      <c r="A127" s="23" t="s">
        <v>642</v>
      </c>
      <c r="B127" t="s">
        <v>146</v>
      </c>
      <c r="C127" s="22" t="s">
        <v>580</v>
      </c>
      <c r="D127" s="22" t="s">
        <v>580</v>
      </c>
    </row>
    <row r="128" spans="1:4" x14ac:dyDescent="0.25">
      <c r="A128" s="23" t="s">
        <v>642</v>
      </c>
      <c r="B128" t="s">
        <v>24</v>
      </c>
      <c r="C128" s="4" t="s">
        <v>459</v>
      </c>
      <c r="D128" s="4" t="s">
        <v>574</v>
      </c>
    </row>
    <row r="129" spans="1:7" x14ac:dyDescent="0.25">
      <c r="A129" s="23" t="s">
        <v>642</v>
      </c>
      <c r="B129" t="s">
        <v>514</v>
      </c>
      <c r="C129" s="4" t="s">
        <v>542</v>
      </c>
      <c r="D129" s="4" t="s">
        <v>542</v>
      </c>
    </row>
    <row r="130" spans="1:7" x14ac:dyDescent="0.25">
      <c r="A130" s="23" t="s">
        <v>642</v>
      </c>
      <c r="B130" t="s">
        <v>515</v>
      </c>
      <c r="C130" s="4" t="s">
        <v>288</v>
      </c>
    </row>
    <row r="131" spans="1:7" x14ac:dyDescent="0.25">
      <c r="A131" s="23" t="s">
        <v>642</v>
      </c>
      <c r="B131" t="s">
        <v>457</v>
      </c>
    </row>
    <row r="132" spans="1:7" x14ac:dyDescent="0.25">
      <c r="A132" s="23" t="s">
        <v>642</v>
      </c>
      <c r="B132" t="s">
        <v>516</v>
      </c>
    </row>
    <row r="133" spans="1:7" x14ac:dyDescent="0.25">
      <c r="A133" s="23" t="s">
        <v>642</v>
      </c>
      <c r="B133" t="s">
        <v>517</v>
      </c>
      <c r="C133" s="4" t="s">
        <v>288</v>
      </c>
    </row>
    <row r="134" spans="1:7" x14ac:dyDescent="0.25">
      <c r="A134" s="23" t="s">
        <v>642</v>
      </c>
      <c r="B134" t="s">
        <v>533</v>
      </c>
      <c r="C134" s="4" t="s">
        <v>288</v>
      </c>
    </row>
    <row r="135" spans="1:7" x14ac:dyDescent="0.25">
      <c r="A135" s="23" t="s">
        <v>642</v>
      </c>
      <c r="B135" t="s">
        <v>534</v>
      </c>
      <c r="C135" s="4" t="s">
        <v>539</v>
      </c>
    </row>
    <row r="136" spans="1:7" x14ac:dyDescent="0.25">
      <c r="A136" s="23" t="s">
        <v>642</v>
      </c>
      <c r="B136" t="s">
        <v>535</v>
      </c>
      <c r="C136" s="4" t="s">
        <v>288</v>
      </c>
    </row>
    <row r="137" spans="1:7" x14ac:dyDescent="0.25">
      <c r="A137" s="23" t="s">
        <v>642</v>
      </c>
      <c r="B137" t="s">
        <v>518</v>
      </c>
      <c r="C137" s="4" t="s">
        <v>288</v>
      </c>
    </row>
    <row r="138" spans="1:7" x14ac:dyDescent="0.25">
      <c r="A138" s="23" t="s">
        <v>642</v>
      </c>
      <c r="B138" t="s">
        <v>536</v>
      </c>
      <c r="C138" s="4" t="s">
        <v>288</v>
      </c>
    </row>
    <row r="139" spans="1:7" x14ac:dyDescent="0.25">
      <c r="A139" s="23" t="s">
        <v>642</v>
      </c>
      <c r="B139" t="s">
        <v>537</v>
      </c>
      <c r="C139" s="4" t="s">
        <v>539</v>
      </c>
    </row>
    <row r="140" spans="1:7" x14ac:dyDescent="0.25">
      <c r="A140" s="23" t="s">
        <v>642</v>
      </c>
      <c r="B140" t="s">
        <v>538</v>
      </c>
      <c r="C140" s="4" t="s">
        <v>288</v>
      </c>
    </row>
    <row r="141" spans="1:7" x14ac:dyDescent="0.25">
      <c r="A141" s="23" t="s">
        <v>643</v>
      </c>
      <c r="B141" t="s">
        <v>145</v>
      </c>
      <c r="C141" s="22" t="s">
        <v>637</v>
      </c>
      <c r="D141" s="22" t="s">
        <v>637</v>
      </c>
      <c r="E141" s="22" t="s">
        <v>706</v>
      </c>
      <c r="F141" s="23" t="s">
        <v>57</v>
      </c>
      <c r="G141">
        <v>1</v>
      </c>
    </row>
    <row r="142" spans="1:7" x14ac:dyDescent="0.25">
      <c r="A142" s="23" t="s">
        <v>643</v>
      </c>
      <c r="B142" t="s">
        <v>146</v>
      </c>
      <c r="C142" s="22" t="s">
        <v>637</v>
      </c>
      <c r="D142" s="22" t="s">
        <v>637</v>
      </c>
      <c r="E142" s="22" t="s">
        <v>706</v>
      </c>
      <c r="F142" s="23" t="s">
        <v>57</v>
      </c>
      <c r="G142">
        <v>1</v>
      </c>
    </row>
    <row r="143" spans="1:7" x14ac:dyDescent="0.25">
      <c r="A143" s="23" t="s">
        <v>643</v>
      </c>
      <c r="B143" t="s">
        <v>24</v>
      </c>
      <c r="C143" s="4" t="s">
        <v>459</v>
      </c>
      <c r="D143" s="4" t="s">
        <v>574</v>
      </c>
    </row>
    <row r="144" spans="1:7" x14ac:dyDescent="0.25">
      <c r="A144" s="23" t="s">
        <v>643</v>
      </c>
      <c r="B144" t="s">
        <v>514</v>
      </c>
      <c r="C144" s="4" t="s">
        <v>542</v>
      </c>
      <c r="D144" s="4" t="s">
        <v>542</v>
      </c>
    </row>
    <row r="145" spans="1:7" x14ac:dyDescent="0.25">
      <c r="A145" s="23" t="s">
        <v>643</v>
      </c>
      <c r="B145" t="s">
        <v>515</v>
      </c>
      <c r="C145" s="4" t="s">
        <v>288</v>
      </c>
    </row>
    <row r="146" spans="1:7" x14ac:dyDescent="0.25">
      <c r="A146" s="23" t="s">
        <v>643</v>
      </c>
      <c r="B146" t="s">
        <v>457</v>
      </c>
    </row>
    <row r="147" spans="1:7" x14ac:dyDescent="0.25">
      <c r="A147" s="23" t="s">
        <v>643</v>
      </c>
      <c r="B147" t="s">
        <v>516</v>
      </c>
    </row>
    <row r="148" spans="1:7" x14ac:dyDescent="0.25">
      <c r="A148" s="23" t="s">
        <v>643</v>
      </c>
      <c r="B148" t="s">
        <v>517</v>
      </c>
      <c r="C148" s="4" t="s">
        <v>288</v>
      </c>
    </row>
    <row r="149" spans="1:7" x14ac:dyDescent="0.25">
      <c r="A149" s="23" t="s">
        <v>643</v>
      </c>
      <c r="B149" t="s">
        <v>533</v>
      </c>
      <c r="C149" s="4" t="s">
        <v>288</v>
      </c>
    </row>
    <row r="150" spans="1:7" x14ac:dyDescent="0.25">
      <c r="A150" s="23" t="s">
        <v>643</v>
      </c>
      <c r="B150" t="s">
        <v>534</v>
      </c>
      <c r="C150" s="4" t="s">
        <v>539</v>
      </c>
    </row>
    <row r="151" spans="1:7" x14ac:dyDescent="0.25">
      <c r="A151" s="23" t="s">
        <v>643</v>
      </c>
      <c r="B151" t="s">
        <v>535</v>
      </c>
      <c r="C151" s="4" t="s">
        <v>288</v>
      </c>
    </row>
    <row r="152" spans="1:7" x14ac:dyDescent="0.25">
      <c r="A152" s="23" t="s">
        <v>643</v>
      </c>
      <c r="B152" t="s">
        <v>518</v>
      </c>
      <c r="C152" s="4" t="s">
        <v>288</v>
      </c>
    </row>
    <row r="153" spans="1:7" x14ac:dyDescent="0.25">
      <c r="A153" s="23" t="s">
        <v>643</v>
      </c>
      <c r="B153" t="s">
        <v>536</v>
      </c>
      <c r="C153" s="4" t="s">
        <v>288</v>
      </c>
    </row>
    <row r="154" spans="1:7" x14ac:dyDescent="0.25">
      <c r="A154" s="23" t="s">
        <v>643</v>
      </c>
      <c r="B154" t="s">
        <v>537</v>
      </c>
      <c r="C154" s="4" t="s">
        <v>539</v>
      </c>
    </row>
    <row r="155" spans="1:7" x14ac:dyDescent="0.25">
      <c r="A155" s="23" t="s">
        <v>643</v>
      </c>
      <c r="B155" t="s">
        <v>538</v>
      </c>
      <c r="C155" s="4" t="s">
        <v>288</v>
      </c>
    </row>
    <row r="156" spans="1:7" x14ac:dyDescent="0.25">
      <c r="A156" s="23" t="s">
        <v>641</v>
      </c>
      <c r="B156" t="s">
        <v>145</v>
      </c>
      <c r="C156" s="22" t="s">
        <v>637</v>
      </c>
      <c r="D156" s="22" t="s">
        <v>637</v>
      </c>
      <c r="E156" s="23" t="s">
        <v>574</v>
      </c>
      <c r="F156" s="23" t="s">
        <v>57</v>
      </c>
      <c r="G156">
        <v>1</v>
      </c>
    </row>
    <row r="157" spans="1:7" x14ac:dyDescent="0.25">
      <c r="A157" s="23" t="s">
        <v>641</v>
      </c>
      <c r="B157" t="s">
        <v>146</v>
      </c>
      <c r="C157" s="22" t="s">
        <v>637</v>
      </c>
      <c r="D157" s="22" t="s">
        <v>637</v>
      </c>
      <c r="E157" s="23" t="s">
        <v>574</v>
      </c>
      <c r="F157" s="23" t="s">
        <v>57</v>
      </c>
      <c r="G157">
        <v>1</v>
      </c>
    </row>
    <row r="158" spans="1:7" x14ac:dyDescent="0.25">
      <c r="A158" s="23" t="s">
        <v>641</v>
      </c>
      <c r="B158" t="s">
        <v>24</v>
      </c>
      <c r="C158" s="4" t="s">
        <v>459</v>
      </c>
      <c r="D158" s="4" t="s">
        <v>574</v>
      </c>
    </row>
    <row r="159" spans="1:7" x14ac:dyDescent="0.25">
      <c r="A159" s="23" t="s">
        <v>641</v>
      </c>
      <c r="B159" t="s">
        <v>514</v>
      </c>
      <c r="C159" s="4" t="s">
        <v>542</v>
      </c>
      <c r="D159" s="4" t="s">
        <v>542</v>
      </c>
    </row>
    <row r="160" spans="1:7" x14ac:dyDescent="0.25">
      <c r="A160" s="23" t="s">
        <v>641</v>
      </c>
      <c r="B160" t="s">
        <v>515</v>
      </c>
      <c r="C160" s="4" t="s">
        <v>288</v>
      </c>
    </row>
    <row r="161" spans="1:4" x14ac:dyDescent="0.25">
      <c r="A161" s="23" t="s">
        <v>641</v>
      </c>
      <c r="B161" t="s">
        <v>457</v>
      </c>
    </row>
    <row r="162" spans="1:4" x14ac:dyDescent="0.25">
      <c r="A162" s="23" t="s">
        <v>641</v>
      </c>
      <c r="B162" t="s">
        <v>516</v>
      </c>
    </row>
    <row r="163" spans="1:4" x14ac:dyDescent="0.25">
      <c r="A163" s="23" t="s">
        <v>641</v>
      </c>
      <c r="B163" t="s">
        <v>517</v>
      </c>
      <c r="C163" s="4" t="s">
        <v>288</v>
      </c>
    </row>
    <row r="164" spans="1:4" x14ac:dyDescent="0.25">
      <c r="A164" s="23" t="s">
        <v>641</v>
      </c>
      <c r="B164" t="s">
        <v>533</v>
      </c>
      <c r="C164" s="4" t="s">
        <v>288</v>
      </c>
    </row>
    <row r="165" spans="1:4" x14ac:dyDescent="0.25">
      <c r="A165" s="23" t="s">
        <v>641</v>
      </c>
      <c r="B165" t="s">
        <v>534</v>
      </c>
      <c r="C165" s="4" t="s">
        <v>539</v>
      </c>
    </row>
    <row r="166" spans="1:4" x14ac:dyDescent="0.25">
      <c r="A166" s="23" t="s">
        <v>641</v>
      </c>
      <c r="B166" t="s">
        <v>535</v>
      </c>
      <c r="C166" s="4" t="s">
        <v>288</v>
      </c>
    </row>
    <row r="167" spans="1:4" x14ac:dyDescent="0.25">
      <c r="A167" s="23" t="s">
        <v>641</v>
      </c>
      <c r="B167" t="s">
        <v>518</v>
      </c>
      <c r="C167" s="4" t="s">
        <v>288</v>
      </c>
    </row>
    <row r="168" spans="1:4" x14ac:dyDescent="0.25">
      <c r="A168" s="23" t="s">
        <v>641</v>
      </c>
      <c r="B168" t="s">
        <v>536</v>
      </c>
      <c r="C168" s="4" t="s">
        <v>288</v>
      </c>
    </row>
    <row r="169" spans="1:4" x14ac:dyDescent="0.25">
      <c r="A169" s="23" t="s">
        <v>641</v>
      </c>
      <c r="B169" t="s">
        <v>537</v>
      </c>
      <c r="C169" s="4" t="s">
        <v>539</v>
      </c>
    </row>
    <row r="170" spans="1:4" x14ac:dyDescent="0.25">
      <c r="A170" s="23" t="s">
        <v>641</v>
      </c>
      <c r="B170" t="s">
        <v>538</v>
      </c>
      <c r="C170" s="4" t="s">
        <v>288</v>
      </c>
    </row>
    <row r="171" spans="1:4" x14ac:dyDescent="0.25">
      <c r="A171" s="28" t="s">
        <v>631</v>
      </c>
      <c r="B171" t="s">
        <v>145</v>
      </c>
      <c r="C171" s="22" t="s">
        <v>670</v>
      </c>
      <c r="D171" s="22" t="s">
        <v>670</v>
      </c>
    </row>
    <row r="172" spans="1:4" x14ac:dyDescent="0.25">
      <c r="A172" s="28" t="s">
        <v>631</v>
      </c>
      <c r="B172" t="s">
        <v>146</v>
      </c>
      <c r="C172" s="22" t="s">
        <v>670</v>
      </c>
      <c r="D172" s="22" t="s">
        <v>670</v>
      </c>
    </row>
    <row r="173" spans="1:4" x14ac:dyDescent="0.25">
      <c r="A173" s="28" t="s">
        <v>631</v>
      </c>
      <c r="B173" t="s">
        <v>504</v>
      </c>
      <c r="C173" s="22" t="s">
        <v>663</v>
      </c>
      <c r="D173" s="22" t="s">
        <v>670</v>
      </c>
    </row>
    <row r="174" spans="1:4" x14ac:dyDescent="0.25">
      <c r="A174" s="28" t="s">
        <v>631</v>
      </c>
      <c r="B174" t="s">
        <v>24</v>
      </c>
      <c r="C174" s="4" t="s">
        <v>288</v>
      </c>
      <c r="D174" s="4" t="s">
        <v>541</v>
      </c>
    </row>
    <row r="175" spans="1:4" x14ac:dyDescent="0.25">
      <c r="A175" s="28" t="s">
        <v>631</v>
      </c>
      <c r="B175" t="s">
        <v>38</v>
      </c>
      <c r="C175" s="4" t="s">
        <v>288</v>
      </c>
      <c r="D175" s="4" t="s">
        <v>499</v>
      </c>
    </row>
    <row r="176" spans="1:4" x14ac:dyDescent="0.25">
      <c r="A176" s="28" t="s">
        <v>631</v>
      </c>
      <c r="B176" t="s">
        <v>507</v>
      </c>
      <c r="C176" s="4" t="s">
        <v>288</v>
      </c>
      <c r="D176" s="4" t="s">
        <v>499</v>
      </c>
    </row>
    <row r="177" spans="1:4" x14ac:dyDescent="0.25">
      <c r="A177" s="28" t="s">
        <v>754</v>
      </c>
      <c r="B177" t="s">
        <v>145</v>
      </c>
      <c r="C177" s="22" t="s">
        <v>672</v>
      </c>
      <c r="D177" s="22" t="s">
        <v>675</v>
      </c>
    </row>
    <row r="178" spans="1:4" x14ac:dyDescent="0.25">
      <c r="A178" s="28" t="s">
        <v>754</v>
      </c>
      <c r="B178" t="s">
        <v>146</v>
      </c>
      <c r="C178" s="22" t="s">
        <v>672</v>
      </c>
      <c r="D178" s="22" t="s">
        <v>675</v>
      </c>
    </row>
    <row r="179" spans="1:4" x14ac:dyDescent="0.25">
      <c r="A179" s="28" t="s">
        <v>754</v>
      </c>
      <c r="B179" t="s">
        <v>24</v>
      </c>
      <c r="C179" s="4" t="s">
        <v>288</v>
      </c>
      <c r="D179" s="22" t="s">
        <v>757</v>
      </c>
    </row>
    <row r="180" spans="1:4" x14ac:dyDescent="0.25">
      <c r="A180" s="28" t="s">
        <v>754</v>
      </c>
      <c r="B180" t="s">
        <v>38</v>
      </c>
      <c r="C180" s="4" t="s">
        <v>288</v>
      </c>
      <c r="D180" s="4" t="s">
        <v>499</v>
      </c>
    </row>
    <row r="181" spans="1:4" x14ac:dyDescent="0.25">
      <c r="A181" s="28" t="s">
        <v>754</v>
      </c>
      <c r="B181" t="s">
        <v>507</v>
      </c>
      <c r="C181" s="4" t="s">
        <v>288</v>
      </c>
      <c r="D181" s="4" t="s">
        <v>499</v>
      </c>
    </row>
    <row r="182" spans="1:4" x14ac:dyDescent="0.25">
      <c r="A182" s="28" t="s">
        <v>753</v>
      </c>
      <c r="B182" t="s">
        <v>145</v>
      </c>
      <c r="C182" s="22" t="s">
        <v>721</v>
      </c>
      <c r="D182" s="22" t="s">
        <v>721</v>
      </c>
    </row>
    <row r="183" spans="1:4" x14ac:dyDescent="0.25">
      <c r="A183" s="28" t="s">
        <v>753</v>
      </c>
      <c r="B183" t="s">
        <v>146</v>
      </c>
      <c r="C183" s="22" t="s">
        <v>721</v>
      </c>
      <c r="D183" s="22" t="s">
        <v>721</v>
      </c>
    </row>
    <row r="184" spans="1:4" x14ac:dyDescent="0.25">
      <c r="A184" s="28" t="s">
        <v>753</v>
      </c>
      <c r="B184" t="s">
        <v>24</v>
      </c>
      <c r="C184" s="4" t="s">
        <v>288</v>
      </c>
      <c r="D184" s="22" t="s">
        <v>721</v>
      </c>
    </row>
    <row r="185" spans="1:4" x14ac:dyDescent="0.25">
      <c r="A185" s="28" t="s">
        <v>753</v>
      </c>
      <c r="B185" t="s">
        <v>38</v>
      </c>
      <c r="C185" s="4" t="s">
        <v>288</v>
      </c>
      <c r="D185" s="4" t="s">
        <v>499</v>
      </c>
    </row>
    <row r="186" spans="1:4" x14ac:dyDescent="0.25">
      <c r="A186" s="28" t="s">
        <v>753</v>
      </c>
      <c r="B186" t="s">
        <v>507</v>
      </c>
      <c r="C186" s="4" t="s">
        <v>288</v>
      </c>
      <c r="D186" s="4" t="s">
        <v>499</v>
      </c>
    </row>
    <row r="187" spans="1:4" x14ac:dyDescent="0.25">
      <c r="A187" s="28" t="s">
        <v>756</v>
      </c>
      <c r="B187" t="s">
        <v>145</v>
      </c>
      <c r="C187" s="4" t="s">
        <v>288</v>
      </c>
      <c r="D187" s="22" t="s">
        <v>675</v>
      </c>
    </row>
    <row r="188" spans="1:4" x14ac:dyDescent="0.25">
      <c r="A188" s="28" t="s">
        <v>756</v>
      </c>
      <c r="B188" t="s">
        <v>146</v>
      </c>
      <c r="C188" s="4" t="s">
        <v>288</v>
      </c>
      <c r="D188" s="22" t="s">
        <v>675</v>
      </c>
    </row>
    <row r="189" spans="1:4" x14ac:dyDescent="0.25">
      <c r="A189" s="28" t="s">
        <v>756</v>
      </c>
      <c r="B189" t="s">
        <v>24</v>
      </c>
      <c r="C189" s="4" t="s">
        <v>288</v>
      </c>
      <c r="D189" s="22" t="s">
        <v>675</v>
      </c>
    </row>
    <row r="190" spans="1:4" x14ac:dyDescent="0.25">
      <c r="A190" s="28" t="s">
        <v>755</v>
      </c>
      <c r="B190" t="s">
        <v>145</v>
      </c>
      <c r="C190" s="4" t="s">
        <v>288</v>
      </c>
      <c r="D190" s="22" t="s">
        <v>721</v>
      </c>
    </row>
    <row r="191" spans="1:4" x14ac:dyDescent="0.25">
      <c r="A191" s="28" t="s">
        <v>755</v>
      </c>
      <c r="B191" t="s">
        <v>146</v>
      </c>
      <c r="C191" s="4" t="s">
        <v>288</v>
      </c>
      <c r="D191" s="22" t="s">
        <v>721</v>
      </c>
    </row>
    <row r="192" spans="1:4" x14ac:dyDescent="0.25">
      <c r="A192" s="28" t="s">
        <v>755</v>
      </c>
      <c r="B192" t="s">
        <v>24</v>
      </c>
      <c r="C192" s="4" t="s">
        <v>288</v>
      </c>
      <c r="D192" s="22" t="s">
        <v>721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10" t="s">
        <v>54</v>
      </c>
    </row>
    <row r="6" spans="2:3" x14ac:dyDescent="0.25">
      <c r="B6" t="s">
        <v>50</v>
      </c>
      <c r="C6" t="s">
        <v>55</v>
      </c>
    </row>
    <row r="7" spans="2:3" x14ac:dyDescent="0.25">
      <c r="B7" t="s">
        <v>20</v>
      </c>
      <c r="C7" t="s">
        <v>56</v>
      </c>
    </row>
    <row r="8" spans="2:3" x14ac:dyDescent="0.25">
      <c r="B8" t="s">
        <v>57</v>
      </c>
      <c r="C8" t="s">
        <v>58</v>
      </c>
    </row>
    <row r="9" spans="2:3" x14ac:dyDescent="0.25">
      <c r="B9" t="s">
        <v>51</v>
      </c>
      <c r="C9" t="s">
        <v>59</v>
      </c>
    </row>
    <row r="10" spans="2:3" x14ac:dyDescent="0.25">
      <c r="B10" t="s">
        <v>60</v>
      </c>
      <c r="C10" t="s">
        <v>61</v>
      </c>
    </row>
    <row r="11" spans="2:3" x14ac:dyDescent="0.25">
      <c r="B11" t="s">
        <v>52</v>
      </c>
      <c r="C11" t="s">
        <v>62</v>
      </c>
    </row>
    <row r="13" spans="2:3" x14ac:dyDescent="0.25">
      <c r="B13" s="10" t="s">
        <v>63</v>
      </c>
    </row>
    <row r="14" spans="2:3" x14ac:dyDescent="0.25">
      <c r="B14" t="s">
        <v>64</v>
      </c>
    </row>
    <row r="16" spans="2:3" x14ac:dyDescent="0.25">
      <c r="B16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15" workbookViewId="0">
      <selection activeCell="F168" sqref="F168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149</v>
      </c>
      <c r="G1" s="2" t="s">
        <v>260</v>
      </c>
    </row>
    <row r="2" spans="1:10" ht="15" customHeight="1" x14ac:dyDescent="0.25">
      <c r="A2" t="s">
        <v>314</v>
      </c>
      <c r="B2">
        <v>240</v>
      </c>
      <c r="C2">
        <v>248</v>
      </c>
      <c r="D2">
        <v>255</v>
      </c>
      <c r="E2">
        <v>16775408</v>
      </c>
      <c r="F2" s="4" t="s">
        <v>263</v>
      </c>
      <c r="I2" s="17"/>
      <c r="J2" s="17"/>
    </row>
    <row r="3" spans="1:10" ht="15" customHeight="1" x14ac:dyDescent="0.25">
      <c r="A3" t="s">
        <v>315</v>
      </c>
      <c r="B3">
        <v>250</v>
      </c>
      <c r="C3">
        <v>235</v>
      </c>
      <c r="D3">
        <v>215</v>
      </c>
      <c r="E3">
        <v>14150650</v>
      </c>
      <c r="F3" s="4" t="s">
        <v>264</v>
      </c>
    </row>
    <row r="4" spans="1:10" ht="15" customHeight="1" x14ac:dyDescent="0.25">
      <c r="A4" t="s">
        <v>316</v>
      </c>
      <c r="B4">
        <v>0</v>
      </c>
      <c r="C4">
        <v>255</v>
      </c>
      <c r="D4">
        <v>255</v>
      </c>
      <c r="E4">
        <v>16776960</v>
      </c>
      <c r="F4" s="4" t="s">
        <v>265</v>
      </c>
    </row>
    <row r="5" spans="1:10" ht="15" customHeight="1" x14ac:dyDescent="0.25">
      <c r="A5" t="s">
        <v>317</v>
      </c>
      <c r="B5">
        <v>127</v>
      </c>
      <c r="C5">
        <v>255</v>
      </c>
      <c r="D5">
        <v>212</v>
      </c>
      <c r="E5">
        <v>13959039</v>
      </c>
      <c r="F5" s="4" t="s">
        <v>266</v>
      </c>
    </row>
    <row r="6" spans="1:10" ht="15" customHeight="1" x14ac:dyDescent="0.25">
      <c r="A6" t="s">
        <v>318</v>
      </c>
      <c r="B6">
        <v>240</v>
      </c>
      <c r="C6">
        <v>255</v>
      </c>
      <c r="D6">
        <v>255</v>
      </c>
      <c r="E6">
        <v>16777200</v>
      </c>
      <c r="F6" s="4" t="s">
        <v>267</v>
      </c>
    </row>
    <row r="7" spans="1:10" ht="15" customHeight="1" x14ac:dyDescent="0.25">
      <c r="A7" t="s">
        <v>319</v>
      </c>
      <c r="B7">
        <v>245</v>
      </c>
      <c r="C7">
        <v>245</v>
      </c>
      <c r="D7">
        <v>220</v>
      </c>
      <c r="E7">
        <v>14480885</v>
      </c>
      <c r="F7" s="4" t="s">
        <v>268</v>
      </c>
    </row>
    <row r="8" spans="1:10" ht="15" customHeight="1" x14ac:dyDescent="0.25">
      <c r="A8" t="s">
        <v>320</v>
      </c>
      <c r="B8">
        <v>255</v>
      </c>
      <c r="C8">
        <v>228</v>
      </c>
      <c r="D8">
        <v>196</v>
      </c>
      <c r="E8">
        <v>12903679</v>
      </c>
      <c r="F8" s="4" t="s">
        <v>269</v>
      </c>
    </row>
    <row r="9" spans="1:10" ht="15" customHeight="1" x14ac:dyDescent="0.25">
      <c r="A9" t="s">
        <v>321</v>
      </c>
      <c r="B9">
        <v>0</v>
      </c>
      <c r="C9">
        <v>0</v>
      </c>
      <c r="D9">
        <v>0</v>
      </c>
      <c r="E9">
        <v>0</v>
      </c>
      <c r="F9" s="4" t="s">
        <v>248</v>
      </c>
    </row>
    <row r="10" spans="1:10" ht="15" customHeight="1" x14ac:dyDescent="0.25">
      <c r="A10" t="s">
        <v>322</v>
      </c>
      <c r="B10">
        <v>255</v>
      </c>
      <c r="C10">
        <v>235</v>
      </c>
      <c r="D10">
        <v>205</v>
      </c>
      <c r="E10">
        <v>13495295</v>
      </c>
      <c r="F10" s="4" t="s">
        <v>270</v>
      </c>
    </row>
    <row r="11" spans="1:10" ht="15" customHeight="1" x14ac:dyDescent="0.25">
      <c r="A11" t="s">
        <v>323</v>
      </c>
      <c r="B11">
        <v>0</v>
      </c>
      <c r="C11">
        <v>0</v>
      </c>
      <c r="D11">
        <v>255</v>
      </c>
      <c r="E11">
        <v>16711680</v>
      </c>
      <c r="F11" s="4" t="s">
        <v>262</v>
      </c>
    </row>
    <row r="12" spans="1:10" ht="15" customHeight="1" x14ac:dyDescent="0.25">
      <c r="A12" t="s">
        <v>324</v>
      </c>
      <c r="B12">
        <v>138</v>
      </c>
      <c r="C12">
        <v>43</v>
      </c>
      <c r="D12">
        <v>226</v>
      </c>
      <c r="E12">
        <v>14822282</v>
      </c>
      <c r="F12" s="4" t="s">
        <v>271</v>
      </c>
    </row>
    <row r="13" spans="1:10" ht="15" customHeight="1" x14ac:dyDescent="0.25">
      <c r="A13" t="s">
        <v>325</v>
      </c>
      <c r="B13">
        <v>165</v>
      </c>
      <c r="C13">
        <v>42</v>
      </c>
      <c r="D13">
        <v>42</v>
      </c>
      <c r="E13">
        <v>2763429</v>
      </c>
      <c r="F13" s="4" t="s">
        <v>474</v>
      </c>
    </row>
    <row r="14" spans="1:10" ht="15" customHeight="1" x14ac:dyDescent="0.25">
      <c r="A14" t="s">
        <v>326</v>
      </c>
      <c r="B14">
        <v>222</v>
      </c>
      <c r="C14">
        <v>184</v>
      </c>
      <c r="D14">
        <v>135</v>
      </c>
      <c r="E14">
        <v>8894686</v>
      </c>
      <c r="F14" s="4" t="s">
        <v>272</v>
      </c>
    </row>
    <row r="15" spans="1:10" ht="15" customHeight="1" x14ac:dyDescent="0.25">
      <c r="A15" t="s">
        <v>327</v>
      </c>
      <c r="B15">
        <v>95</v>
      </c>
      <c r="C15">
        <v>158</v>
      </c>
      <c r="D15">
        <v>160</v>
      </c>
      <c r="E15">
        <v>10526303</v>
      </c>
      <c r="F15" s="4" t="s">
        <v>273</v>
      </c>
    </row>
    <row r="16" spans="1:10" ht="15" customHeight="1" x14ac:dyDescent="0.25">
      <c r="A16" t="s">
        <v>328</v>
      </c>
      <c r="B16">
        <v>127</v>
      </c>
      <c r="C16">
        <v>255</v>
      </c>
      <c r="D16">
        <v>0</v>
      </c>
      <c r="E16">
        <v>65407</v>
      </c>
      <c r="F16" s="4" t="s">
        <v>274</v>
      </c>
    </row>
    <row r="17" spans="1:6" ht="15" customHeight="1" x14ac:dyDescent="0.25">
      <c r="A17" t="s">
        <v>329</v>
      </c>
      <c r="B17">
        <v>210</v>
      </c>
      <c r="C17">
        <v>105</v>
      </c>
      <c r="D17">
        <v>30</v>
      </c>
      <c r="E17">
        <v>1993170</v>
      </c>
      <c r="F17" s="4" t="s">
        <v>275</v>
      </c>
    </row>
    <row r="18" spans="1:6" ht="15" customHeight="1" x14ac:dyDescent="0.25">
      <c r="A18" t="s">
        <v>330</v>
      </c>
      <c r="B18">
        <v>255</v>
      </c>
      <c r="C18">
        <v>127</v>
      </c>
      <c r="D18">
        <v>80</v>
      </c>
      <c r="E18">
        <v>5275647</v>
      </c>
      <c r="F18" s="4" t="s">
        <v>276</v>
      </c>
    </row>
    <row r="19" spans="1:6" ht="15" customHeight="1" x14ac:dyDescent="0.25">
      <c r="A19" t="s">
        <v>331</v>
      </c>
      <c r="B19">
        <v>100</v>
      </c>
      <c r="C19">
        <v>149</v>
      </c>
      <c r="D19">
        <v>237</v>
      </c>
      <c r="E19">
        <v>15570276</v>
      </c>
      <c r="F19" s="4" t="s">
        <v>277</v>
      </c>
    </row>
    <row r="20" spans="1:6" ht="15" customHeight="1" x14ac:dyDescent="0.25">
      <c r="A20" t="s">
        <v>332</v>
      </c>
      <c r="B20">
        <v>255</v>
      </c>
      <c r="C20">
        <v>248</v>
      </c>
      <c r="D20">
        <v>220</v>
      </c>
      <c r="E20">
        <v>14481663</v>
      </c>
      <c r="F20" s="4" t="s">
        <v>278</v>
      </c>
    </row>
    <row r="21" spans="1:6" ht="15" customHeight="1" x14ac:dyDescent="0.25">
      <c r="A21" t="s">
        <v>312</v>
      </c>
      <c r="B21">
        <v>220</v>
      </c>
      <c r="C21">
        <v>20</v>
      </c>
      <c r="D21">
        <v>60</v>
      </c>
      <c r="E21">
        <v>3937500</v>
      </c>
      <c r="F21" s="4" t="s">
        <v>279</v>
      </c>
    </row>
    <row r="22" spans="1:6" ht="15" customHeight="1" x14ac:dyDescent="0.25">
      <c r="A22" t="s">
        <v>333</v>
      </c>
      <c r="B22">
        <v>0</v>
      </c>
      <c r="C22">
        <v>255</v>
      </c>
      <c r="D22">
        <v>255</v>
      </c>
      <c r="E22">
        <v>16776960</v>
      </c>
      <c r="F22" s="4" t="s">
        <v>265</v>
      </c>
    </row>
    <row r="23" spans="1:6" ht="15" customHeight="1" x14ac:dyDescent="0.25">
      <c r="A23" t="s">
        <v>334</v>
      </c>
      <c r="B23">
        <v>0</v>
      </c>
      <c r="C23">
        <v>0</v>
      </c>
      <c r="D23">
        <v>139</v>
      </c>
      <c r="E23">
        <v>9109504</v>
      </c>
      <c r="F23" s="4" t="s">
        <v>261</v>
      </c>
    </row>
    <row r="24" spans="1:6" ht="15" customHeight="1" x14ac:dyDescent="0.25">
      <c r="A24" t="s">
        <v>335</v>
      </c>
      <c r="B24">
        <v>0</v>
      </c>
      <c r="C24">
        <v>139</v>
      </c>
      <c r="D24">
        <v>139</v>
      </c>
      <c r="E24">
        <v>9145088</v>
      </c>
      <c r="F24" s="4" t="s">
        <v>152</v>
      </c>
    </row>
    <row r="25" spans="1:6" ht="15" customHeight="1" x14ac:dyDescent="0.25">
      <c r="A25" t="s">
        <v>454</v>
      </c>
      <c r="B25">
        <v>184</v>
      </c>
      <c r="C25">
        <v>134</v>
      </c>
      <c r="D25">
        <v>11</v>
      </c>
      <c r="E25">
        <v>755384</v>
      </c>
      <c r="F25" s="4" t="s">
        <v>153</v>
      </c>
    </row>
    <row r="26" spans="1:6" ht="15" customHeight="1" x14ac:dyDescent="0.25">
      <c r="A26" t="s">
        <v>336</v>
      </c>
      <c r="B26">
        <v>169</v>
      </c>
      <c r="C26">
        <v>169</v>
      </c>
      <c r="D26">
        <v>169</v>
      </c>
      <c r="E26">
        <v>11119017</v>
      </c>
      <c r="F26" s="4" t="s">
        <v>154</v>
      </c>
    </row>
    <row r="27" spans="1:6" ht="15" customHeight="1" x14ac:dyDescent="0.25">
      <c r="A27" t="s">
        <v>451</v>
      </c>
      <c r="B27">
        <v>0</v>
      </c>
      <c r="C27">
        <v>100</v>
      </c>
      <c r="D27">
        <v>0</v>
      </c>
      <c r="E27">
        <v>25600</v>
      </c>
      <c r="F27" s="4" t="s">
        <v>471</v>
      </c>
    </row>
    <row r="28" spans="1:6" ht="15" customHeight="1" x14ac:dyDescent="0.25">
      <c r="A28" t="s">
        <v>337</v>
      </c>
      <c r="B28">
        <v>169</v>
      </c>
      <c r="C28">
        <v>169</v>
      </c>
      <c r="D28">
        <v>169</v>
      </c>
      <c r="E28">
        <v>11119017</v>
      </c>
      <c r="F28" s="4" t="s">
        <v>154</v>
      </c>
    </row>
    <row r="29" spans="1:6" ht="15" customHeight="1" x14ac:dyDescent="0.25">
      <c r="A29" t="s">
        <v>338</v>
      </c>
      <c r="B29">
        <v>189</v>
      </c>
      <c r="C29">
        <v>183</v>
      </c>
      <c r="D29">
        <v>107</v>
      </c>
      <c r="E29">
        <v>7059389</v>
      </c>
      <c r="F29" s="4" t="s">
        <v>155</v>
      </c>
    </row>
    <row r="30" spans="1:6" ht="15" customHeight="1" x14ac:dyDescent="0.25">
      <c r="A30" t="s">
        <v>339</v>
      </c>
      <c r="B30">
        <v>139</v>
      </c>
      <c r="C30">
        <v>0</v>
      </c>
      <c r="D30">
        <v>139</v>
      </c>
      <c r="E30">
        <v>9109643</v>
      </c>
      <c r="F30" s="4" t="s">
        <v>156</v>
      </c>
    </row>
    <row r="31" spans="1:6" ht="15" customHeight="1" x14ac:dyDescent="0.25">
      <c r="A31" t="s">
        <v>340</v>
      </c>
      <c r="B31">
        <v>85</v>
      </c>
      <c r="C31">
        <v>107</v>
      </c>
      <c r="D31">
        <v>47</v>
      </c>
      <c r="E31">
        <v>3107669</v>
      </c>
      <c r="F31" s="4" t="s">
        <v>157</v>
      </c>
    </row>
    <row r="32" spans="1:6" ht="15" customHeight="1" x14ac:dyDescent="0.25">
      <c r="A32" t="s">
        <v>341</v>
      </c>
      <c r="B32">
        <v>255</v>
      </c>
      <c r="C32">
        <v>140</v>
      </c>
      <c r="D32">
        <v>0</v>
      </c>
      <c r="E32">
        <v>36095</v>
      </c>
      <c r="F32" s="4" t="s">
        <v>158</v>
      </c>
    </row>
    <row r="33" spans="1:6" ht="15" customHeight="1" x14ac:dyDescent="0.25">
      <c r="A33" t="s">
        <v>342</v>
      </c>
      <c r="B33">
        <v>153</v>
      </c>
      <c r="C33">
        <v>50</v>
      </c>
      <c r="D33">
        <v>204</v>
      </c>
      <c r="E33">
        <v>13382297</v>
      </c>
      <c r="F33" s="4" t="s">
        <v>159</v>
      </c>
    </row>
    <row r="34" spans="1:6" ht="15" customHeight="1" x14ac:dyDescent="0.25">
      <c r="A34" t="s">
        <v>343</v>
      </c>
      <c r="B34">
        <v>139</v>
      </c>
      <c r="C34">
        <v>0</v>
      </c>
      <c r="D34">
        <v>0</v>
      </c>
      <c r="E34">
        <v>139</v>
      </c>
      <c r="F34" s="4" t="s">
        <v>466</v>
      </c>
    </row>
    <row r="35" spans="1:6" ht="15" customHeight="1" x14ac:dyDescent="0.25">
      <c r="A35" t="s">
        <v>344</v>
      </c>
      <c r="B35">
        <v>233</v>
      </c>
      <c r="C35">
        <v>150</v>
      </c>
      <c r="D35">
        <v>122</v>
      </c>
      <c r="E35">
        <v>8034025</v>
      </c>
      <c r="F35" s="4" t="s">
        <v>160</v>
      </c>
    </row>
    <row r="36" spans="1:6" ht="15" customHeight="1" x14ac:dyDescent="0.25">
      <c r="A36" t="s">
        <v>345</v>
      </c>
      <c r="B36">
        <v>143</v>
      </c>
      <c r="C36">
        <v>188</v>
      </c>
      <c r="D36">
        <v>143</v>
      </c>
      <c r="E36">
        <v>9419919</v>
      </c>
      <c r="F36" s="4" t="s">
        <v>161</v>
      </c>
    </row>
    <row r="37" spans="1:6" ht="15" customHeight="1" x14ac:dyDescent="0.25">
      <c r="A37" t="s">
        <v>346</v>
      </c>
      <c r="B37">
        <v>72</v>
      </c>
      <c r="C37">
        <v>61</v>
      </c>
      <c r="D37">
        <v>139</v>
      </c>
      <c r="E37">
        <v>9125192</v>
      </c>
      <c r="F37" s="4" t="s">
        <v>162</v>
      </c>
    </row>
    <row r="38" spans="1:6" ht="15" customHeight="1" x14ac:dyDescent="0.25">
      <c r="A38" t="s">
        <v>347</v>
      </c>
      <c r="B38">
        <v>47</v>
      </c>
      <c r="C38">
        <v>79</v>
      </c>
      <c r="D38">
        <v>79</v>
      </c>
      <c r="E38">
        <v>5197615</v>
      </c>
      <c r="F38" s="4" t="s">
        <v>163</v>
      </c>
    </row>
    <row r="39" spans="1:6" ht="15" customHeight="1" x14ac:dyDescent="0.25">
      <c r="A39" t="s">
        <v>348</v>
      </c>
      <c r="B39">
        <v>47</v>
      </c>
      <c r="C39">
        <v>79</v>
      </c>
      <c r="D39">
        <v>79</v>
      </c>
      <c r="E39">
        <v>5197615</v>
      </c>
      <c r="F39" s="4" t="s">
        <v>163</v>
      </c>
    </row>
    <row r="40" spans="1:6" ht="15" customHeight="1" x14ac:dyDescent="0.25">
      <c r="A40" t="s">
        <v>349</v>
      </c>
      <c r="B40">
        <v>0</v>
      </c>
      <c r="C40">
        <v>206</v>
      </c>
      <c r="D40">
        <v>209</v>
      </c>
      <c r="E40">
        <v>13749760</v>
      </c>
      <c r="F40" s="4" t="s">
        <v>164</v>
      </c>
    </row>
    <row r="41" spans="1:6" ht="15" customHeight="1" x14ac:dyDescent="0.25">
      <c r="A41" t="s">
        <v>350</v>
      </c>
      <c r="B41">
        <v>148</v>
      </c>
      <c r="C41">
        <v>0</v>
      </c>
      <c r="D41">
        <v>211</v>
      </c>
      <c r="E41">
        <v>13828244</v>
      </c>
      <c r="F41" s="4" t="s">
        <v>165</v>
      </c>
    </row>
    <row r="42" spans="1:6" ht="15" customHeight="1" x14ac:dyDescent="0.25">
      <c r="A42" t="s">
        <v>351</v>
      </c>
      <c r="B42">
        <v>255</v>
      </c>
      <c r="C42">
        <v>20</v>
      </c>
      <c r="D42">
        <v>147</v>
      </c>
      <c r="E42">
        <v>9639167</v>
      </c>
      <c r="F42" s="4" t="s">
        <v>166</v>
      </c>
    </row>
    <row r="43" spans="1:6" ht="15" customHeight="1" x14ac:dyDescent="0.25">
      <c r="A43" t="s">
        <v>352</v>
      </c>
      <c r="B43">
        <v>0</v>
      </c>
      <c r="C43">
        <v>191</v>
      </c>
      <c r="D43">
        <v>255</v>
      </c>
      <c r="E43">
        <v>16760576</v>
      </c>
      <c r="F43" s="4" t="s">
        <v>167</v>
      </c>
    </row>
    <row r="44" spans="1:6" ht="15" customHeight="1" x14ac:dyDescent="0.25">
      <c r="A44" t="s">
        <v>353</v>
      </c>
      <c r="B44">
        <v>105</v>
      </c>
      <c r="C44">
        <v>105</v>
      </c>
      <c r="D44">
        <v>105</v>
      </c>
      <c r="E44">
        <v>6908265</v>
      </c>
      <c r="F44" s="4" t="s">
        <v>252</v>
      </c>
    </row>
    <row r="45" spans="1:6" ht="15" customHeight="1" x14ac:dyDescent="0.25">
      <c r="A45" t="s">
        <v>354</v>
      </c>
      <c r="B45">
        <v>105</v>
      </c>
      <c r="C45">
        <v>105</v>
      </c>
      <c r="D45">
        <v>105</v>
      </c>
      <c r="E45">
        <v>6908265</v>
      </c>
      <c r="F45" s="4" t="s">
        <v>252</v>
      </c>
    </row>
    <row r="46" spans="1:6" ht="15" customHeight="1" x14ac:dyDescent="0.25">
      <c r="A46" t="s">
        <v>355</v>
      </c>
      <c r="B46">
        <v>30</v>
      </c>
      <c r="C46">
        <v>144</v>
      </c>
      <c r="D46">
        <v>255</v>
      </c>
      <c r="E46">
        <v>16748574</v>
      </c>
      <c r="F46" s="4" t="s">
        <v>168</v>
      </c>
    </row>
    <row r="47" spans="1:6" ht="15" customHeight="1" x14ac:dyDescent="0.25">
      <c r="A47" t="s">
        <v>356</v>
      </c>
      <c r="B47">
        <v>178</v>
      </c>
      <c r="C47">
        <v>34</v>
      </c>
      <c r="D47">
        <v>34</v>
      </c>
      <c r="E47">
        <v>2237106</v>
      </c>
      <c r="F47" s="4" t="s">
        <v>169</v>
      </c>
    </row>
    <row r="48" spans="1:6" ht="15" customHeight="1" x14ac:dyDescent="0.25">
      <c r="A48" t="s">
        <v>357</v>
      </c>
      <c r="B48">
        <v>255</v>
      </c>
      <c r="C48">
        <v>250</v>
      </c>
      <c r="D48">
        <v>240</v>
      </c>
      <c r="E48">
        <v>15792895</v>
      </c>
      <c r="F48" s="4" t="s">
        <v>170</v>
      </c>
    </row>
    <row r="49" spans="1:6" ht="15" customHeight="1" x14ac:dyDescent="0.25">
      <c r="A49" t="s">
        <v>358</v>
      </c>
      <c r="B49">
        <v>34</v>
      </c>
      <c r="C49">
        <v>139</v>
      </c>
      <c r="D49">
        <v>34</v>
      </c>
      <c r="E49">
        <v>2263842</v>
      </c>
      <c r="F49" s="4" t="s">
        <v>171</v>
      </c>
    </row>
    <row r="50" spans="1:6" ht="15" customHeight="1" x14ac:dyDescent="0.25">
      <c r="A50" t="s">
        <v>359</v>
      </c>
      <c r="B50">
        <v>255</v>
      </c>
      <c r="C50">
        <v>0</v>
      </c>
      <c r="D50">
        <v>255</v>
      </c>
      <c r="E50">
        <v>16711935</v>
      </c>
      <c r="F50" s="4" t="s">
        <v>151</v>
      </c>
    </row>
    <row r="51" spans="1:6" ht="15" customHeight="1" x14ac:dyDescent="0.25">
      <c r="A51" t="s">
        <v>360</v>
      </c>
      <c r="B51">
        <v>220</v>
      </c>
      <c r="C51">
        <v>220</v>
      </c>
      <c r="D51">
        <v>220</v>
      </c>
      <c r="E51">
        <v>14474460</v>
      </c>
      <c r="F51" s="4" t="s">
        <v>172</v>
      </c>
    </row>
    <row r="52" spans="1:6" ht="15" customHeight="1" x14ac:dyDescent="0.25">
      <c r="A52" t="s">
        <v>361</v>
      </c>
      <c r="B52">
        <v>248</v>
      </c>
      <c r="C52">
        <v>248</v>
      </c>
      <c r="D52">
        <v>255</v>
      </c>
      <c r="E52">
        <v>16775416</v>
      </c>
      <c r="F52" s="4" t="s">
        <v>173</v>
      </c>
    </row>
    <row r="53" spans="1:6" ht="15" customHeight="1" x14ac:dyDescent="0.25">
      <c r="A53" t="s">
        <v>362</v>
      </c>
      <c r="B53">
        <v>255</v>
      </c>
      <c r="C53">
        <v>215</v>
      </c>
      <c r="D53">
        <v>0</v>
      </c>
      <c r="E53">
        <v>55295</v>
      </c>
      <c r="F53" s="4" t="s">
        <v>174</v>
      </c>
    </row>
    <row r="54" spans="1:6" ht="15" customHeight="1" x14ac:dyDescent="0.25">
      <c r="A54" t="s">
        <v>453</v>
      </c>
      <c r="B54">
        <v>218</v>
      </c>
      <c r="C54">
        <v>165</v>
      </c>
      <c r="D54">
        <v>32</v>
      </c>
      <c r="E54">
        <v>2139610</v>
      </c>
      <c r="F54" s="4" t="s">
        <v>175</v>
      </c>
    </row>
    <row r="55" spans="1:6" ht="15" customHeight="1" x14ac:dyDescent="0.25">
      <c r="A55" t="s">
        <v>363</v>
      </c>
      <c r="B55">
        <v>128</v>
      </c>
      <c r="C55">
        <v>128</v>
      </c>
      <c r="D55">
        <v>128</v>
      </c>
      <c r="E55">
        <v>8421504</v>
      </c>
      <c r="F55" s="4" t="s">
        <v>253</v>
      </c>
    </row>
    <row r="56" spans="1:6" ht="15" customHeight="1" x14ac:dyDescent="0.25">
      <c r="A56" t="s">
        <v>483</v>
      </c>
      <c r="B56" s="6">
        <v>229</v>
      </c>
      <c r="C56" s="6">
        <v>229</v>
      </c>
      <c r="D56" s="6">
        <v>229</v>
      </c>
      <c r="E56">
        <v>15066597</v>
      </c>
      <c r="F56" s="4" t="s">
        <v>299</v>
      </c>
    </row>
    <row r="57" spans="1:6" ht="15" customHeight="1" x14ac:dyDescent="0.25">
      <c r="A57" t="s">
        <v>484</v>
      </c>
      <c r="B57" s="6">
        <v>204</v>
      </c>
      <c r="C57" s="6">
        <v>204</v>
      </c>
      <c r="D57" s="6">
        <v>204</v>
      </c>
      <c r="E57">
        <v>13421772</v>
      </c>
      <c r="F57" s="4" t="s">
        <v>298</v>
      </c>
    </row>
    <row r="58" spans="1:6" ht="15" customHeight="1" x14ac:dyDescent="0.25">
      <c r="A58" t="s">
        <v>476</v>
      </c>
      <c r="B58" s="6">
        <v>179</v>
      </c>
      <c r="C58" s="6">
        <v>179</v>
      </c>
      <c r="D58" s="6">
        <v>179</v>
      </c>
      <c r="E58">
        <v>11776947</v>
      </c>
      <c r="F58" s="4" t="s">
        <v>309</v>
      </c>
    </row>
    <row r="59" spans="1:6" ht="15" customHeight="1" x14ac:dyDescent="0.25">
      <c r="A59" t="s">
        <v>477</v>
      </c>
      <c r="B59" s="6">
        <v>153</v>
      </c>
      <c r="C59" s="6">
        <v>153</v>
      </c>
      <c r="D59" s="6">
        <v>153</v>
      </c>
      <c r="E59">
        <v>10066329</v>
      </c>
      <c r="F59" s="4" t="s">
        <v>297</v>
      </c>
    </row>
    <row r="60" spans="1:6" ht="15" customHeight="1" x14ac:dyDescent="0.25">
      <c r="A60" t="s">
        <v>478</v>
      </c>
      <c r="B60">
        <v>128</v>
      </c>
      <c r="C60">
        <v>128</v>
      </c>
      <c r="D60">
        <v>128</v>
      </c>
      <c r="E60">
        <v>8421504</v>
      </c>
      <c r="F60" s="4" t="s">
        <v>253</v>
      </c>
    </row>
    <row r="61" spans="1:6" ht="15" customHeight="1" x14ac:dyDescent="0.25">
      <c r="A61" t="s">
        <v>479</v>
      </c>
      <c r="B61" s="6">
        <v>102</v>
      </c>
      <c r="C61" s="6">
        <v>102</v>
      </c>
      <c r="D61" s="6">
        <v>102</v>
      </c>
      <c r="E61">
        <v>6710886</v>
      </c>
      <c r="F61" s="4" t="s">
        <v>296</v>
      </c>
    </row>
    <row r="62" spans="1:6" ht="15" customHeight="1" x14ac:dyDescent="0.25">
      <c r="A62" t="s">
        <v>480</v>
      </c>
      <c r="B62">
        <v>76</v>
      </c>
      <c r="C62">
        <v>76</v>
      </c>
      <c r="D62">
        <v>76</v>
      </c>
      <c r="E62">
        <v>5000268</v>
      </c>
      <c r="F62" s="4" t="s">
        <v>310</v>
      </c>
    </row>
    <row r="63" spans="1:6" ht="15" customHeight="1" x14ac:dyDescent="0.25">
      <c r="A63" t="s">
        <v>481</v>
      </c>
      <c r="B63" s="6">
        <v>51</v>
      </c>
      <c r="C63" s="6">
        <v>51</v>
      </c>
      <c r="D63" s="6">
        <v>51</v>
      </c>
      <c r="E63">
        <v>3355443</v>
      </c>
      <c r="F63" s="4" t="s">
        <v>295</v>
      </c>
    </row>
    <row r="64" spans="1:6" ht="15" customHeight="1" x14ac:dyDescent="0.25">
      <c r="A64" t="s">
        <v>482</v>
      </c>
      <c r="B64">
        <v>26</v>
      </c>
      <c r="C64">
        <v>26</v>
      </c>
      <c r="D64">
        <v>26</v>
      </c>
      <c r="E64">
        <v>1710618</v>
      </c>
      <c r="F64" s="4" t="s">
        <v>311</v>
      </c>
    </row>
    <row r="65" spans="1:6" ht="15" customHeight="1" x14ac:dyDescent="0.25">
      <c r="A65" t="s">
        <v>364</v>
      </c>
      <c r="B65">
        <v>0</v>
      </c>
      <c r="C65">
        <v>128</v>
      </c>
      <c r="D65">
        <v>0</v>
      </c>
      <c r="E65">
        <v>32768</v>
      </c>
      <c r="F65" s="4" t="s">
        <v>249</v>
      </c>
    </row>
    <row r="66" spans="1:6" ht="15" customHeight="1" x14ac:dyDescent="0.25">
      <c r="A66" t="s">
        <v>365</v>
      </c>
      <c r="B66">
        <v>173</v>
      </c>
      <c r="C66">
        <v>255</v>
      </c>
      <c r="D66">
        <v>47</v>
      </c>
      <c r="E66">
        <v>3145645</v>
      </c>
      <c r="F66" s="4" t="s">
        <v>176</v>
      </c>
    </row>
    <row r="67" spans="1:6" ht="15" customHeight="1" x14ac:dyDescent="0.25">
      <c r="A67" t="s">
        <v>475</v>
      </c>
      <c r="B67">
        <v>128</v>
      </c>
      <c r="C67">
        <v>128</v>
      </c>
      <c r="D67">
        <v>128</v>
      </c>
      <c r="E67">
        <v>8421504</v>
      </c>
      <c r="F67" s="4" t="s">
        <v>253</v>
      </c>
    </row>
    <row r="68" spans="1:6" ht="15" customHeight="1" x14ac:dyDescent="0.25">
      <c r="A68" t="s">
        <v>300</v>
      </c>
      <c r="B68" s="6">
        <v>229</v>
      </c>
      <c r="C68" s="6">
        <v>229</v>
      </c>
      <c r="D68" s="6">
        <v>229</v>
      </c>
      <c r="E68">
        <v>15066597</v>
      </c>
      <c r="F68" s="4" t="s">
        <v>299</v>
      </c>
    </row>
    <row r="69" spans="1:6" ht="15" customHeight="1" x14ac:dyDescent="0.25">
      <c r="A69" t="s">
        <v>301</v>
      </c>
      <c r="B69" s="6">
        <v>204</v>
      </c>
      <c r="C69" s="6">
        <v>204</v>
      </c>
      <c r="D69" s="6">
        <v>204</v>
      </c>
      <c r="E69">
        <v>13421772</v>
      </c>
      <c r="F69" s="4" t="s">
        <v>298</v>
      </c>
    </row>
    <row r="70" spans="1:6" ht="15" customHeight="1" x14ac:dyDescent="0.25">
      <c r="A70" t="s">
        <v>306</v>
      </c>
      <c r="B70" s="6">
        <v>179</v>
      </c>
      <c r="C70" s="6">
        <v>179</v>
      </c>
      <c r="D70" s="6">
        <v>179</v>
      </c>
      <c r="E70">
        <v>11776947</v>
      </c>
      <c r="F70" s="4" t="s">
        <v>309</v>
      </c>
    </row>
    <row r="71" spans="1:6" ht="15" customHeight="1" x14ac:dyDescent="0.25">
      <c r="A71" t="s">
        <v>302</v>
      </c>
      <c r="B71" s="6">
        <v>153</v>
      </c>
      <c r="C71" s="6">
        <v>153</v>
      </c>
      <c r="D71" s="6">
        <v>153</v>
      </c>
      <c r="E71">
        <v>10066329</v>
      </c>
      <c r="F71" s="4" t="s">
        <v>297</v>
      </c>
    </row>
    <row r="72" spans="1:6" ht="15" customHeight="1" x14ac:dyDescent="0.25">
      <c r="A72" t="s">
        <v>305</v>
      </c>
      <c r="B72">
        <v>128</v>
      </c>
      <c r="C72">
        <v>128</v>
      </c>
      <c r="D72">
        <v>128</v>
      </c>
      <c r="E72">
        <v>8421504</v>
      </c>
      <c r="F72" s="4" t="s">
        <v>253</v>
      </c>
    </row>
    <row r="73" spans="1:6" ht="15" customHeight="1" x14ac:dyDescent="0.25">
      <c r="A73" t="s">
        <v>303</v>
      </c>
      <c r="B73" s="6">
        <v>102</v>
      </c>
      <c r="C73" s="6">
        <v>102</v>
      </c>
      <c r="D73" s="6">
        <v>102</v>
      </c>
      <c r="E73">
        <v>6710886</v>
      </c>
      <c r="F73" s="4" t="s">
        <v>296</v>
      </c>
    </row>
    <row r="74" spans="1:6" ht="15" customHeight="1" x14ac:dyDescent="0.25">
      <c r="A74" t="s">
        <v>307</v>
      </c>
      <c r="B74">
        <v>76</v>
      </c>
      <c r="C74">
        <v>76</v>
      </c>
      <c r="D74">
        <v>76</v>
      </c>
      <c r="E74">
        <v>5000268</v>
      </c>
      <c r="F74" s="4" t="s">
        <v>310</v>
      </c>
    </row>
    <row r="75" spans="1:6" ht="15" customHeight="1" x14ac:dyDescent="0.25">
      <c r="A75" t="s">
        <v>304</v>
      </c>
      <c r="B75" s="6">
        <v>51</v>
      </c>
      <c r="C75" s="6">
        <v>51</v>
      </c>
      <c r="D75" s="6">
        <v>51</v>
      </c>
      <c r="E75">
        <v>3355443</v>
      </c>
      <c r="F75" s="4" t="s">
        <v>295</v>
      </c>
    </row>
    <row r="76" spans="1:6" ht="15" customHeight="1" x14ac:dyDescent="0.25">
      <c r="A76" t="s">
        <v>308</v>
      </c>
      <c r="B76">
        <v>26</v>
      </c>
      <c r="C76">
        <v>26</v>
      </c>
      <c r="D76">
        <v>26</v>
      </c>
      <c r="E76">
        <v>1710618</v>
      </c>
      <c r="F76" s="4" t="s">
        <v>311</v>
      </c>
    </row>
    <row r="77" spans="1:6" ht="15" customHeight="1" x14ac:dyDescent="0.25">
      <c r="A77" t="s">
        <v>455</v>
      </c>
      <c r="B77">
        <v>240</v>
      </c>
      <c r="C77">
        <v>255</v>
      </c>
      <c r="D77">
        <v>240</v>
      </c>
      <c r="E77">
        <v>15794160</v>
      </c>
      <c r="F77" s="4" t="s">
        <v>177</v>
      </c>
    </row>
    <row r="78" spans="1:6" ht="15" customHeight="1" x14ac:dyDescent="0.25">
      <c r="A78" t="s">
        <v>366</v>
      </c>
      <c r="B78">
        <v>255</v>
      </c>
      <c r="C78">
        <v>105</v>
      </c>
      <c r="D78">
        <v>180</v>
      </c>
      <c r="E78">
        <v>11823615</v>
      </c>
      <c r="F78" s="4" t="s">
        <v>178</v>
      </c>
    </row>
    <row r="79" spans="1:6" ht="15" customHeight="1" x14ac:dyDescent="0.25">
      <c r="A79" t="s">
        <v>367</v>
      </c>
      <c r="B79">
        <v>205</v>
      </c>
      <c r="C79">
        <v>92</v>
      </c>
      <c r="D79">
        <v>92</v>
      </c>
      <c r="E79">
        <v>6053069</v>
      </c>
      <c r="F79" s="4" t="s">
        <v>179</v>
      </c>
    </row>
    <row r="80" spans="1:6" ht="15" customHeight="1" x14ac:dyDescent="0.25">
      <c r="A80" t="s">
        <v>368</v>
      </c>
      <c r="B80">
        <v>75</v>
      </c>
      <c r="C80">
        <v>0</v>
      </c>
      <c r="D80">
        <v>130</v>
      </c>
      <c r="E80">
        <v>8519755</v>
      </c>
      <c r="F80" s="4" t="s">
        <v>180</v>
      </c>
    </row>
    <row r="81" spans="1:6" ht="15" customHeight="1" x14ac:dyDescent="0.25">
      <c r="A81" t="s">
        <v>369</v>
      </c>
      <c r="B81">
        <v>255</v>
      </c>
      <c r="C81">
        <v>255</v>
      </c>
      <c r="D81">
        <v>240</v>
      </c>
      <c r="E81">
        <v>15794175</v>
      </c>
      <c r="F81" s="4" t="s">
        <v>181</v>
      </c>
    </row>
    <row r="82" spans="1:6" ht="15" customHeight="1" x14ac:dyDescent="0.25">
      <c r="A82" t="s">
        <v>370</v>
      </c>
      <c r="B82">
        <v>240</v>
      </c>
      <c r="C82">
        <v>230</v>
      </c>
      <c r="D82">
        <v>140</v>
      </c>
      <c r="E82">
        <v>9234160</v>
      </c>
      <c r="F82" s="4" t="s">
        <v>182</v>
      </c>
    </row>
    <row r="83" spans="1:6" ht="15" customHeight="1" x14ac:dyDescent="0.25">
      <c r="A83" t="s">
        <v>371</v>
      </c>
      <c r="B83">
        <v>230</v>
      </c>
      <c r="C83">
        <v>230</v>
      </c>
      <c r="D83">
        <v>250</v>
      </c>
      <c r="E83">
        <v>16443110</v>
      </c>
      <c r="F83" s="4" t="s">
        <v>468</v>
      </c>
    </row>
    <row r="84" spans="1:6" ht="15" customHeight="1" x14ac:dyDescent="0.25">
      <c r="A84" t="s">
        <v>372</v>
      </c>
      <c r="B84">
        <v>255</v>
      </c>
      <c r="C84">
        <v>240</v>
      </c>
      <c r="D84">
        <v>245</v>
      </c>
      <c r="E84">
        <v>16118015</v>
      </c>
      <c r="F84" s="4" t="s">
        <v>183</v>
      </c>
    </row>
    <row r="85" spans="1:6" ht="15" customHeight="1" x14ac:dyDescent="0.25">
      <c r="A85" t="s">
        <v>373</v>
      </c>
      <c r="B85">
        <v>124</v>
      </c>
      <c r="C85">
        <v>252</v>
      </c>
      <c r="D85">
        <v>0</v>
      </c>
      <c r="E85">
        <v>64636</v>
      </c>
      <c r="F85" s="4" t="s">
        <v>184</v>
      </c>
    </row>
    <row r="86" spans="1:6" ht="15" customHeight="1" x14ac:dyDescent="0.25">
      <c r="A86" t="s">
        <v>374</v>
      </c>
      <c r="B86">
        <v>255</v>
      </c>
      <c r="C86">
        <v>250</v>
      </c>
      <c r="D86">
        <v>205</v>
      </c>
      <c r="E86">
        <v>13499135</v>
      </c>
      <c r="F86" s="4" t="s">
        <v>185</v>
      </c>
    </row>
    <row r="87" spans="1:6" ht="15" customHeight="1" x14ac:dyDescent="0.25">
      <c r="A87" t="s">
        <v>375</v>
      </c>
      <c r="B87">
        <v>173</v>
      </c>
      <c r="C87">
        <v>216</v>
      </c>
      <c r="D87">
        <v>230</v>
      </c>
      <c r="E87">
        <v>15128749</v>
      </c>
      <c r="F87" s="4" t="s">
        <v>473</v>
      </c>
    </row>
    <row r="88" spans="1:6" ht="15" customHeight="1" x14ac:dyDescent="0.25">
      <c r="A88" t="s">
        <v>376</v>
      </c>
      <c r="B88">
        <v>240</v>
      </c>
      <c r="C88">
        <v>128</v>
      </c>
      <c r="D88">
        <v>128</v>
      </c>
      <c r="E88">
        <v>8421616</v>
      </c>
      <c r="F88" s="4" t="s">
        <v>186</v>
      </c>
    </row>
    <row r="89" spans="1:6" ht="15" customHeight="1" x14ac:dyDescent="0.25">
      <c r="A89" t="s">
        <v>377</v>
      </c>
      <c r="B89">
        <v>224</v>
      </c>
      <c r="C89">
        <v>255</v>
      </c>
      <c r="D89">
        <v>255</v>
      </c>
      <c r="E89">
        <v>16777184</v>
      </c>
      <c r="F89" s="4" t="s">
        <v>187</v>
      </c>
    </row>
    <row r="90" spans="1:6" ht="15" customHeight="1" x14ac:dyDescent="0.25">
      <c r="A90" t="s">
        <v>449</v>
      </c>
      <c r="B90">
        <v>250</v>
      </c>
      <c r="C90">
        <v>250</v>
      </c>
      <c r="D90">
        <v>210</v>
      </c>
      <c r="E90">
        <v>13826810</v>
      </c>
      <c r="F90" s="4" t="s">
        <v>188</v>
      </c>
    </row>
    <row r="91" spans="1:6" ht="15" customHeight="1" x14ac:dyDescent="0.25">
      <c r="A91" t="s">
        <v>378</v>
      </c>
      <c r="B91">
        <v>211</v>
      </c>
      <c r="C91">
        <v>211</v>
      </c>
      <c r="D91">
        <v>211</v>
      </c>
      <c r="E91">
        <v>13882323</v>
      </c>
      <c r="F91" s="4" t="s">
        <v>189</v>
      </c>
    </row>
    <row r="92" spans="1:6" ht="15" customHeight="1" x14ac:dyDescent="0.25">
      <c r="A92" t="s">
        <v>379</v>
      </c>
      <c r="B92">
        <v>144</v>
      </c>
      <c r="C92">
        <v>238</v>
      </c>
      <c r="D92">
        <v>144</v>
      </c>
      <c r="E92">
        <v>9498256</v>
      </c>
      <c r="F92" s="4" t="s">
        <v>190</v>
      </c>
    </row>
    <row r="93" spans="1:6" ht="15" customHeight="1" x14ac:dyDescent="0.25">
      <c r="A93" t="s">
        <v>380</v>
      </c>
      <c r="B93">
        <v>211</v>
      </c>
      <c r="C93">
        <v>211</v>
      </c>
      <c r="D93">
        <v>211</v>
      </c>
      <c r="E93">
        <v>13882323</v>
      </c>
      <c r="F93" s="4" t="s">
        <v>189</v>
      </c>
    </row>
    <row r="94" spans="1:6" ht="15" customHeight="1" x14ac:dyDescent="0.25">
      <c r="A94" t="s">
        <v>381</v>
      </c>
      <c r="B94">
        <v>255</v>
      </c>
      <c r="C94">
        <v>182</v>
      </c>
      <c r="D94">
        <v>193</v>
      </c>
      <c r="E94">
        <v>12695295</v>
      </c>
      <c r="F94" s="4" t="s">
        <v>191</v>
      </c>
    </row>
    <row r="95" spans="1:6" ht="15" customHeight="1" x14ac:dyDescent="0.25">
      <c r="A95" t="s">
        <v>382</v>
      </c>
      <c r="B95">
        <v>255</v>
      </c>
      <c r="C95">
        <v>160</v>
      </c>
      <c r="D95">
        <v>122</v>
      </c>
      <c r="E95">
        <v>8036607</v>
      </c>
      <c r="F95" s="4" t="s">
        <v>192</v>
      </c>
    </row>
    <row r="96" spans="1:6" ht="15" customHeight="1" x14ac:dyDescent="0.25">
      <c r="A96" t="s">
        <v>382</v>
      </c>
      <c r="B96">
        <v>255</v>
      </c>
      <c r="C96">
        <v>160</v>
      </c>
      <c r="D96">
        <v>122</v>
      </c>
      <c r="E96">
        <v>8036607</v>
      </c>
      <c r="F96" s="4" t="s">
        <v>192</v>
      </c>
    </row>
    <row r="97" spans="1:6" ht="15" customHeight="1" x14ac:dyDescent="0.25">
      <c r="A97" t="s">
        <v>383</v>
      </c>
      <c r="B97">
        <v>32</v>
      </c>
      <c r="C97">
        <v>178</v>
      </c>
      <c r="D97">
        <v>170</v>
      </c>
      <c r="E97">
        <v>11186720</v>
      </c>
      <c r="F97" s="4" t="s">
        <v>193</v>
      </c>
    </row>
    <row r="98" spans="1:6" ht="15" customHeight="1" x14ac:dyDescent="0.25">
      <c r="A98" t="s">
        <v>384</v>
      </c>
      <c r="B98">
        <v>135</v>
      </c>
      <c r="C98">
        <v>206</v>
      </c>
      <c r="D98">
        <v>250</v>
      </c>
      <c r="E98">
        <v>16436871</v>
      </c>
      <c r="F98" s="4" t="s">
        <v>194</v>
      </c>
    </row>
    <row r="99" spans="1:6" ht="15" customHeight="1" x14ac:dyDescent="0.25">
      <c r="A99" t="s">
        <v>385</v>
      </c>
      <c r="B99">
        <v>119</v>
      </c>
      <c r="C99">
        <v>136</v>
      </c>
      <c r="D99">
        <v>153</v>
      </c>
      <c r="E99">
        <v>10061943</v>
      </c>
      <c r="F99" s="4" t="s">
        <v>254</v>
      </c>
    </row>
    <row r="100" spans="1:6" ht="15" customHeight="1" x14ac:dyDescent="0.25">
      <c r="A100" t="s">
        <v>386</v>
      </c>
      <c r="B100">
        <v>119</v>
      </c>
      <c r="C100">
        <v>136</v>
      </c>
      <c r="D100">
        <v>153</v>
      </c>
      <c r="E100">
        <v>10061943</v>
      </c>
      <c r="F100" s="4" t="s">
        <v>254</v>
      </c>
    </row>
    <row r="101" spans="1:6" ht="15" customHeight="1" x14ac:dyDescent="0.25">
      <c r="A101" t="s">
        <v>387</v>
      </c>
      <c r="B101">
        <v>176</v>
      </c>
      <c r="C101">
        <v>196</v>
      </c>
      <c r="D101">
        <v>222</v>
      </c>
      <c r="E101">
        <v>14599344</v>
      </c>
      <c r="F101" s="4" t="s">
        <v>195</v>
      </c>
    </row>
    <row r="102" spans="1:6" ht="15" customHeight="1" x14ac:dyDescent="0.25">
      <c r="A102" t="s">
        <v>388</v>
      </c>
      <c r="B102">
        <v>255</v>
      </c>
      <c r="C102">
        <v>255</v>
      </c>
      <c r="D102">
        <v>224</v>
      </c>
      <c r="E102">
        <v>14745599</v>
      </c>
      <c r="F102" s="4" t="s">
        <v>196</v>
      </c>
    </row>
    <row r="103" spans="1:6" ht="15" customHeight="1" x14ac:dyDescent="0.25">
      <c r="A103" t="s">
        <v>389</v>
      </c>
      <c r="B103">
        <v>0</v>
      </c>
      <c r="C103">
        <v>255</v>
      </c>
      <c r="D103">
        <v>0</v>
      </c>
      <c r="E103">
        <v>65280</v>
      </c>
      <c r="F103" s="4" t="s">
        <v>150</v>
      </c>
    </row>
    <row r="104" spans="1:6" ht="15" customHeight="1" x14ac:dyDescent="0.25">
      <c r="A104" t="s">
        <v>390</v>
      </c>
      <c r="B104">
        <v>50</v>
      </c>
      <c r="C104">
        <v>205</v>
      </c>
      <c r="D104">
        <v>50</v>
      </c>
      <c r="E104">
        <v>3329330</v>
      </c>
      <c r="F104" s="4" t="s">
        <v>197</v>
      </c>
    </row>
    <row r="105" spans="1:6" ht="15" customHeight="1" x14ac:dyDescent="0.25">
      <c r="A105" t="s">
        <v>391</v>
      </c>
      <c r="B105">
        <v>250</v>
      </c>
      <c r="C105">
        <v>240</v>
      </c>
      <c r="D105">
        <v>230</v>
      </c>
      <c r="E105">
        <v>15134970</v>
      </c>
      <c r="F105" s="4" t="s">
        <v>198</v>
      </c>
    </row>
    <row r="106" spans="1:6" ht="15" customHeight="1" x14ac:dyDescent="0.25">
      <c r="A106" t="s">
        <v>392</v>
      </c>
      <c r="B106">
        <v>255</v>
      </c>
      <c r="C106">
        <v>0</v>
      </c>
      <c r="D106">
        <v>255</v>
      </c>
      <c r="E106">
        <v>16711935</v>
      </c>
      <c r="F106" s="4" t="s">
        <v>151</v>
      </c>
    </row>
    <row r="107" spans="1:6" ht="15" customHeight="1" x14ac:dyDescent="0.25">
      <c r="A107" t="s">
        <v>393</v>
      </c>
      <c r="B107">
        <v>128</v>
      </c>
      <c r="C107">
        <v>0</v>
      </c>
      <c r="D107">
        <v>0</v>
      </c>
      <c r="E107">
        <v>128</v>
      </c>
      <c r="F107" s="4" t="s">
        <v>255</v>
      </c>
    </row>
    <row r="108" spans="1:6" ht="15" customHeight="1" x14ac:dyDescent="0.25">
      <c r="A108" t="s">
        <v>452</v>
      </c>
      <c r="B108">
        <v>102</v>
      </c>
      <c r="C108">
        <v>205</v>
      </c>
      <c r="D108">
        <v>170</v>
      </c>
      <c r="E108">
        <v>11193702</v>
      </c>
      <c r="F108" s="4" t="s">
        <v>199</v>
      </c>
    </row>
    <row r="109" spans="1:6" ht="15" customHeight="1" x14ac:dyDescent="0.25">
      <c r="A109" t="s">
        <v>394</v>
      </c>
      <c r="B109">
        <v>0</v>
      </c>
      <c r="C109">
        <v>0</v>
      </c>
      <c r="D109">
        <v>205</v>
      </c>
      <c r="E109">
        <v>13434880</v>
      </c>
      <c r="F109" s="4" t="s">
        <v>200</v>
      </c>
    </row>
    <row r="110" spans="1:6" ht="15" customHeight="1" x14ac:dyDescent="0.25">
      <c r="A110" t="s">
        <v>395</v>
      </c>
      <c r="B110">
        <v>186</v>
      </c>
      <c r="C110">
        <v>85</v>
      </c>
      <c r="D110">
        <v>211</v>
      </c>
      <c r="E110">
        <v>13850042</v>
      </c>
      <c r="F110" s="4" t="s">
        <v>201</v>
      </c>
    </row>
    <row r="111" spans="1:6" ht="15" customHeight="1" x14ac:dyDescent="0.25">
      <c r="A111" t="s">
        <v>396</v>
      </c>
      <c r="B111">
        <v>147</v>
      </c>
      <c r="C111">
        <v>112</v>
      </c>
      <c r="D111">
        <v>219</v>
      </c>
      <c r="E111">
        <v>14381203</v>
      </c>
      <c r="F111" s="4" t="s">
        <v>470</v>
      </c>
    </row>
    <row r="112" spans="1:6" ht="15" customHeight="1" x14ac:dyDescent="0.25">
      <c r="A112" t="s">
        <v>397</v>
      </c>
      <c r="B112">
        <v>60</v>
      </c>
      <c r="C112">
        <v>179</v>
      </c>
      <c r="D112">
        <v>113</v>
      </c>
      <c r="E112">
        <v>7451452</v>
      </c>
      <c r="F112" s="4" t="s">
        <v>202</v>
      </c>
    </row>
    <row r="113" spans="1:6" ht="15" customHeight="1" x14ac:dyDescent="0.25">
      <c r="A113" t="s">
        <v>398</v>
      </c>
      <c r="B113">
        <v>123</v>
      </c>
      <c r="C113">
        <v>104</v>
      </c>
      <c r="D113">
        <v>238</v>
      </c>
      <c r="E113">
        <v>15624315</v>
      </c>
      <c r="F113" s="4" t="s">
        <v>203</v>
      </c>
    </row>
    <row r="114" spans="1:6" ht="15" customHeight="1" x14ac:dyDescent="0.25">
      <c r="A114" t="s">
        <v>399</v>
      </c>
      <c r="B114">
        <v>0</v>
      </c>
      <c r="C114">
        <v>250</v>
      </c>
      <c r="D114">
        <v>154</v>
      </c>
      <c r="E114">
        <v>10156544</v>
      </c>
      <c r="F114" s="4" t="s">
        <v>204</v>
      </c>
    </row>
    <row r="115" spans="1:6" ht="15" customHeight="1" x14ac:dyDescent="0.25">
      <c r="A115" t="s">
        <v>400</v>
      </c>
      <c r="B115">
        <v>72</v>
      </c>
      <c r="C115">
        <v>209</v>
      </c>
      <c r="D115">
        <v>204</v>
      </c>
      <c r="E115">
        <v>13422920</v>
      </c>
      <c r="F115" s="4" t="s">
        <v>205</v>
      </c>
    </row>
    <row r="116" spans="1:6" ht="15" customHeight="1" x14ac:dyDescent="0.25">
      <c r="A116" t="s">
        <v>401</v>
      </c>
      <c r="B116">
        <v>199</v>
      </c>
      <c r="C116">
        <v>21</v>
      </c>
      <c r="D116">
        <v>133</v>
      </c>
      <c r="E116">
        <v>8721863</v>
      </c>
      <c r="F116" s="4" t="s">
        <v>206</v>
      </c>
    </row>
    <row r="117" spans="1:6" ht="15" customHeight="1" x14ac:dyDescent="0.25">
      <c r="A117" t="s">
        <v>402</v>
      </c>
      <c r="B117">
        <v>25</v>
      </c>
      <c r="C117">
        <v>25</v>
      </c>
      <c r="D117">
        <v>112</v>
      </c>
      <c r="E117">
        <v>7346457</v>
      </c>
      <c r="F117" s="4" t="s">
        <v>256</v>
      </c>
    </row>
    <row r="118" spans="1:6" ht="15" customHeight="1" x14ac:dyDescent="0.25">
      <c r="A118" t="s">
        <v>403</v>
      </c>
      <c r="B118">
        <v>245</v>
      </c>
      <c r="C118">
        <v>255</v>
      </c>
      <c r="D118">
        <v>250</v>
      </c>
      <c r="E118">
        <v>16449525</v>
      </c>
      <c r="F118" s="4" t="s">
        <v>207</v>
      </c>
    </row>
    <row r="119" spans="1:6" ht="15" customHeight="1" x14ac:dyDescent="0.25">
      <c r="A119" t="s">
        <v>404</v>
      </c>
      <c r="B119">
        <v>255</v>
      </c>
      <c r="C119">
        <v>228</v>
      </c>
      <c r="D119">
        <v>225</v>
      </c>
      <c r="E119">
        <v>14804223</v>
      </c>
      <c r="F119" s="4" t="s">
        <v>208</v>
      </c>
    </row>
    <row r="120" spans="1:6" ht="15" customHeight="1" x14ac:dyDescent="0.25">
      <c r="A120" t="s">
        <v>405</v>
      </c>
      <c r="B120">
        <v>255</v>
      </c>
      <c r="C120">
        <v>228</v>
      </c>
      <c r="D120">
        <v>181</v>
      </c>
      <c r="E120">
        <v>11920639</v>
      </c>
      <c r="F120" s="4" t="s">
        <v>209</v>
      </c>
    </row>
    <row r="121" spans="1:6" ht="15" customHeight="1" x14ac:dyDescent="0.25">
      <c r="A121" t="s">
        <v>406</v>
      </c>
      <c r="B121">
        <v>255</v>
      </c>
      <c r="C121">
        <v>222</v>
      </c>
      <c r="D121">
        <v>173</v>
      </c>
      <c r="E121">
        <v>11394815</v>
      </c>
      <c r="F121" s="4" t="s">
        <v>210</v>
      </c>
    </row>
    <row r="122" spans="1:6" ht="15" customHeight="1" x14ac:dyDescent="0.25">
      <c r="A122" t="s">
        <v>407</v>
      </c>
      <c r="B122">
        <v>0</v>
      </c>
      <c r="C122">
        <v>0</v>
      </c>
      <c r="D122">
        <v>128</v>
      </c>
      <c r="E122">
        <v>8388608</v>
      </c>
      <c r="F122" s="4" t="s">
        <v>250</v>
      </c>
    </row>
    <row r="123" spans="1:6" ht="15" customHeight="1" x14ac:dyDescent="0.25">
      <c r="A123" t="s">
        <v>408</v>
      </c>
      <c r="B123">
        <v>253</v>
      </c>
      <c r="C123">
        <v>245</v>
      </c>
      <c r="D123">
        <v>230</v>
      </c>
      <c r="E123">
        <v>15136253</v>
      </c>
      <c r="F123" s="4" t="s">
        <v>211</v>
      </c>
    </row>
    <row r="124" spans="1:6" ht="15" customHeight="1" x14ac:dyDescent="0.25">
      <c r="A124" t="s">
        <v>409</v>
      </c>
      <c r="B124">
        <v>128</v>
      </c>
      <c r="C124">
        <v>128</v>
      </c>
      <c r="D124">
        <v>0</v>
      </c>
      <c r="E124">
        <v>32896</v>
      </c>
      <c r="F124" s="4" t="s">
        <v>257</v>
      </c>
    </row>
    <row r="125" spans="1:6" ht="15" customHeight="1" x14ac:dyDescent="0.25">
      <c r="A125" t="s">
        <v>410</v>
      </c>
      <c r="B125">
        <v>107</v>
      </c>
      <c r="C125">
        <v>142</v>
      </c>
      <c r="D125">
        <v>35</v>
      </c>
      <c r="E125">
        <v>2330219</v>
      </c>
      <c r="F125" s="4" t="s">
        <v>212</v>
      </c>
    </row>
    <row r="126" spans="1:6" ht="15" customHeight="1" x14ac:dyDescent="0.25">
      <c r="A126" t="s">
        <v>411</v>
      </c>
      <c r="B126">
        <v>255</v>
      </c>
      <c r="C126">
        <v>165</v>
      </c>
      <c r="D126">
        <v>0</v>
      </c>
      <c r="E126">
        <v>42495</v>
      </c>
      <c r="F126" s="4" t="s">
        <v>213</v>
      </c>
    </row>
    <row r="127" spans="1:6" ht="15" customHeight="1" x14ac:dyDescent="0.25">
      <c r="A127" t="s">
        <v>412</v>
      </c>
      <c r="B127">
        <v>255</v>
      </c>
      <c r="C127">
        <v>69</v>
      </c>
      <c r="D127">
        <v>0</v>
      </c>
      <c r="E127">
        <v>17919</v>
      </c>
      <c r="F127" s="4" t="s">
        <v>214</v>
      </c>
    </row>
    <row r="128" spans="1:6" ht="15" customHeight="1" x14ac:dyDescent="0.25">
      <c r="A128" t="s">
        <v>413</v>
      </c>
      <c r="B128">
        <v>218</v>
      </c>
      <c r="C128">
        <v>112</v>
      </c>
      <c r="D128">
        <v>214</v>
      </c>
      <c r="E128">
        <v>14053594</v>
      </c>
      <c r="F128" s="4" t="s">
        <v>215</v>
      </c>
    </row>
    <row r="129" spans="1:6" ht="15" customHeight="1" x14ac:dyDescent="0.25">
      <c r="A129" t="s">
        <v>450</v>
      </c>
      <c r="B129">
        <v>238</v>
      </c>
      <c r="C129">
        <v>232</v>
      </c>
      <c r="D129">
        <v>170</v>
      </c>
      <c r="E129">
        <v>11200750</v>
      </c>
      <c r="F129" s="4" t="s">
        <v>216</v>
      </c>
    </row>
    <row r="130" spans="1:6" ht="15" customHeight="1" x14ac:dyDescent="0.25">
      <c r="A130" t="s">
        <v>313</v>
      </c>
      <c r="B130">
        <v>152</v>
      </c>
      <c r="C130">
        <v>251</v>
      </c>
      <c r="D130">
        <v>152</v>
      </c>
      <c r="E130">
        <v>10025880</v>
      </c>
      <c r="F130" s="4" t="s">
        <v>217</v>
      </c>
    </row>
    <row r="131" spans="1:6" ht="15" customHeight="1" x14ac:dyDescent="0.25">
      <c r="A131" t="s">
        <v>414</v>
      </c>
      <c r="B131">
        <v>175</v>
      </c>
      <c r="C131">
        <v>238</v>
      </c>
      <c r="D131">
        <v>238</v>
      </c>
      <c r="E131">
        <v>15658671</v>
      </c>
      <c r="F131" s="4" t="s">
        <v>218</v>
      </c>
    </row>
    <row r="132" spans="1:6" ht="15" customHeight="1" x14ac:dyDescent="0.25">
      <c r="A132" t="s">
        <v>415</v>
      </c>
      <c r="B132">
        <v>219</v>
      </c>
      <c r="C132">
        <v>112</v>
      </c>
      <c r="D132">
        <v>147</v>
      </c>
      <c r="E132">
        <v>9662683</v>
      </c>
      <c r="F132" s="4" t="s">
        <v>467</v>
      </c>
    </row>
    <row r="133" spans="1:6" ht="15" customHeight="1" x14ac:dyDescent="0.25">
      <c r="A133" t="s">
        <v>416</v>
      </c>
      <c r="B133">
        <v>255</v>
      </c>
      <c r="C133">
        <v>239</v>
      </c>
      <c r="D133">
        <v>213</v>
      </c>
      <c r="E133">
        <v>14020607</v>
      </c>
      <c r="F133" s="4" t="s">
        <v>219</v>
      </c>
    </row>
    <row r="134" spans="1:6" ht="15" customHeight="1" x14ac:dyDescent="0.25">
      <c r="A134" t="s">
        <v>417</v>
      </c>
      <c r="B134">
        <v>255</v>
      </c>
      <c r="C134">
        <v>218</v>
      </c>
      <c r="D134">
        <v>185</v>
      </c>
      <c r="E134">
        <v>12180223</v>
      </c>
      <c r="F134" s="4" t="s">
        <v>220</v>
      </c>
    </row>
    <row r="135" spans="1:6" ht="15" customHeight="1" x14ac:dyDescent="0.25">
      <c r="A135" t="s">
        <v>418</v>
      </c>
      <c r="B135">
        <v>205</v>
      </c>
      <c r="C135">
        <v>133</v>
      </c>
      <c r="D135">
        <v>63</v>
      </c>
      <c r="E135">
        <v>4163021</v>
      </c>
      <c r="F135" s="4" t="s">
        <v>221</v>
      </c>
    </row>
    <row r="136" spans="1:6" ht="15" customHeight="1" x14ac:dyDescent="0.25">
      <c r="A136" t="s">
        <v>419</v>
      </c>
      <c r="B136">
        <v>255</v>
      </c>
      <c r="C136">
        <v>192</v>
      </c>
      <c r="D136">
        <v>203</v>
      </c>
      <c r="E136">
        <v>13353215</v>
      </c>
      <c r="F136" s="4" t="s">
        <v>222</v>
      </c>
    </row>
    <row r="137" spans="1:6" ht="15" customHeight="1" x14ac:dyDescent="0.25">
      <c r="A137" t="s">
        <v>420</v>
      </c>
      <c r="B137">
        <v>221</v>
      </c>
      <c r="C137">
        <v>160</v>
      </c>
      <c r="D137">
        <v>221</v>
      </c>
      <c r="E137">
        <v>14524637</v>
      </c>
      <c r="F137" s="4" t="s">
        <v>469</v>
      </c>
    </row>
    <row r="138" spans="1:6" ht="15" customHeight="1" x14ac:dyDescent="0.25">
      <c r="A138" t="s">
        <v>421</v>
      </c>
      <c r="B138">
        <v>176</v>
      </c>
      <c r="C138">
        <v>224</v>
      </c>
      <c r="D138">
        <v>230</v>
      </c>
      <c r="E138">
        <v>15130800</v>
      </c>
      <c r="F138" s="4" t="s">
        <v>223</v>
      </c>
    </row>
    <row r="139" spans="1:6" ht="15" customHeight="1" x14ac:dyDescent="0.25">
      <c r="A139" t="s">
        <v>422</v>
      </c>
      <c r="B139">
        <v>128</v>
      </c>
      <c r="C139">
        <v>0</v>
      </c>
      <c r="D139">
        <v>128</v>
      </c>
      <c r="E139">
        <v>8388736</v>
      </c>
      <c r="F139" s="4" t="s">
        <v>258</v>
      </c>
    </row>
    <row r="140" spans="1:6" ht="15" customHeight="1" x14ac:dyDescent="0.25">
      <c r="A140" t="s">
        <v>144</v>
      </c>
      <c r="B140">
        <v>255</v>
      </c>
      <c r="C140">
        <v>0</v>
      </c>
      <c r="D140">
        <v>0</v>
      </c>
      <c r="E140">
        <v>255</v>
      </c>
      <c r="F140" s="4" t="s">
        <v>224</v>
      </c>
    </row>
    <row r="141" spans="1:6" ht="15" customHeight="1" x14ac:dyDescent="0.25">
      <c r="A141" t="s">
        <v>423</v>
      </c>
      <c r="B141">
        <v>188</v>
      </c>
      <c r="C141">
        <v>143</v>
      </c>
      <c r="D141">
        <v>143</v>
      </c>
      <c r="E141">
        <v>9408444</v>
      </c>
      <c r="F141" s="4" t="s">
        <v>225</v>
      </c>
    </row>
    <row r="142" spans="1:6" ht="15" customHeight="1" x14ac:dyDescent="0.25">
      <c r="A142" t="s">
        <v>424</v>
      </c>
      <c r="B142">
        <v>65</v>
      </c>
      <c r="C142">
        <v>105</v>
      </c>
      <c r="D142">
        <v>225</v>
      </c>
      <c r="E142">
        <v>14772545</v>
      </c>
      <c r="F142" s="4" t="s">
        <v>472</v>
      </c>
    </row>
    <row r="143" spans="1:6" ht="15" customHeight="1" x14ac:dyDescent="0.25">
      <c r="A143" t="s">
        <v>425</v>
      </c>
      <c r="B143">
        <v>139</v>
      </c>
      <c r="C143">
        <v>69</v>
      </c>
      <c r="D143">
        <v>19</v>
      </c>
      <c r="E143">
        <v>1262987</v>
      </c>
      <c r="F143" s="4" t="s">
        <v>226</v>
      </c>
    </row>
    <row r="144" spans="1:6" ht="15" customHeight="1" x14ac:dyDescent="0.25">
      <c r="A144" t="s">
        <v>426</v>
      </c>
      <c r="B144">
        <v>250</v>
      </c>
      <c r="C144">
        <v>128</v>
      </c>
      <c r="D144">
        <v>114</v>
      </c>
      <c r="E144">
        <v>7504122</v>
      </c>
      <c r="F144" s="4" t="s">
        <v>227</v>
      </c>
    </row>
    <row r="145" spans="1:6" ht="15" customHeight="1" x14ac:dyDescent="0.25">
      <c r="A145" t="s">
        <v>427</v>
      </c>
      <c r="B145">
        <v>244</v>
      </c>
      <c r="C145">
        <v>164</v>
      </c>
      <c r="D145">
        <v>96</v>
      </c>
      <c r="E145">
        <v>6333684</v>
      </c>
      <c r="F145" s="4" t="s">
        <v>228</v>
      </c>
    </row>
    <row r="146" spans="1:6" ht="15" customHeight="1" x14ac:dyDescent="0.25">
      <c r="A146" t="s">
        <v>428</v>
      </c>
      <c r="B146">
        <v>46</v>
      </c>
      <c r="C146">
        <v>139</v>
      </c>
      <c r="D146">
        <v>87</v>
      </c>
      <c r="E146">
        <v>5737262</v>
      </c>
      <c r="F146" s="4" t="s">
        <v>229</v>
      </c>
    </row>
    <row r="147" spans="1:6" ht="15" customHeight="1" x14ac:dyDescent="0.25">
      <c r="A147" t="s">
        <v>456</v>
      </c>
      <c r="B147">
        <v>255</v>
      </c>
      <c r="C147">
        <v>245</v>
      </c>
      <c r="D147">
        <v>238</v>
      </c>
      <c r="E147">
        <v>15660543</v>
      </c>
      <c r="F147" s="4" t="s">
        <v>230</v>
      </c>
    </row>
    <row r="148" spans="1:6" ht="15" customHeight="1" x14ac:dyDescent="0.25">
      <c r="A148" t="s">
        <v>429</v>
      </c>
      <c r="B148">
        <v>160</v>
      </c>
      <c r="C148">
        <v>82</v>
      </c>
      <c r="D148">
        <v>45</v>
      </c>
      <c r="E148">
        <v>2970272</v>
      </c>
      <c r="F148" s="4" t="s">
        <v>231</v>
      </c>
    </row>
    <row r="149" spans="1:6" ht="15" customHeight="1" x14ac:dyDescent="0.25">
      <c r="A149" t="s">
        <v>430</v>
      </c>
      <c r="B149">
        <v>192</v>
      </c>
      <c r="C149">
        <v>192</v>
      </c>
      <c r="D149">
        <v>192</v>
      </c>
      <c r="E149">
        <v>12632256</v>
      </c>
      <c r="F149" s="4" t="s">
        <v>232</v>
      </c>
    </row>
    <row r="150" spans="1:6" ht="15" customHeight="1" x14ac:dyDescent="0.25">
      <c r="A150" t="s">
        <v>431</v>
      </c>
      <c r="B150">
        <v>135</v>
      </c>
      <c r="C150">
        <v>206</v>
      </c>
      <c r="D150">
        <v>235</v>
      </c>
      <c r="E150">
        <v>15453831</v>
      </c>
      <c r="F150" s="4" t="s">
        <v>233</v>
      </c>
    </row>
    <row r="151" spans="1:6" ht="15" customHeight="1" x14ac:dyDescent="0.25">
      <c r="A151" t="s">
        <v>432</v>
      </c>
      <c r="B151">
        <v>106</v>
      </c>
      <c r="C151">
        <v>90</v>
      </c>
      <c r="D151">
        <v>205</v>
      </c>
      <c r="E151">
        <v>13458026</v>
      </c>
      <c r="F151" s="4" t="s">
        <v>234</v>
      </c>
    </row>
    <row r="152" spans="1:6" ht="15" customHeight="1" x14ac:dyDescent="0.25">
      <c r="A152" t="s">
        <v>433</v>
      </c>
      <c r="B152">
        <v>112</v>
      </c>
      <c r="C152">
        <v>128</v>
      </c>
      <c r="D152">
        <v>144</v>
      </c>
      <c r="E152">
        <v>9470064</v>
      </c>
      <c r="F152" s="4" t="s">
        <v>259</v>
      </c>
    </row>
    <row r="153" spans="1:6" ht="15" customHeight="1" x14ac:dyDescent="0.25">
      <c r="A153" t="s">
        <v>434</v>
      </c>
      <c r="B153">
        <v>112</v>
      </c>
      <c r="C153">
        <v>128</v>
      </c>
      <c r="D153">
        <v>144</v>
      </c>
      <c r="E153">
        <v>9470064</v>
      </c>
      <c r="F153" s="4" t="s">
        <v>259</v>
      </c>
    </row>
    <row r="154" spans="1:6" ht="15" customHeight="1" x14ac:dyDescent="0.25">
      <c r="A154" t="s">
        <v>435</v>
      </c>
      <c r="B154">
        <v>255</v>
      </c>
      <c r="C154">
        <v>250</v>
      </c>
      <c r="D154">
        <v>250</v>
      </c>
      <c r="E154">
        <v>16448255</v>
      </c>
      <c r="F154" s="4" t="s">
        <v>235</v>
      </c>
    </row>
    <row r="155" spans="1:6" ht="15" customHeight="1" x14ac:dyDescent="0.25">
      <c r="A155" t="s">
        <v>436</v>
      </c>
      <c r="B155">
        <v>0</v>
      </c>
      <c r="C155">
        <v>255</v>
      </c>
      <c r="D155">
        <v>127</v>
      </c>
      <c r="E155">
        <v>8388352</v>
      </c>
      <c r="F155" s="4" t="s">
        <v>236</v>
      </c>
    </row>
    <row r="156" spans="1:6" ht="15" customHeight="1" x14ac:dyDescent="0.25">
      <c r="A156" t="s">
        <v>437</v>
      </c>
      <c r="B156">
        <v>70</v>
      </c>
      <c r="C156">
        <v>130</v>
      </c>
      <c r="D156">
        <v>180</v>
      </c>
      <c r="E156">
        <v>11829830</v>
      </c>
      <c r="F156" s="4" t="s">
        <v>237</v>
      </c>
    </row>
    <row r="157" spans="1:6" ht="15" customHeight="1" x14ac:dyDescent="0.25">
      <c r="A157" t="s">
        <v>438</v>
      </c>
      <c r="B157">
        <v>210</v>
      </c>
      <c r="C157">
        <v>180</v>
      </c>
      <c r="D157">
        <v>140</v>
      </c>
      <c r="E157">
        <v>9221330</v>
      </c>
      <c r="F157" s="4" t="s">
        <v>238</v>
      </c>
    </row>
    <row r="158" spans="1:6" ht="15" customHeight="1" x14ac:dyDescent="0.25">
      <c r="A158" t="s">
        <v>439</v>
      </c>
      <c r="B158">
        <v>0</v>
      </c>
      <c r="C158">
        <v>128</v>
      </c>
      <c r="D158">
        <v>128</v>
      </c>
      <c r="E158">
        <v>8421376</v>
      </c>
      <c r="F158" s="4" t="s">
        <v>251</v>
      </c>
    </row>
    <row r="159" spans="1:6" ht="15" customHeight="1" x14ac:dyDescent="0.25">
      <c r="A159" t="s">
        <v>440</v>
      </c>
      <c r="B159">
        <v>216</v>
      </c>
      <c r="C159">
        <v>191</v>
      </c>
      <c r="D159">
        <v>216</v>
      </c>
      <c r="E159">
        <v>14204888</v>
      </c>
      <c r="F159" s="4" t="s">
        <v>239</v>
      </c>
    </row>
    <row r="160" spans="1:6" ht="15" customHeight="1" x14ac:dyDescent="0.25">
      <c r="A160" t="s">
        <v>441</v>
      </c>
      <c r="B160">
        <v>255</v>
      </c>
      <c r="C160">
        <v>99</v>
      </c>
      <c r="D160">
        <v>71</v>
      </c>
      <c r="E160">
        <v>4678655</v>
      </c>
      <c r="F160" s="4" t="s">
        <v>240</v>
      </c>
    </row>
    <row r="161" spans="1:6" ht="15" customHeight="1" x14ac:dyDescent="0.25">
      <c r="A161" t="s">
        <v>442</v>
      </c>
      <c r="B161">
        <v>64</v>
      </c>
      <c r="C161">
        <v>224</v>
      </c>
      <c r="D161">
        <v>208</v>
      </c>
      <c r="E161">
        <v>13688896</v>
      </c>
      <c r="F161" s="4" t="s">
        <v>241</v>
      </c>
    </row>
    <row r="162" spans="1:6" ht="15" customHeight="1" x14ac:dyDescent="0.25">
      <c r="A162" t="s">
        <v>443</v>
      </c>
      <c r="B162">
        <v>238</v>
      </c>
      <c r="C162">
        <v>130</v>
      </c>
      <c r="D162">
        <v>238</v>
      </c>
      <c r="E162">
        <v>15631086</v>
      </c>
      <c r="F162" s="4" t="s">
        <v>242</v>
      </c>
    </row>
    <row r="163" spans="1:6" ht="15" customHeight="1" x14ac:dyDescent="0.25">
      <c r="A163" t="s">
        <v>444</v>
      </c>
      <c r="B163">
        <v>245</v>
      </c>
      <c r="C163">
        <v>222</v>
      </c>
      <c r="D163">
        <v>179</v>
      </c>
      <c r="E163">
        <v>11788021</v>
      </c>
      <c r="F163" s="4" t="s">
        <v>243</v>
      </c>
    </row>
    <row r="164" spans="1:6" ht="15" customHeight="1" x14ac:dyDescent="0.25">
      <c r="A164" t="s">
        <v>445</v>
      </c>
      <c r="B164">
        <v>255</v>
      </c>
      <c r="C164">
        <v>255</v>
      </c>
      <c r="D164">
        <v>255</v>
      </c>
      <c r="E164">
        <v>16777215</v>
      </c>
      <c r="F164" s="4" t="s">
        <v>244</v>
      </c>
    </row>
    <row r="165" spans="1:6" ht="15" customHeight="1" x14ac:dyDescent="0.25">
      <c r="A165" t="s">
        <v>446</v>
      </c>
      <c r="B165">
        <v>245</v>
      </c>
      <c r="C165">
        <v>245</v>
      </c>
      <c r="D165">
        <v>245</v>
      </c>
      <c r="E165">
        <v>16119285</v>
      </c>
      <c r="F165" s="4" t="s">
        <v>245</v>
      </c>
    </row>
    <row r="166" spans="1:6" ht="15" customHeight="1" x14ac:dyDescent="0.25">
      <c r="A166" t="s">
        <v>447</v>
      </c>
      <c r="B166">
        <v>255</v>
      </c>
      <c r="C166">
        <v>255</v>
      </c>
      <c r="D166">
        <v>0</v>
      </c>
      <c r="E166">
        <v>65535</v>
      </c>
      <c r="F166" s="4" t="s">
        <v>246</v>
      </c>
    </row>
    <row r="167" spans="1:6" ht="15" customHeight="1" x14ac:dyDescent="0.25">
      <c r="A167" t="s">
        <v>448</v>
      </c>
      <c r="B167">
        <v>154</v>
      </c>
      <c r="C167">
        <v>205</v>
      </c>
      <c r="D167">
        <v>50</v>
      </c>
      <c r="E167">
        <v>3329434</v>
      </c>
      <c r="F167" s="4" t="s">
        <v>247</v>
      </c>
    </row>
    <row r="168" spans="1:6" ht="15" customHeight="1" x14ac:dyDescent="0.25">
      <c r="A168" s="23" t="s">
        <v>671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673</v>
      </c>
    </row>
    <row r="169" spans="1:6" ht="15" customHeight="1" x14ac:dyDescent="0.25">
      <c r="A169" s="23" t="s">
        <v>674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419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765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768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769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770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771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772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773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774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775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776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777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778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779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793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794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795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796</v>
      </c>
      <c r="B187">
        <v>255</v>
      </c>
      <c r="C187">
        <v>255</v>
      </c>
      <c r="D187">
        <v>0</v>
      </c>
      <c r="E187">
        <f t="shared" si="0"/>
        <v>65535</v>
      </c>
      <c r="F187" t="s">
        <v>805</v>
      </c>
    </row>
    <row r="188" spans="1:6" ht="15" customHeight="1" x14ac:dyDescent="0.25">
      <c r="A188" t="s">
        <v>797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798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799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800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806</v>
      </c>
    </row>
    <row r="192" spans="1:6" ht="15" customHeight="1" x14ac:dyDescent="0.25">
      <c r="A192" t="s">
        <v>801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802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803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804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807</v>
      </c>
    </row>
    <row r="196" spans="1:6" ht="15" customHeight="1" x14ac:dyDescent="0.25">
      <c r="A196" t="s">
        <v>792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808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809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810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811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805</v>
      </c>
    </row>
    <row r="201" spans="1:6" ht="15" customHeight="1" x14ac:dyDescent="0.25">
      <c r="A201" t="s">
        <v>812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813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814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815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816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817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818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819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820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821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66"/>
  <sheetViews>
    <sheetView topLeftCell="A52" workbookViewId="0">
      <selection activeCell="G54" sqref="G54"/>
    </sheetView>
  </sheetViews>
  <sheetFormatPr defaultColWidth="9.109375" defaultRowHeight="15" customHeight="1" x14ac:dyDescent="0.25"/>
  <cols>
    <col min="1" max="1" width="16.777343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149</v>
      </c>
      <c r="G1" s="2" t="s">
        <v>260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485</v>
      </c>
      <c r="I2" s="17"/>
      <c r="J2" s="17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293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297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486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487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488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486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489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487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292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294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602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490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224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491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291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290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297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296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492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493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251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494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459</v>
      </c>
      <c r="B28" s="6">
        <v>0</v>
      </c>
      <c r="C28" s="6">
        <v>0</v>
      </c>
      <c r="D28" s="6">
        <v>0</v>
      </c>
      <c r="E28">
        <f t="shared" ref="E28:E66" si="2">B28+256*C28+256*256*D28</f>
        <v>0</v>
      </c>
    </row>
    <row r="29" spans="1:6" ht="15" customHeight="1" x14ac:dyDescent="0.25">
      <c r="A29" t="s">
        <v>544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539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545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546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547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548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549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461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550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551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552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541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462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553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554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555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556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557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558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559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560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561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562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563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564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565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566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540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567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568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569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570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571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572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573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460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5" ht="15" customHeight="1" x14ac:dyDescent="0.25">
      <c r="A65" t="s">
        <v>458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5" ht="15" customHeight="1" x14ac:dyDescent="0.25">
      <c r="A66" t="s">
        <v>542</v>
      </c>
      <c r="B66" s="6">
        <v>255</v>
      </c>
      <c r="C66" s="6">
        <v>255</v>
      </c>
      <c r="D66" s="6">
        <v>255</v>
      </c>
      <c r="E66">
        <f t="shared" si="2"/>
        <v>16777215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V215"/>
  <sheetViews>
    <sheetView zoomScale="85" zoomScaleNormal="85" workbookViewId="0">
      <selection activeCell="Q135" sqref="Q135"/>
    </sheetView>
  </sheetViews>
  <sheetFormatPr defaultRowHeight="13.2" x14ac:dyDescent="0.25"/>
  <cols>
    <col min="3" max="3" width="13.44140625" bestFit="1" customWidth="1"/>
    <col min="4" max="4" width="28.5546875" style="1" bestFit="1" customWidth="1"/>
    <col min="5" max="5" width="9.5546875" bestFit="1" customWidth="1"/>
    <col min="19" max="19" width="13.109375" bestFit="1" customWidth="1"/>
  </cols>
  <sheetData>
    <row r="1" spans="1:22" x14ac:dyDescent="0.25">
      <c r="A1" t="s">
        <v>528</v>
      </c>
      <c r="B1" t="s">
        <v>529</v>
      </c>
      <c r="C1" t="s">
        <v>530</v>
      </c>
    </row>
    <row r="2" spans="1:22" x14ac:dyDescent="0.25">
      <c r="B2" s="14"/>
      <c r="C2" s="14"/>
      <c r="D2" s="20" t="s">
        <v>504</v>
      </c>
      <c r="E2" s="18" t="s">
        <v>24</v>
      </c>
      <c r="F2" s="18" t="s">
        <v>505</v>
      </c>
      <c r="G2" s="18" t="s">
        <v>38</v>
      </c>
      <c r="H2" s="18" t="s">
        <v>506</v>
      </c>
      <c r="I2" s="18" t="s">
        <v>507</v>
      </c>
      <c r="J2" s="14"/>
      <c r="K2" s="14"/>
      <c r="L2" s="14"/>
      <c r="M2" s="14"/>
      <c r="N2" s="14"/>
      <c r="O2" s="14"/>
      <c r="P2" s="19"/>
      <c r="Q2" s="14"/>
      <c r="R2" s="14"/>
      <c r="S2" s="14"/>
    </row>
    <row r="3" spans="1:22" x14ac:dyDescent="0.25">
      <c r="B3" s="14" t="s">
        <v>508</v>
      </c>
      <c r="C3" s="14" t="s">
        <v>509</v>
      </c>
      <c r="D3" s="14" t="s">
        <v>510</v>
      </c>
      <c r="E3" s="14" t="s">
        <v>511</v>
      </c>
      <c r="F3" s="19"/>
      <c r="G3" s="14">
        <v>1</v>
      </c>
      <c r="H3" s="14">
        <v>1</v>
      </c>
      <c r="I3" s="14">
        <v>4</v>
      </c>
      <c r="J3" s="14"/>
      <c r="K3" s="14"/>
      <c r="L3" s="14"/>
      <c r="M3" s="14"/>
      <c r="N3" s="14"/>
      <c r="O3" s="14"/>
      <c r="P3" s="19"/>
      <c r="Q3" s="14"/>
      <c r="R3" s="14"/>
      <c r="S3" s="14"/>
    </row>
    <row r="4" spans="1:22" x14ac:dyDescent="0.25">
      <c r="B4" s="14"/>
      <c r="C4" s="14"/>
      <c r="D4" s="20" t="s">
        <v>504</v>
      </c>
      <c r="E4" s="18" t="s">
        <v>24</v>
      </c>
      <c r="F4" s="18" t="s">
        <v>38</v>
      </c>
      <c r="G4" s="18" t="s">
        <v>507</v>
      </c>
      <c r="H4" s="14"/>
      <c r="I4" s="14"/>
      <c r="J4" s="14"/>
      <c r="K4" s="14"/>
      <c r="L4" s="14"/>
      <c r="M4" s="14"/>
      <c r="N4" s="14"/>
      <c r="O4" s="14"/>
      <c r="P4" s="19"/>
      <c r="Q4" s="14"/>
      <c r="R4" s="14"/>
      <c r="S4" s="14"/>
    </row>
    <row r="5" spans="1:22" x14ac:dyDescent="0.25">
      <c r="B5" s="14" t="s">
        <v>512</v>
      </c>
      <c r="C5" s="14" t="s">
        <v>575</v>
      </c>
      <c r="D5" s="14" t="s">
        <v>510</v>
      </c>
      <c r="E5" s="14" t="s">
        <v>513</v>
      </c>
      <c r="F5" s="14">
        <v>0</v>
      </c>
      <c r="G5" s="14" t="s">
        <v>532</v>
      </c>
      <c r="H5" s="14" t="s">
        <v>526</v>
      </c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22" x14ac:dyDescent="0.25">
      <c r="B6" s="14"/>
      <c r="C6" s="14"/>
      <c r="D6" s="20" t="s">
        <v>24</v>
      </c>
      <c r="E6" s="20" t="s">
        <v>514</v>
      </c>
      <c r="F6" s="20" t="s">
        <v>515</v>
      </c>
      <c r="G6" s="20" t="s">
        <v>457</v>
      </c>
      <c r="H6" s="20" t="s">
        <v>516</v>
      </c>
      <c r="I6" s="20" t="s">
        <v>517</v>
      </c>
      <c r="J6" s="20" t="s">
        <v>38</v>
      </c>
      <c r="K6" s="20" t="s">
        <v>506</v>
      </c>
      <c r="L6" s="20" t="s">
        <v>507</v>
      </c>
      <c r="M6" s="20" t="s">
        <v>518</v>
      </c>
      <c r="N6" s="20" t="s">
        <v>38</v>
      </c>
      <c r="O6" s="20" t="s">
        <v>506</v>
      </c>
      <c r="P6" s="20" t="s">
        <v>507</v>
      </c>
      <c r="Q6" s="14"/>
      <c r="R6" s="14"/>
      <c r="S6" s="14"/>
    </row>
    <row r="7" spans="1:22" x14ac:dyDescent="0.25">
      <c r="A7" s="23"/>
      <c r="B7" s="23" t="s">
        <v>508</v>
      </c>
      <c r="C7" t="s">
        <v>629</v>
      </c>
      <c r="F7" s="1" t="s">
        <v>612</v>
      </c>
      <c r="G7" s="27" t="s">
        <v>577</v>
      </c>
      <c r="H7" s="26">
        <v>2</v>
      </c>
      <c r="I7" s="26">
        <v>2</v>
      </c>
      <c r="J7" s="26">
        <v>4</v>
      </c>
      <c r="K7" s="26"/>
      <c r="L7" s="14"/>
      <c r="M7" s="14"/>
      <c r="N7" s="14"/>
      <c r="O7" s="14"/>
      <c r="P7" s="14"/>
      <c r="Q7" s="14"/>
      <c r="R7" s="14"/>
      <c r="S7" s="14"/>
      <c r="T7" s="14"/>
    </row>
    <row r="8" spans="1:22" x14ac:dyDescent="0.25">
      <c r="A8" s="23"/>
      <c r="B8" s="23" t="s">
        <v>512</v>
      </c>
      <c r="C8" t="s">
        <v>630</v>
      </c>
      <c r="D8" s="28" t="s">
        <v>645</v>
      </c>
      <c r="E8" s="28" t="str">
        <f>S8&amp;"["&amp;T8&amp;"]"</f>
        <v>Alten[white/green]</v>
      </c>
      <c r="F8" s="27" t="s">
        <v>632</v>
      </c>
      <c r="G8" s="26">
        <v>4</v>
      </c>
      <c r="H8" s="26">
        <v>2</v>
      </c>
      <c r="I8" s="26"/>
      <c r="J8" s="26"/>
      <c r="K8" s="26"/>
      <c r="L8" s="26"/>
      <c r="S8" s="28" t="s">
        <v>655</v>
      </c>
      <c r="T8" s="23" t="s">
        <v>723</v>
      </c>
    </row>
    <row r="9" spans="1:22" x14ac:dyDescent="0.25">
      <c r="A9" s="23"/>
      <c r="B9" s="23" t="s">
        <v>521</v>
      </c>
      <c r="C9" t="s">
        <v>641</v>
      </c>
      <c r="D9" s="1" t="str">
        <f>S9&amp;"["&amp;T9&amp;"]"</f>
        <v>Barnard[white/green]</v>
      </c>
      <c r="F9" s="26"/>
      <c r="G9" s="14" t="s">
        <v>522</v>
      </c>
      <c r="I9" s="26"/>
      <c r="J9" s="26">
        <v>4</v>
      </c>
      <c r="K9" s="26">
        <v>5</v>
      </c>
      <c r="L9" s="26">
        <v>4</v>
      </c>
      <c r="M9" s="26">
        <v>5</v>
      </c>
      <c r="N9" s="26">
        <f t="shared" ref="N9:N57" si="0">J9-1</f>
        <v>3</v>
      </c>
      <c r="O9" s="26">
        <f t="shared" ref="O9:O57" si="1">K9-1</f>
        <v>4</v>
      </c>
      <c r="P9" s="26">
        <f t="shared" ref="P9:P57" si="2">L9-1</f>
        <v>3</v>
      </c>
      <c r="S9" s="1" t="s">
        <v>676</v>
      </c>
      <c r="T9" t="str">
        <f>T8</f>
        <v>white/green</v>
      </c>
    </row>
    <row r="10" spans="1:22" x14ac:dyDescent="0.25">
      <c r="A10" s="23"/>
      <c r="B10" s="23" t="s">
        <v>521</v>
      </c>
      <c r="C10" t="s">
        <v>641</v>
      </c>
      <c r="D10" s="1" t="str">
        <f>S10&amp;"["&amp;T10&amp;"]"</f>
        <v>Vandeleur[white/green]</v>
      </c>
      <c r="F10" s="26"/>
      <c r="G10" s="14" t="s">
        <v>522</v>
      </c>
      <c r="I10" s="26"/>
      <c r="J10" s="26">
        <v>5</v>
      </c>
      <c r="K10" s="26">
        <v>5</v>
      </c>
      <c r="L10" s="26">
        <v>4</v>
      </c>
      <c r="M10" s="26">
        <v>5</v>
      </c>
      <c r="N10" s="26">
        <f t="shared" si="0"/>
        <v>4</v>
      </c>
      <c r="O10" s="26">
        <f t="shared" si="1"/>
        <v>4</v>
      </c>
      <c r="P10" s="26">
        <f t="shared" si="2"/>
        <v>3</v>
      </c>
      <c r="S10" s="1" t="s">
        <v>677</v>
      </c>
      <c r="T10" t="str">
        <f>T9</f>
        <v>white/green</v>
      </c>
    </row>
    <row r="11" spans="1:22" x14ac:dyDescent="0.25">
      <c r="A11" s="23"/>
      <c r="B11" s="23" t="s">
        <v>610</v>
      </c>
      <c r="C11" t="s">
        <v>638</v>
      </c>
      <c r="D11" s="1" t="str">
        <f>S11&amp;"["&amp;T11&amp;"]"</f>
        <v>Ross[white/green]</v>
      </c>
      <c r="F11" s="26"/>
      <c r="G11" s="14" t="s">
        <v>595</v>
      </c>
      <c r="H11" s="19" t="s">
        <v>611</v>
      </c>
      <c r="I11" s="26"/>
      <c r="J11" s="29" t="s">
        <v>636</v>
      </c>
      <c r="K11" s="26">
        <v>4</v>
      </c>
      <c r="L11" s="26">
        <v>7</v>
      </c>
      <c r="M11" s="30" t="s">
        <v>669</v>
      </c>
      <c r="N11" s="26">
        <v>0</v>
      </c>
      <c r="O11" s="26">
        <f t="shared" si="1"/>
        <v>3</v>
      </c>
      <c r="P11" s="26">
        <f t="shared" si="2"/>
        <v>6</v>
      </c>
      <c r="S11" s="28" t="s">
        <v>678</v>
      </c>
      <c r="T11" t="str">
        <f>T10</f>
        <v>white/green</v>
      </c>
      <c r="V11" s="23" t="s">
        <v>850</v>
      </c>
    </row>
    <row r="12" spans="1:22" x14ac:dyDescent="0.25">
      <c r="A12" s="23"/>
      <c r="B12" s="23" t="s">
        <v>512</v>
      </c>
      <c r="C12" t="s">
        <v>630</v>
      </c>
      <c r="D12" s="19" t="s">
        <v>527</v>
      </c>
      <c r="E12" s="28" t="str">
        <f>S12&amp;"["&amp;T12&amp;"]"</f>
        <v>Campbell[black/red]</v>
      </c>
      <c r="F12" s="27" t="s">
        <v>632</v>
      </c>
      <c r="G12" s="26">
        <v>4</v>
      </c>
      <c r="H12" s="26">
        <v>2</v>
      </c>
      <c r="I12" s="26"/>
      <c r="J12" s="26"/>
      <c r="K12" s="26"/>
      <c r="N12" s="26"/>
      <c r="O12" s="26"/>
      <c r="P12" s="26"/>
      <c r="S12" s="28" t="s">
        <v>649</v>
      </c>
      <c r="T12" s="23" t="s">
        <v>657</v>
      </c>
    </row>
    <row r="13" spans="1:22" x14ac:dyDescent="0.25">
      <c r="A13" s="23"/>
      <c r="B13" s="23" t="s">
        <v>521</v>
      </c>
      <c r="C13" t="s">
        <v>638</v>
      </c>
      <c r="D13" s="1" t="str">
        <f>S13&amp;"["&amp;T13&amp;"]"</f>
        <v>Fermor[black/red]</v>
      </c>
      <c r="F13" s="26"/>
      <c r="G13" s="14" t="s">
        <v>522</v>
      </c>
      <c r="H13" s="26"/>
      <c r="I13" s="26"/>
      <c r="J13" s="26">
        <v>5</v>
      </c>
      <c r="K13" s="26">
        <v>6</v>
      </c>
      <c r="L13" s="26">
        <v>4</v>
      </c>
      <c r="M13" s="26">
        <v>5</v>
      </c>
      <c r="N13" s="26">
        <f t="shared" si="0"/>
        <v>4</v>
      </c>
      <c r="O13" s="26">
        <f t="shared" si="1"/>
        <v>5</v>
      </c>
      <c r="P13" s="26">
        <f t="shared" si="2"/>
        <v>3</v>
      </c>
      <c r="S13" s="1" t="s">
        <v>679</v>
      </c>
      <c r="T13" t="str">
        <f>T12</f>
        <v>black/red</v>
      </c>
    </row>
    <row r="14" spans="1:22" x14ac:dyDescent="0.25">
      <c r="A14" s="23"/>
      <c r="B14" s="23" t="s">
        <v>521</v>
      </c>
      <c r="C14" t="s">
        <v>639</v>
      </c>
      <c r="D14" s="1" t="str">
        <f>S14&amp;"["&amp;T14&amp;"]"</f>
        <v>Wheatley[black/red]</v>
      </c>
      <c r="F14" s="26"/>
      <c r="G14" s="14" t="s">
        <v>522</v>
      </c>
      <c r="H14" s="26"/>
      <c r="I14" s="26"/>
      <c r="J14" s="26">
        <v>6</v>
      </c>
      <c r="K14" s="26">
        <v>5</v>
      </c>
      <c r="L14" s="26">
        <v>4</v>
      </c>
      <c r="M14" s="26">
        <v>4</v>
      </c>
      <c r="N14" s="26">
        <f t="shared" si="0"/>
        <v>5</v>
      </c>
      <c r="O14" s="26">
        <f t="shared" si="1"/>
        <v>4</v>
      </c>
      <c r="P14" s="26">
        <f t="shared" si="2"/>
        <v>3</v>
      </c>
      <c r="S14" s="1" t="s">
        <v>680</v>
      </c>
      <c r="T14" t="str">
        <f t="shared" ref="T14:T57" si="3">T13</f>
        <v>black/red</v>
      </c>
    </row>
    <row r="15" spans="1:22" x14ac:dyDescent="0.25">
      <c r="A15" s="23"/>
      <c r="B15" s="23" t="s">
        <v>521</v>
      </c>
      <c r="C15" t="s">
        <v>638</v>
      </c>
      <c r="D15" s="1" t="str">
        <f>S15&amp;"["&amp;T15&amp;"]"</f>
        <v>Lowe[black/red]</v>
      </c>
      <c r="F15" s="26"/>
      <c r="G15" s="14" t="s">
        <v>522</v>
      </c>
      <c r="H15" s="26"/>
      <c r="I15" s="26"/>
      <c r="J15" s="26">
        <v>5</v>
      </c>
      <c r="K15" s="26">
        <v>4</v>
      </c>
      <c r="L15" s="26">
        <v>6</v>
      </c>
      <c r="M15" s="26">
        <v>4</v>
      </c>
      <c r="N15" s="26">
        <f t="shared" si="0"/>
        <v>4</v>
      </c>
      <c r="O15" s="26">
        <f t="shared" si="1"/>
        <v>3</v>
      </c>
      <c r="P15" s="26">
        <f t="shared" si="2"/>
        <v>5</v>
      </c>
      <c r="S15" s="1" t="s">
        <v>681</v>
      </c>
      <c r="T15" t="str">
        <f t="shared" si="3"/>
        <v>black/red</v>
      </c>
    </row>
    <row r="16" spans="1:22" x14ac:dyDescent="0.25">
      <c r="A16" s="23"/>
      <c r="B16" s="23" t="s">
        <v>592</v>
      </c>
      <c r="C16" t="s">
        <v>638</v>
      </c>
      <c r="D16" s="1" t="str">
        <f>S16&amp;"["&amp;T16&amp;"]"</f>
        <v>Gardiner[black/red]</v>
      </c>
      <c r="F16" s="26"/>
      <c r="G16" s="14" t="s">
        <v>595</v>
      </c>
      <c r="I16" s="26"/>
      <c r="J16" s="29" t="s">
        <v>635</v>
      </c>
      <c r="K16" s="26">
        <v>4</v>
      </c>
      <c r="L16" s="26">
        <v>6</v>
      </c>
      <c r="M16" s="21" t="s">
        <v>524</v>
      </c>
      <c r="N16" s="26">
        <v>0</v>
      </c>
      <c r="O16" s="26">
        <f t="shared" si="1"/>
        <v>3</v>
      </c>
      <c r="P16" s="26">
        <f t="shared" si="2"/>
        <v>5</v>
      </c>
      <c r="S16" s="28" t="s">
        <v>682</v>
      </c>
      <c r="T16" t="str">
        <f t="shared" si="3"/>
        <v>black/red</v>
      </c>
    </row>
    <row r="17" spans="1:22" x14ac:dyDescent="0.25">
      <c r="A17" s="23"/>
      <c r="B17" s="23" t="s">
        <v>512</v>
      </c>
      <c r="C17" t="s">
        <v>630</v>
      </c>
      <c r="D17" s="19" t="s">
        <v>525</v>
      </c>
      <c r="E17" s="28" t="str">
        <f>S17&amp;"["&amp;T17&amp;"]"</f>
        <v>Pakenham[black/lightseagreen]</v>
      </c>
      <c r="F17" s="27" t="s">
        <v>632</v>
      </c>
      <c r="G17" s="26">
        <v>4</v>
      </c>
      <c r="H17" s="26">
        <v>2</v>
      </c>
      <c r="I17" s="26"/>
      <c r="J17" s="26"/>
      <c r="K17" s="26"/>
      <c r="L17" s="26"/>
      <c r="N17" s="26"/>
      <c r="O17" s="26"/>
      <c r="P17" s="26"/>
      <c r="S17" s="28" t="s">
        <v>650</v>
      </c>
      <c r="T17" s="23" t="s">
        <v>707</v>
      </c>
    </row>
    <row r="18" spans="1:22" x14ac:dyDescent="0.25">
      <c r="A18" s="23"/>
      <c r="B18" s="23" t="s">
        <v>521</v>
      </c>
      <c r="C18" t="s">
        <v>638</v>
      </c>
      <c r="D18" s="1" t="str">
        <f>S18&amp;"["&amp;T18&amp;"]"</f>
        <v>Wallace[black/lightseagreen]</v>
      </c>
      <c r="F18" s="26"/>
      <c r="G18" s="14" t="s">
        <v>522</v>
      </c>
      <c r="I18" s="26"/>
      <c r="J18" s="26">
        <v>5</v>
      </c>
      <c r="K18" s="26">
        <v>4</v>
      </c>
      <c r="L18" s="26">
        <v>4</v>
      </c>
      <c r="M18" s="26">
        <v>4</v>
      </c>
      <c r="N18" s="26">
        <f t="shared" si="0"/>
        <v>4</v>
      </c>
      <c r="O18" s="26">
        <f t="shared" si="1"/>
        <v>3</v>
      </c>
      <c r="P18" s="26">
        <f t="shared" si="2"/>
        <v>3</v>
      </c>
      <c r="S18" s="1" t="s">
        <v>683</v>
      </c>
      <c r="T18" t="str">
        <f t="shared" si="3"/>
        <v>black/lightseagreen</v>
      </c>
    </row>
    <row r="19" spans="1:22" x14ac:dyDescent="0.25">
      <c r="A19" s="23"/>
      <c r="B19" s="23" t="s">
        <v>521</v>
      </c>
      <c r="C19" t="s">
        <v>638</v>
      </c>
      <c r="D19" s="1" t="str">
        <f>S19&amp;"["&amp;T19&amp;"]"</f>
        <v>Campbell[black/lightseagreen]</v>
      </c>
      <c r="F19" s="26"/>
      <c r="G19" s="14" t="s">
        <v>522</v>
      </c>
      <c r="I19" s="26"/>
      <c r="J19" s="26">
        <v>5</v>
      </c>
      <c r="K19" s="26">
        <v>4</v>
      </c>
      <c r="L19" s="26">
        <v>4</v>
      </c>
      <c r="M19" s="26">
        <v>4</v>
      </c>
      <c r="N19" s="26">
        <f t="shared" si="0"/>
        <v>4</v>
      </c>
      <c r="O19" s="26">
        <f t="shared" si="1"/>
        <v>3</v>
      </c>
      <c r="P19" s="26">
        <f t="shared" si="2"/>
        <v>3</v>
      </c>
      <c r="S19" s="1" t="s">
        <v>649</v>
      </c>
      <c r="T19" t="str">
        <f t="shared" si="3"/>
        <v>black/lightseagreen</v>
      </c>
    </row>
    <row r="20" spans="1:22" x14ac:dyDescent="0.25">
      <c r="A20" s="23"/>
      <c r="B20" s="23" t="s">
        <v>521</v>
      </c>
      <c r="C20" t="s">
        <v>640</v>
      </c>
      <c r="D20" s="1" t="str">
        <f>S20&amp;"["&amp;T20&amp;"]"</f>
        <v>Power[black/lightseagreen]</v>
      </c>
      <c r="F20" s="26"/>
      <c r="G20" s="14" t="s">
        <v>522</v>
      </c>
      <c r="I20" s="26"/>
      <c r="J20" s="26">
        <v>5</v>
      </c>
      <c r="K20" s="26">
        <v>3</v>
      </c>
      <c r="L20" s="26">
        <v>4</v>
      </c>
      <c r="M20" s="26">
        <v>4</v>
      </c>
      <c r="N20" s="26">
        <f t="shared" si="0"/>
        <v>4</v>
      </c>
      <c r="O20" s="26">
        <f t="shared" si="1"/>
        <v>2</v>
      </c>
      <c r="P20" s="26">
        <f t="shared" si="2"/>
        <v>3</v>
      </c>
      <c r="S20" s="1" t="s">
        <v>684</v>
      </c>
      <c r="T20" t="str">
        <f t="shared" si="3"/>
        <v>black/lightseagreen</v>
      </c>
    </row>
    <row r="21" spans="1:22" x14ac:dyDescent="0.25">
      <c r="A21" s="23"/>
      <c r="B21" s="23" t="s">
        <v>592</v>
      </c>
      <c r="C21" t="s">
        <v>638</v>
      </c>
      <c r="D21" s="1" t="str">
        <f>S21&amp;"["&amp;T21&amp;"]"</f>
        <v>Douglas[black/lightseagreen]</v>
      </c>
      <c r="F21" s="26"/>
      <c r="G21" s="14" t="s">
        <v>595</v>
      </c>
      <c r="I21" s="26"/>
      <c r="J21" s="29" t="s">
        <v>635</v>
      </c>
      <c r="K21" s="26">
        <v>4</v>
      </c>
      <c r="L21" s="26">
        <v>6</v>
      </c>
      <c r="M21" s="21" t="s">
        <v>524</v>
      </c>
      <c r="N21" s="26">
        <v>0</v>
      </c>
      <c r="O21" s="26">
        <f t="shared" si="1"/>
        <v>3</v>
      </c>
      <c r="P21" s="26">
        <f t="shared" si="2"/>
        <v>5</v>
      </c>
      <c r="S21" s="28" t="s">
        <v>685</v>
      </c>
      <c r="T21" t="str">
        <f t="shared" si="3"/>
        <v>black/lightseagreen</v>
      </c>
    </row>
    <row r="22" spans="1:22" x14ac:dyDescent="0.25">
      <c r="A22" s="23"/>
      <c r="B22" s="23" t="s">
        <v>512</v>
      </c>
      <c r="C22" t="s">
        <v>630</v>
      </c>
      <c r="D22" s="28">
        <v>4</v>
      </c>
      <c r="E22" s="28" t="str">
        <f>S22&amp;"["&amp;T22&amp;"]"</f>
        <v>Cole[black/pale_blue]</v>
      </c>
      <c r="F22" s="27" t="s">
        <v>632</v>
      </c>
      <c r="G22" s="26">
        <v>3</v>
      </c>
      <c r="H22" s="26">
        <v>2</v>
      </c>
      <c r="I22" s="26"/>
      <c r="J22" s="26"/>
      <c r="K22" s="26"/>
      <c r="L22" s="26"/>
      <c r="N22" s="26"/>
      <c r="O22" s="26"/>
      <c r="P22" s="26"/>
      <c r="S22" s="28" t="s">
        <v>651</v>
      </c>
      <c r="T22" s="23" t="s">
        <v>662</v>
      </c>
    </row>
    <row r="23" spans="1:22" x14ac:dyDescent="0.25">
      <c r="A23" s="23"/>
      <c r="B23" s="23" t="s">
        <v>521</v>
      </c>
      <c r="C23" t="s">
        <v>638</v>
      </c>
      <c r="D23" s="1" t="str">
        <f>S23&amp;"["&amp;T23&amp;"]"</f>
        <v>Anson[black/pale_blue]</v>
      </c>
      <c r="F23" s="26"/>
      <c r="G23" s="14" t="s">
        <v>522</v>
      </c>
      <c r="I23" s="26"/>
      <c r="J23" s="26">
        <v>3</v>
      </c>
      <c r="K23" s="26">
        <v>4</v>
      </c>
      <c r="L23" s="26">
        <v>4</v>
      </c>
      <c r="M23" s="26">
        <v>4</v>
      </c>
      <c r="N23" s="26">
        <f t="shared" si="0"/>
        <v>2</v>
      </c>
      <c r="O23" s="26">
        <f t="shared" si="1"/>
        <v>3</v>
      </c>
      <c r="P23" s="26">
        <f t="shared" si="2"/>
        <v>3</v>
      </c>
      <c r="S23" s="1" t="s">
        <v>686</v>
      </c>
      <c r="T23" t="str">
        <f t="shared" si="3"/>
        <v>black/pale_blue</v>
      </c>
    </row>
    <row r="24" spans="1:22" x14ac:dyDescent="0.25">
      <c r="A24" s="23"/>
      <c r="B24" s="23" t="s">
        <v>521</v>
      </c>
      <c r="C24" t="s">
        <v>638</v>
      </c>
      <c r="D24" s="1" t="str">
        <f>S24&amp;"["&amp;T24&amp;"]"</f>
        <v>Ellis[black/pale_blue]</v>
      </c>
      <c r="F24" s="26"/>
      <c r="G24" s="14" t="s">
        <v>522</v>
      </c>
      <c r="I24" s="26"/>
      <c r="J24" s="26">
        <v>4</v>
      </c>
      <c r="K24" s="26">
        <v>4</v>
      </c>
      <c r="L24" s="26">
        <v>4</v>
      </c>
      <c r="M24" s="26">
        <v>4</v>
      </c>
      <c r="N24" s="26">
        <f t="shared" si="0"/>
        <v>3</v>
      </c>
      <c r="O24" s="26">
        <f t="shared" si="1"/>
        <v>3</v>
      </c>
      <c r="P24" s="26">
        <f t="shared" si="2"/>
        <v>3</v>
      </c>
      <c r="S24" s="1" t="s">
        <v>687</v>
      </c>
      <c r="T24" t="str">
        <f t="shared" si="3"/>
        <v>black/pale_blue</v>
      </c>
    </row>
    <row r="25" spans="1:22" x14ac:dyDescent="0.25">
      <c r="A25" s="23"/>
      <c r="B25" s="23" t="s">
        <v>521</v>
      </c>
      <c r="C25" t="s">
        <v>640</v>
      </c>
      <c r="D25" s="1" t="str">
        <f>S25&amp;"["&amp;T25&amp;"]"</f>
        <v>Stubbs[black/pale_blue]</v>
      </c>
      <c r="F25" s="26"/>
      <c r="G25" s="14" t="s">
        <v>522</v>
      </c>
      <c r="I25" s="26"/>
      <c r="J25" s="26">
        <v>6</v>
      </c>
      <c r="K25" s="26">
        <v>3</v>
      </c>
      <c r="L25" s="26">
        <v>4</v>
      </c>
      <c r="M25" s="26">
        <v>4</v>
      </c>
      <c r="N25" s="26">
        <f t="shared" si="0"/>
        <v>5</v>
      </c>
      <c r="O25" s="26">
        <f t="shared" si="1"/>
        <v>2</v>
      </c>
      <c r="P25" s="26">
        <f t="shared" si="2"/>
        <v>3</v>
      </c>
      <c r="S25" s="1" t="s">
        <v>688</v>
      </c>
      <c r="T25" t="str">
        <f t="shared" si="3"/>
        <v>black/pale_blue</v>
      </c>
    </row>
    <row r="26" spans="1:22" x14ac:dyDescent="0.25">
      <c r="A26" s="23"/>
      <c r="B26" s="23" t="s">
        <v>592</v>
      </c>
      <c r="C26" t="s">
        <v>639</v>
      </c>
      <c r="D26" s="1" t="str">
        <f>S26&amp;"["&amp;T26&amp;"]"</f>
        <v>Sympher[black/pale_blue]</v>
      </c>
      <c r="F26" s="26"/>
      <c r="G26" s="14" t="s">
        <v>595</v>
      </c>
      <c r="I26" s="26"/>
      <c r="J26" s="29" t="s">
        <v>636</v>
      </c>
      <c r="K26" s="26">
        <v>4</v>
      </c>
      <c r="L26" s="26">
        <v>6</v>
      </c>
      <c r="M26" s="30" t="s">
        <v>669</v>
      </c>
      <c r="N26" s="26">
        <v>0</v>
      </c>
      <c r="O26" s="26">
        <f t="shared" si="1"/>
        <v>3</v>
      </c>
      <c r="P26" s="26">
        <f t="shared" si="2"/>
        <v>5</v>
      </c>
      <c r="S26" s="28" t="s">
        <v>689</v>
      </c>
      <c r="T26" t="str">
        <f t="shared" si="3"/>
        <v>black/pale_blue</v>
      </c>
    </row>
    <row r="27" spans="1:22" x14ac:dyDescent="0.25">
      <c r="A27" s="23"/>
      <c r="B27" s="23" t="s">
        <v>512</v>
      </c>
      <c r="C27" t="s">
        <v>630</v>
      </c>
      <c r="D27" s="28">
        <v>5</v>
      </c>
      <c r="E27" s="28" t="str">
        <f>S27&amp;"["&amp;T27&amp;"]"</f>
        <v>Leith[black/yellow]</v>
      </c>
      <c r="F27" s="27" t="s">
        <v>632</v>
      </c>
      <c r="G27" s="26">
        <v>3</v>
      </c>
      <c r="H27" s="26">
        <v>2</v>
      </c>
      <c r="I27" s="26"/>
      <c r="J27" s="26"/>
      <c r="K27" s="26"/>
      <c r="L27" s="26"/>
      <c r="N27" s="26"/>
      <c r="O27" s="26"/>
      <c r="P27" s="26"/>
      <c r="S27" s="28" t="s">
        <v>652</v>
      </c>
      <c r="T27" s="23" t="s">
        <v>658</v>
      </c>
    </row>
    <row r="28" spans="1:22" x14ac:dyDescent="0.25">
      <c r="A28" s="23"/>
      <c r="B28" s="23" t="s">
        <v>521</v>
      </c>
      <c r="C28" t="s">
        <v>638</v>
      </c>
      <c r="D28" s="1" t="str">
        <f>S28&amp;"["&amp;T28&amp;"]"</f>
        <v>Greville[black/yellow]</v>
      </c>
      <c r="F28" s="26"/>
      <c r="G28" s="14" t="s">
        <v>522</v>
      </c>
      <c r="I28" s="26"/>
      <c r="J28" s="26">
        <v>7</v>
      </c>
      <c r="K28" s="26">
        <v>4</v>
      </c>
      <c r="L28" s="26">
        <v>4</v>
      </c>
      <c r="M28" s="26">
        <v>4</v>
      </c>
      <c r="N28" s="26">
        <f t="shared" si="0"/>
        <v>6</v>
      </c>
      <c r="O28" s="26">
        <f t="shared" si="1"/>
        <v>3</v>
      </c>
      <c r="P28" s="26">
        <f t="shared" si="2"/>
        <v>3</v>
      </c>
      <c r="S28" s="1" t="s">
        <v>690</v>
      </c>
      <c r="T28" t="str">
        <f t="shared" si="3"/>
        <v>black/yellow</v>
      </c>
    </row>
    <row r="29" spans="1:22" x14ac:dyDescent="0.25">
      <c r="A29" s="23"/>
      <c r="B29" s="23" t="s">
        <v>521</v>
      </c>
      <c r="C29" t="s">
        <v>638</v>
      </c>
      <c r="D29" s="1" t="str">
        <f>S29&amp;"["&amp;T29&amp;"]"</f>
        <v>Pringle[black/yellow]</v>
      </c>
      <c r="F29" s="26"/>
      <c r="G29" s="14" t="s">
        <v>522</v>
      </c>
      <c r="I29" s="26"/>
      <c r="J29" s="26">
        <v>4</v>
      </c>
      <c r="K29" s="26">
        <v>4</v>
      </c>
      <c r="L29" s="26">
        <v>4</v>
      </c>
      <c r="M29" s="26">
        <v>4</v>
      </c>
      <c r="N29" s="26">
        <f t="shared" si="0"/>
        <v>3</v>
      </c>
      <c r="O29" s="26">
        <f t="shared" si="1"/>
        <v>3</v>
      </c>
      <c r="P29" s="26">
        <f t="shared" si="2"/>
        <v>3</v>
      </c>
      <c r="S29" s="1" t="s">
        <v>691</v>
      </c>
      <c r="T29" t="str">
        <f t="shared" si="3"/>
        <v>black/yellow</v>
      </c>
    </row>
    <row r="30" spans="1:22" x14ac:dyDescent="0.25">
      <c r="A30" s="23"/>
      <c r="B30" s="23" t="s">
        <v>521</v>
      </c>
      <c r="C30" t="s">
        <v>640</v>
      </c>
      <c r="D30" s="1" t="str">
        <f>S30&amp;"["&amp;T30&amp;"]"</f>
        <v>Spry[black/yellow]</v>
      </c>
      <c r="F30" s="26"/>
      <c r="G30" s="14" t="s">
        <v>522</v>
      </c>
      <c r="I30" s="26"/>
      <c r="J30" s="26">
        <v>6</v>
      </c>
      <c r="K30" s="26">
        <v>3</v>
      </c>
      <c r="L30" s="26">
        <v>4</v>
      </c>
      <c r="M30" s="26">
        <v>4</v>
      </c>
      <c r="N30" s="26">
        <f t="shared" si="0"/>
        <v>5</v>
      </c>
      <c r="O30" s="26">
        <f t="shared" si="1"/>
        <v>2</v>
      </c>
      <c r="P30" s="26">
        <f t="shared" si="2"/>
        <v>3</v>
      </c>
      <c r="S30" s="1" t="s">
        <v>692</v>
      </c>
      <c r="T30" t="str">
        <f t="shared" si="3"/>
        <v>black/yellow</v>
      </c>
    </row>
    <row r="31" spans="1:22" x14ac:dyDescent="0.25">
      <c r="A31" s="23"/>
      <c r="B31" s="23" t="s">
        <v>592</v>
      </c>
      <c r="C31" t="s">
        <v>638</v>
      </c>
      <c r="D31" s="1" t="str">
        <f>S31&amp;"["&amp;T31&amp;"]"</f>
        <v>Lawson[black/yellow]</v>
      </c>
      <c r="F31" s="26"/>
      <c r="G31" s="14" t="s">
        <v>595</v>
      </c>
      <c r="I31" s="26"/>
      <c r="J31" s="29" t="s">
        <v>635</v>
      </c>
      <c r="K31" s="26">
        <v>4</v>
      </c>
      <c r="L31" s="26">
        <v>6</v>
      </c>
      <c r="M31" s="21" t="s">
        <v>524</v>
      </c>
      <c r="N31" s="26">
        <v>0</v>
      </c>
      <c r="O31" s="26">
        <f t="shared" si="1"/>
        <v>3</v>
      </c>
      <c r="P31" s="26">
        <f t="shared" si="2"/>
        <v>5</v>
      </c>
      <c r="S31" s="28" t="s">
        <v>693</v>
      </c>
      <c r="T31" t="str">
        <f t="shared" si="3"/>
        <v>black/yellow</v>
      </c>
      <c r="V31" s="23" t="s">
        <v>851</v>
      </c>
    </row>
    <row r="32" spans="1:22" x14ac:dyDescent="0.25">
      <c r="A32" s="23"/>
      <c r="B32" s="23" t="s">
        <v>512</v>
      </c>
      <c r="C32" t="s">
        <v>630</v>
      </c>
      <c r="D32" s="28">
        <v>6</v>
      </c>
      <c r="E32" s="28" t="str">
        <f>S32&amp;"["&amp;T32&amp;"]"</f>
        <v>Clinton[white/brown]</v>
      </c>
      <c r="F32" s="27" t="s">
        <v>632</v>
      </c>
      <c r="G32" s="26">
        <v>3</v>
      </c>
      <c r="H32" s="26">
        <v>2</v>
      </c>
      <c r="I32" s="26"/>
      <c r="J32" s="26"/>
      <c r="K32" s="26"/>
      <c r="L32" s="26"/>
      <c r="N32" s="26"/>
      <c r="O32" s="26"/>
      <c r="P32" s="26"/>
      <c r="S32" s="28" t="s">
        <v>653</v>
      </c>
      <c r="T32" s="23" t="s">
        <v>659</v>
      </c>
    </row>
    <row r="33" spans="1:21" x14ac:dyDescent="0.25">
      <c r="A33" s="23"/>
      <c r="B33" s="23" t="s">
        <v>521</v>
      </c>
      <c r="C33" t="s">
        <v>638</v>
      </c>
      <c r="D33" s="1" t="str">
        <f>S33&amp;"["&amp;T33&amp;"]"</f>
        <v>Hulse[white/brown]</v>
      </c>
      <c r="F33" s="26"/>
      <c r="G33" s="14" t="s">
        <v>522</v>
      </c>
      <c r="I33" s="26"/>
      <c r="J33" s="26">
        <v>4</v>
      </c>
      <c r="K33" s="26">
        <v>4</v>
      </c>
      <c r="L33" s="26">
        <v>4</v>
      </c>
      <c r="M33" s="26">
        <v>4</v>
      </c>
      <c r="N33" s="26">
        <f t="shared" si="0"/>
        <v>3</v>
      </c>
      <c r="O33" s="26">
        <f t="shared" si="1"/>
        <v>3</v>
      </c>
      <c r="P33" s="26">
        <f t="shared" si="2"/>
        <v>3</v>
      </c>
      <c r="S33" s="1" t="s">
        <v>694</v>
      </c>
      <c r="T33" t="str">
        <f t="shared" si="3"/>
        <v>white/brown</v>
      </c>
    </row>
    <row r="34" spans="1:21" x14ac:dyDescent="0.25">
      <c r="A34" s="23"/>
      <c r="B34" s="23" t="s">
        <v>521</v>
      </c>
      <c r="C34" t="s">
        <v>638</v>
      </c>
      <c r="D34" s="1" t="str">
        <f>S34&amp;"["&amp;T34&amp;"]"</f>
        <v>Hinde[white/brown]</v>
      </c>
      <c r="F34" s="26"/>
      <c r="G34" s="14" t="s">
        <v>522</v>
      </c>
      <c r="I34" s="26"/>
      <c r="J34" s="26">
        <v>4</v>
      </c>
      <c r="K34" s="26">
        <v>4</v>
      </c>
      <c r="L34" s="26">
        <v>4</v>
      </c>
      <c r="M34" s="26">
        <v>4</v>
      </c>
      <c r="N34" s="26">
        <f t="shared" si="0"/>
        <v>3</v>
      </c>
      <c r="O34" s="26">
        <f t="shared" si="1"/>
        <v>3</v>
      </c>
      <c r="P34" s="26">
        <f t="shared" si="2"/>
        <v>3</v>
      </c>
      <c r="S34" s="1" t="s">
        <v>695</v>
      </c>
      <c r="T34" t="str">
        <f t="shared" si="3"/>
        <v>white/brown</v>
      </c>
    </row>
    <row r="35" spans="1:21" x14ac:dyDescent="0.25">
      <c r="A35" s="23"/>
      <c r="B35" s="23" t="s">
        <v>521</v>
      </c>
      <c r="C35" t="s">
        <v>640</v>
      </c>
      <c r="D35" s="1" t="str">
        <f>S35&amp;"["&amp;T35&amp;"]"</f>
        <v>Rezende[white/brown]</v>
      </c>
      <c r="F35" s="26"/>
      <c r="G35" s="14" t="s">
        <v>522</v>
      </c>
      <c r="I35" s="26"/>
      <c r="J35" s="26">
        <v>6</v>
      </c>
      <c r="K35" s="26">
        <v>3</v>
      </c>
      <c r="L35" s="26">
        <v>4</v>
      </c>
      <c r="M35" s="26">
        <v>4</v>
      </c>
      <c r="N35" s="26">
        <f t="shared" si="0"/>
        <v>5</v>
      </c>
      <c r="O35" s="26">
        <f t="shared" si="1"/>
        <v>2</v>
      </c>
      <c r="P35" s="26">
        <f t="shared" si="2"/>
        <v>3</v>
      </c>
      <c r="S35" s="1" t="s">
        <v>696</v>
      </c>
      <c r="T35" t="str">
        <f t="shared" si="3"/>
        <v>white/brown</v>
      </c>
    </row>
    <row r="36" spans="1:21" x14ac:dyDescent="0.25">
      <c r="A36" s="23"/>
      <c r="B36" s="23" t="s">
        <v>592</v>
      </c>
      <c r="C36" t="s">
        <v>638</v>
      </c>
      <c r="D36" s="1" t="str">
        <f>S36&amp;"["&amp;T36&amp;"]"</f>
        <v>Greene[white/brown]</v>
      </c>
      <c r="F36" s="26"/>
      <c r="G36" s="14" t="s">
        <v>595</v>
      </c>
      <c r="I36" s="26"/>
      <c r="J36" s="29" t="s">
        <v>635</v>
      </c>
      <c r="K36" s="26">
        <v>4</v>
      </c>
      <c r="L36" s="26">
        <v>6</v>
      </c>
      <c r="M36" s="21" t="s">
        <v>524</v>
      </c>
      <c r="N36" s="26">
        <v>0</v>
      </c>
      <c r="O36" s="26">
        <f t="shared" si="1"/>
        <v>3</v>
      </c>
      <c r="P36" s="26">
        <f t="shared" si="2"/>
        <v>5</v>
      </c>
      <c r="S36" s="28" t="s">
        <v>697</v>
      </c>
      <c r="T36" t="str">
        <f t="shared" si="3"/>
        <v>white/brown</v>
      </c>
    </row>
    <row r="37" spans="1:21" x14ac:dyDescent="0.25">
      <c r="A37" s="23"/>
      <c r="B37" s="23" t="s">
        <v>512</v>
      </c>
      <c r="C37" t="s">
        <v>630</v>
      </c>
      <c r="D37" s="28">
        <v>7</v>
      </c>
      <c r="E37" s="28" t="str">
        <f>S37&amp;"["&amp;T37&amp;"]"</f>
        <v>Hope[white/blue]</v>
      </c>
      <c r="F37" s="27" t="s">
        <v>632</v>
      </c>
      <c r="G37" s="26">
        <v>3</v>
      </c>
      <c r="H37" s="26">
        <v>2</v>
      </c>
      <c r="I37" s="26"/>
      <c r="J37" s="26"/>
      <c r="K37" s="26"/>
      <c r="L37" s="26"/>
      <c r="N37" s="26"/>
      <c r="O37" s="26"/>
      <c r="P37" s="26"/>
      <c r="S37" s="28" t="s">
        <v>654</v>
      </c>
      <c r="T37" s="23" t="s">
        <v>722</v>
      </c>
      <c r="U37" s="23" t="s">
        <v>667</v>
      </c>
    </row>
    <row r="38" spans="1:21" x14ac:dyDescent="0.25">
      <c r="A38" s="23"/>
      <c r="B38" s="23" t="s">
        <v>521</v>
      </c>
      <c r="C38" t="s">
        <v>639</v>
      </c>
      <c r="D38" s="1" t="str">
        <f>S38&amp;"["&amp;T38&amp;"]"</f>
        <v>Halkett[white/blue]</v>
      </c>
      <c r="F38" s="26"/>
      <c r="G38" s="14" t="s">
        <v>522</v>
      </c>
      <c r="I38" s="26"/>
      <c r="J38" s="26">
        <v>4</v>
      </c>
      <c r="K38" s="26">
        <v>4</v>
      </c>
      <c r="L38" s="26">
        <v>4</v>
      </c>
      <c r="M38" s="26">
        <v>4</v>
      </c>
      <c r="N38" s="26">
        <f t="shared" si="0"/>
        <v>3</v>
      </c>
      <c r="O38" s="26">
        <f t="shared" si="1"/>
        <v>3</v>
      </c>
      <c r="P38" s="26">
        <f t="shared" si="2"/>
        <v>3</v>
      </c>
      <c r="S38" s="1" t="s">
        <v>698</v>
      </c>
      <c r="T38" t="str">
        <f t="shared" si="3"/>
        <v>white/blue</v>
      </c>
    </row>
    <row r="39" spans="1:21" x14ac:dyDescent="0.25">
      <c r="A39" s="23"/>
      <c r="B39" s="23" t="s">
        <v>521</v>
      </c>
      <c r="C39" t="s">
        <v>638</v>
      </c>
      <c r="D39" s="1" t="str">
        <f>S39&amp;"["&amp;T39&amp;"]"</f>
        <v>Bernewitz[white/blue]</v>
      </c>
      <c r="F39" s="26"/>
      <c r="G39" s="14" t="s">
        <v>522</v>
      </c>
      <c r="I39" s="26"/>
      <c r="J39" s="26">
        <v>3</v>
      </c>
      <c r="K39" s="26">
        <v>4</v>
      </c>
      <c r="L39" s="26">
        <v>4</v>
      </c>
      <c r="M39" s="26">
        <v>4</v>
      </c>
      <c r="N39" s="26">
        <f t="shared" si="0"/>
        <v>2</v>
      </c>
      <c r="O39" s="26">
        <f t="shared" si="1"/>
        <v>3</v>
      </c>
      <c r="P39" s="26">
        <f t="shared" si="2"/>
        <v>3</v>
      </c>
      <c r="S39" s="1" t="s">
        <v>699</v>
      </c>
      <c r="T39" t="str">
        <f t="shared" si="3"/>
        <v>white/blue</v>
      </c>
    </row>
    <row r="40" spans="1:21" x14ac:dyDescent="0.25">
      <c r="A40" s="23"/>
      <c r="B40" s="23" t="s">
        <v>521</v>
      </c>
      <c r="C40" t="s">
        <v>640</v>
      </c>
      <c r="D40" s="1" t="str">
        <f>S40&amp;"["&amp;T40&amp;"]"</f>
        <v>Collins[white/blue]</v>
      </c>
      <c r="F40" s="26"/>
      <c r="G40" s="14" t="s">
        <v>522</v>
      </c>
      <c r="I40" s="26"/>
      <c r="J40" s="26">
        <v>6</v>
      </c>
      <c r="K40" s="26">
        <v>3</v>
      </c>
      <c r="L40" s="26">
        <v>4</v>
      </c>
      <c r="M40" s="26">
        <v>4</v>
      </c>
      <c r="N40" s="26">
        <f t="shared" si="0"/>
        <v>5</v>
      </c>
      <c r="O40" s="26">
        <f t="shared" si="1"/>
        <v>2</v>
      </c>
      <c r="P40" s="26">
        <f t="shared" si="2"/>
        <v>3</v>
      </c>
      <c r="S40" s="1" t="s">
        <v>700</v>
      </c>
      <c r="T40" t="str">
        <f t="shared" si="3"/>
        <v>white/blue</v>
      </c>
    </row>
    <row r="41" spans="1:21" x14ac:dyDescent="0.25">
      <c r="A41" s="23"/>
      <c r="B41" s="23" t="s">
        <v>610</v>
      </c>
      <c r="C41" t="s">
        <v>638</v>
      </c>
      <c r="D41" s="1" t="str">
        <f>S41&amp;"["&amp;T41&amp;"]"</f>
        <v>McDonald[white/blue]</v>
      </c>
      <c r="F41" s="26"/>
      <c r="G41" s="14" t="s">
        <v>595</v>
      </c>
      <c r="H41" s="19" t="s">
        <v>611</v>
      </c>
      <c r="I41" s="26"/>
      <c r="J41" s="29" t="s">
        <v>636</v>
      </c>
      <c r="K41" s="26">
        <v>4</v>
      </c>
      <c r="L41" s="26">
        <v>7</v>
      </c>
      <c r="M41" s="30" t="s">
        <v>669</v>
      </c>
      <c r="N41" s="26">
        <v>0</v>
      </c>
      <c r="O41" s="26">
        <f t="shared" si="1"/>
        <v>3</v>
      </c>
      <c r="P41" s="26">
        <f t="shared" si="2"/>
        <v>6</v>
      </c>
      <c r="S41" s="28" t="s">
        <v>701</v>
      </c>
      <c r="T41" t="str">
        <f t="shared" si="3"/>
        <v>white/blue</v>
      </c>
    </row>
    <row r="42" spans="1:21" x14ac:dyDescent="0.25">
      <c r="A42" s="23"/>
      <c r="B42" s="23" t="s">
        <v>512</v>
      </c>
      <c r="C42" t="s">
        <v>631</v>
      </c>
      <c r="D42" s="28" t="s">
        <v>646</v>
      </c>
      <c r="E42" s="28" t="str">
        <f>S42&amp;"["&amp;T42&amp;"]"</f>
        <v>España[white/indigo]</v>
      </c>
      <c r="F42" s="27" t="s">
        <v>632</v>
      </c>
      <c r="G42" s="26">
        <v>2</v>
      </c>
      <c r="H42" s="26">
        <v>2</v>
      </c>
      <c r="I42" s="26"/>
      <c r="J42" s="26"/>
      <c r="K42" s="26"/>
      <c r="L42" s="26"/>
      <c r="N42" s="26"/>
      <c r="O42" s="26"/>
      <c r="P42" s="26"/>
      <c r="S42" s="1" t="s">
        <v>750</v>
      </c>
      <c r="T42" s="23" t="s">
        <v>666</v>
      </c>
      <c r="U42" s="23"/>
    </row>
    <row r="43" spans="1:21" x14ac:dyDescent="0.25">
      <c r="A43" s="23"/>
      <c r="B43" s="23" t="s">
        <v>521</v>
      </c>
      <c r="C43" t="s">
        <v>642</v>
      </c>
      <c r="D43" s="1" t="str">
        <f>S43&amp;"["&amp;T43&amp;"]"</f>
        <v>I/España[white/indigo]</v>
      </c>
      <c r="F43" s="26"/>
      <c r="G43" s="14" t="s">
        <v>522</v>
      </c>
      <c r="I43" s="26"/>
      <c r="J43" s="26">
        <v>4</v>
      </c>
      <c r="K43" s="26">
        <v>3</v>
      </c>
      <c r="L43" s="26">
        <v>4</v>
      </c>
      <c r="M43" s="26">
        <v>3</v>
      </c>
      <c r="N43" s="26">
        <f t="shared" si="0"/>
        <v>3</v>
      </c>
      <c r="O43" s="26">
        <f t="shared" si="1"/>
        <v>2</v>
      </c>
      <c r="P43" s="26">
        <f t="shared" si="2"/>
        <v>3</v>
      </c>
      <c r="S43" s="1" t="s">
        <v>822</v>
      </c>
      <c r="T43" t="str">
        <f t="shared" si="3"/>
        <v>white/indigo</v>
      </c>
    </row>
    <row r="44" spans="1:21" x14ac:dyDescent="0.25">
      <c r="A44" s="23"/>
      <c r="B44" s="23" t="s">
        <v>521</v>
      </c>
      <c r="C44" t="s">
        <v>642</v>
      </c>
      <c r="D44" s="1" t="str">
        <f>S44&amp;"["&amp;T44&amp;"]"</f>
        <v>II/España[white/indigo]</v>
      </c>
      <c r="F44" s="26"/>
      <c r="G44" s="14" t="s">
        <v>522</v>
      </c>
      <c r="I44" s="26"/>
      <c r="J44" s="26">
        <v>4</v>
      </c>
      <c r="K44" s="26">
        <v>3</v>
      </c>
      <c r="L44" s="26">
        <v>4</v>
      </c>
      <c r="M44" s="26">
        <v>3</v>
      </c>
      <c r="N44" s="26">
        <f t="shared" si="0"/>
        <v>3</v>
      </c>
      <c r="O44" s="26">
        <f t="shared" si="1"/>
        <v>2</v>
      </c>
      <c r="P44" s="26">
        <f t="shared" si="2"/>
        <v>3</v>
      </c>
      <c r="S44" s="1" t="s">
        <v>823</v>
      </c>
      <c r="T44" t="str">
        <f t="shared" si="3"/>
        <v>white/indigo</v>
      </c>
    </row>
    <row r="45" spans="1:21" x14ac:dyDescent="0.25">
      <c r="A45" s="23"/>
      <c r="B45" s="23" t="s">
        <v>519</v>
      </c>
      <c r="C45" t="s">
        <v>642</v>
      </c>
      <c r="D45" s="1" t="str">
        <f>S45&amp;"["&amp;T45&amp;"]"</f>
        <v>Sanchez[white/indigo]</v>
      </c>
      <c r="F45" s="26"/>
      <c r="G45" s="14" t="s">
        <v>520</v>
      </c>
      <c r="I45" s="26"/>
      <c r="J45" s="26">
        <v>1</v>
      </c>
      <c r="K45" s="26">
        <v>4</v>
      </c>
      <c r="L45" s="26">
        <v>7</v>
      </c>
      <c r="M45" s="26">
        <v>5</v>
      </c>
      <c r="N45" s="26">
        <f t="shared" si="0"/>
        <v>0</v>
      </c>
      <c r="O45" s="26">
        <f t="shared" si="1"/>
        <v>3</v>
      </c>
      <c r="P45" s="26">
        <f t="shared" si="2"/>
        <v>6</v>
      </c>
      <c r="S45" s="28" t="s">
        <v>633</v>
      </c>
      <c r="T45" t="str">
        <f t="shared" si="3"/>
        <v>white/indigo</v>
      </c>
    </row>
    <row r="46" spans="1:21" x14ac:dyDescent="0.25">
      <c r="A46" s="23"/>
      <c r="B46" s="23" t="s">
        <v>592</v>
      </c>
      <c r="C46" t="s">
        <v>642</v>
      </c>
      <c r="D46" s="1" t="str">
        <f>S46&amp;"["&amp;T46&amp;"]"</f>
        <v>España[white/indigo]</v>
      </c>
      <c r="F46" s="26"/>
      <c r="G46" s="14" t="s">
        <v>595</v>
      </c>
      <c r="I46" s="26"/>
      <c r="J46" s="29" t="s">
        <v>523</v>
      </c>
      <c r="K46" s="26">
        <v>3</v>
      </c>
      <c r="L46" s="26">
        <v>6</v>
      </c>
      <c r="M46" s="30" t="s">
        <v>661</v>
      </c>
      <c r="N46" s="26">
        <v>0</v>
      </c>
      <c r="O46" s="26">
        <f t="shared" si="1"/>
        <v>2</v>
      </c>
      <c r="P46" s="26">
        <f t="shared" si="2"/>
        <v>5</v>
      </c>
      <c r="S46" s="1" t="s">
        <v>750</v>
      </c>
      <c r="T46" t="str">
        <f t="shared" si="3"/>
        <v>white/indigo</v>
      </c>
    </row>
    <row r="47" spans="1:21" x14ac:dyDescent="0.25">
      <c r="A47" s="23"/>
      <c r="B47" s="23" t="s">
        <v>512</v>
      </c>
      <c r="C47" t="s">
        <v>630</v>
      </c>
      <c r="D47" s="28" t="s">
        <v>647</v>
      </c>
      <c r="E47" s="28" t="str">
        <f>S47&amp;"["&amp;T47&amp;"]"</f>
        <v>Cotton[black/darkturquoise]</v>
      </c>
      <c r="F47" s="27" t="s">
        <v>632</v>
      </c>
      <c r="G47" s="26">
        <v>5</v>
      </c>
      <c r="H47" s="26">
        <v>2</v>
      </c>
      <c r="I47" s="26"/>
      <c r="J47" s="26"/>
      <c r="K47" s="26"/>
      <c r="L47" s="26"/>
      <c r="N47" s="26"/>
      <c r="O47" s="26"/>
      <c r="P47" s="26"/>
      <c r="S47" s="28" t="s">
        <v>656</v>
      </c>
      <c r="T47" s="23" t="s">
        <v>724</v>
      </c>
    </row>
    <row r="48" spans="1:21" x14ac:dyDescent="0.25">
      <c r="A48" s="23"/>
      <c r="B48" s="23" t="s">
        <v>519</v>
      </c>
      <c r="C48" t="s">
        <v>638</v>
      </c>
      <c r="D48" s="1" t="str">
        <f t="shared" ref="D48:D57" si="4">S48&amp;"["&amp;T48&amp;"]"</f>
        <v>Le Marchant[black/darkturquoise]</v>
      </c>
      <c r="F48" s="26"/>
      <c r="G48" s="14" t="s">
        <v>520</v>
      </c>
      <c r="I48" s="27" t="s">
        <v>634</v>
      </c>
      <c r="J48" s="26">
        <v>3</v>
      </c>
      <c r="K48" s="26">
        <v>6</v>
      </c>
      <c r="L48" s="26">
        <v>6</v>
      </c>
      <c r="M48" s="26">
        <v>7</v>
      </c>
      <c r="N48" s="26">
        <f t="shared" si="0"/>
        <v>2</v>
      </c>
      <c r="O48" s="26">
        <f t="shared" si="1"/>
        <v>5</v>
      </c>
      <c r="P48" s="26">
        <f t="shared" si="2"/>
        <v>5</v>
      </c>
      <c r="S48" s="1" t="s">
        <v>702</v>
      </c>
      <c r="T48" t="str">
        <f t="shared" si="3"/>
        <v>black/darkturquoise</v>
      </c>
    </row>
    <row r="49" spans="1:22" x14ac:dyDescent="0.25">
      <c r="A49" s="23"/>
      <c r="B49" s="23" t="s">
        <v>519</v>
      </c>
      <c r="C49" t="s">
        <v>638</v>
      </c>
      <c r="D49" s="1" t="str">
        <f t="shared" si="4"/>
        <v>Anson[black/darkturquoise]</v>
      </c>
      <c r="F49" s="26"/>
      <c r="G49" s="14" t="s">
        <v>520</v>
      </c>
      <c r="I49" s="26"/>
      <c r="J49" s="26">
        <v>3</v>
      </c>
      <c r="K49" s="26">
        <v>5</v>
      </c>
      <c r="L49" s="26">
        <v>7</v>
      </c>
      <c r="M49" s="26">
        <v>6</v>
      </c>
      <c r="N49" s="26">
        <f t="shared" si="0"/>
        <v>2</v>
      </c>
      <c r="O49" s="26">
        <f t="shared" si="1"/>
        <v>4</v>
      </c>
      <c r="P49" s="26">
        <f t="shared" si="2"/>
        <v>6</v>
      </c>
      <c r="S49" s="1" t="s">
        <v>686</v>
      </c>
      <c r="T49" t="str">
        <f t="shared" si="3"/>
        <v>black/darkturquoise</v>
      </c>
    </row>
    <row r="50" spans="1:22" x14ac:dyDescent="0.25">
      <c r="A50" s="23"/>
      <c r="B50" s="23" t="s">
        <v>519</v>
      </c>
      <c r="C50" t="s">
        <v>643</v>
      </c>
      <c r="D50" s="1" t="str">
        <f t="shared" si="4"/>
        <v>Alten[black/darkturquoise]</v>
      </c>
      <c r="F50" s="26"/>
      <c r="G50" s="14" t="s">
        <v>520</v>
      </c>
      <c r="I50" s="26"/>
      <c r="J50" s="26">
        <v>2</v>
      </c>
      <c r="K50" s="26">
        <v>5</v>
      </c>
      <c r="L50" s="26">
        <v>7</v>
      </c>
      <c r="M50" s="26">
        <v>6</v>
      </c>
      <c r="N50" s="26">
        <f t="shared" si="0"/>
        <v>1</v>
      </c>
      <c r="O50" s="26">
        <f t="shared" si="1"/>
        <v>4</v>
      </c>
      <c r="P50" s="26">
        <f t="shared" si="2"/>
        <v>6</v>
      </c>
      <c r="S50" s="1" t="s">
        <v>655</v>
      </c>
      <c r="T50" t="str">
        <f t="shared" si="3"/>
        <v>black/darkturquoise</v>
      </c>
    </row>
    <row r="51" spans="1:22" x14ac:dyDescent="0.25">
      <c r="A51" s="23"/>
      <c r="B51" s="23" t="s">
        <v>519</v>
      </c>
      <c r="C51" t="s">
        <v>639</v>
      </c>
      <c r="D51" s="1" t="str">
        <f t="shared" si="4"/>
        <v>Bock[black/darkturquoise]</v>
      </c>
      <c r="F51" s="26"/>
      <c r="G51" s="14" t="s">
        <v>520</v>
      </c>
      <c r="I51" s="27" t="s">
        <v>634</v>
      </c>
      <c r="J51" s="26">
        <v>3</v>
      </c>
      <c r="K51" s="26">
        <v>5</v>
      </c>
      <c r="L51" s="26">
        <v>6</v>
      </c>
      <c r="M51" s="26">
        <v>7</v>
      </c>
      <c r="N51" s="26">
        <f t="shared" si="0"/>
        <v>2</v>
      </c>
      <c r="O51" s="26">
        <f t="shared" si="1"/>
        <v>4</v>
      </c>
      <c r="P51" s="26">
        <f t="shared" si="2"/>
        <v>5</v>
      </c>
      <c r="S51" s="1" t="s">
        <v>703</v>
      </c>
      <c r="T51" t="str">
        <f t="shared" si="3"/>
        <v>black/darkturquoise</v>
      </c>
    </row>
    <row r="52" spans="1:22" x14ac:dyDescent="0.25">
      <c r="A52" s="23"/>
      <c r="B52" s="23" t="s">
        <v>519</v>
      </c>
      <c r="C52" t="s">
        <v>640</v>
      </c>
      <c r="D52" s="1" t="str">
        <f t="shared" si="4"/>
        <v>D'Urban[black/darkturquoise]</v>
      </c>
      <c r="F52" s="26"/>
      <c r="G52" s="14" t="s">
        <v>520</v>
      </c>
      <c r="I52" s="27" t="s">
        <v>634</v>
      </c>
      <c r="J52" s="26">
        <v>2</v>
      </c>
      <c r="K52" s="26">
        <v>4</v>
      </c>
      <c r="L52" s="26">
        <v>6</v>
      </c>
      <c r="M52" s="26">
        <v>7</v>
      </c>
      <c r="N52" s="26">
        <f t="shared" si="0"/>
        <v>1</v>
      </c>
      <c r="O52" s="26">
        <f t="shared" si="1"/>
        <v>3</v>
      </c>
      <c r="P52" s="26">
        <f t="shared" si="2"/>
        <v>5</v>
      </c>
      <c r="S52" s="1" t="s">
        <v>704</v>
      </c>
      <c r="T52" t="str">
        <f t="shared" si="3"/>
        <v>black/darkturquoise</v>
      </c>
    </row>
    <row r="53" spans="1:22" x14ac:dyDescent="0.25">
      <c r="A53" s="23"/>
      <c r="B53" s="23" t="s">
        <v>610</v>
      </c>
      <c r="C53" t="s">
        <v>638</v>
      </c>
      <c r="D53" s="1" t="str">
        <f t="shared" si="4"/>
        <v>Bull[black/darkturquoise]</v>
      </c>
      <c r="F53" s="26"/>
      <c r="G53" s="14" t="s">
        <v>595</v>
      </c>
      <c r="H53" s="19" t="s">
        <v>611</v>
      </c>
      <c r="I53" s="26"/>
      <c r="J53" s="29" t="s">
        <v>636</v>
      </c>
      <c r="K53" s="26">
        <v>4</v>
      </c>
      <c r="L53" s="26">
        <v>7</v>
      </c>
      <c r="M53" s="30" t="s">
        <v>669</v>
      </c>
      <c r="N53" s="26">
        <v>0</v>
      </c>
      <c r="O53" s="26">
        <f t="shared" si="1"/>
        <v>3</v>
      </c>
      <c r="P53" s="26">
        <f t="shared" si="2"/>
        <v>6</v>
      </c>
      <c r="S53" s="28" t="s">
        <v>705</v>
      </c>
      <c r="T53" t="str">
        <f t="shared" si="3"/>
        <v>black/darkturquoise</v>
      </c>
      <c r="V53" s="23" t="s">
        <v>850</v>
      </c>
    </row>
    <row r="54" spans="1:22" x14ac:dyDescent="0.25">
      <c r="A54" s="23"/>
      <c r="B54" s="23" t="s">
        <v>592</v>
      </c>
      <c r="C54" t="s">
        <v>638</v>
      </c>
      <c r="D54" s="1" t="str">
        <f t="shared" si="4"/>
        <v>May[white/black]</v>
      </c>
      <c r="F54" s="26"/>
      <c r="G54" s="14" t="s">
        <v>595</v>
      </c>
      <c r="I54" s="26"/>
      <c r="J54" s="29" t="s">
        <v>635</v>
      </c>
      <c r="K54" s="26">
        <v>4</v>
      </c>
      <c r="L54" s="26">
        <v>6</v>
      </c>
      <c r="M54" s="21" t="s">
        <v>524</v>
      </c>
      <c r="N54" s="26">
        <v>0</v>
      </c>
      <c r="O54" s="26">
        <f t="shared" si="1"/>
        <v>3</v>
      </c>
      <c r="P54" s="26">
        <f t="shared" si="2"/>
        <v>5</v>
      </c>
      <c r="S54" s="1" t="s">
        <v>615</v>
      </c>
      <c r="T54" s="23" t="s">
        <v>660</v>
      </c>
    </row>
    <row r="55" spans="1:22" x14ac:dyDescent="0.25">
      <c r="A55" s="23"/>
      <c r="B55" s="23" t="s">
        <v>592</v>
      </c>
      <c r="C55" t="s">
        <v>640</v>
      </c>
      <c r="D55" s="1" t="str">
        <f t="shared" si="4"/>
        <v>Arriaga[white/black]</v>
      </c>
      <c r="F55" s="26"/>
      <c r="G55" s="14" t="s">
        <v>595</v>
      </c>
      <c r="I55" s="26"/>
      <c r="J55" s="29" t="s">
        <v>636</v>
      </c>
      <c r="K55" s="26">
        <v>3</v>
      </c>
      <c r="L55" s="26">
        <v>6</v>
      </c>
      <c r="M55" s="30" t="s">
        <v>669</v>
      </c>
      <c r="N55" s="26">
        <v>0</v>
      </c>
      <c r="O55" s="26">
        <f t="shared" si="1"/>
        <v>2</v>
      </c>
      <c r="P55" s="26">
        <f t="shared" si="2"/>
        <v>5</v>
      </c>
      <c r="S55" s="1" t="s">
        <v>616</v>
      </c>
      <c r="T55" t="str">
        <f t="shared" si="3"/>
        <v>white/black</v>
      </c>
      <c r="V55" s="23" t="s">
        <v>852</v>
      </c>
    </row>
    <row r="56" spans="1:22" x14ac:dyDescent="0.25">
      <c r="A56" s="23"/>
      <c r="B56" s="23" t="s">
        <v>521</v>
      </c>
      <c r="C56" t="s">
        <v>641</v>
      </c>
      <c r="D56" s="1" t="str">
        <f t="shared" si="4"/>
        <v>Pack[white/black]</v>
      </c>
      <c r="F56" s="26"/>
      <c r="G56" s="14" t="s">
        <v>522</v>
      </c>
      <c r="I56" s="26"/>
      <c r="J56" s="26">
        <v>6</v>
      </c>
      <c r="K56" s="26">
        <v>4</v>
      </c>
      <c r="L56" s="26">
        <v>4</v>
      </c>
      <c r="M56" s="26">
        <v>4</v>
      </c>
      <c r="N56" s="26">
        <f t="shared" si="0"/>
        <v>5</v>
      </c>
      <c r="O56" s="26">
        <f t="shared" si="1"/>
        <v>3</v>
      </c>
      <c r="P56" s="26">
        <f t="shared" si="2"/>
        <v>3</v>
      </c>
      <c r="S56" s="1" t="s">
        <v>613</v>
      </c>
      <c r="T56" t="str">
        <f t="shared" si="3"/>
        <v>white/black</v>
      </c>
    </row>
    <row r="57" spans="1:22" x14ac:dyDescent="0.25">
      <c r="A57" s="23"/>
      <c r="B57" s="23" t="s">
        <v>521</v>
      </c>
      <c r="C57" t="s">
        <v>641</v>
      </c>
      <c r="D57" s="1" t="str">
        <f t="shared" si="4"/>
        <v>Bradford[white/black]</v>
      </c>
      <c r="F57" s="26"/>
      <c r="G57" s="14" t="s">
        <v>522</v>
      </c>
      <c r="I57" s="26"/>
      <c r="J57" s="26">
        <v>5</v>
      </c>
      <c r="K57" s="26">
        <v>4</v>
      </c>
      <c r="L57" s="26">
        <v>4</v>
      </c>
      <c r="M57" s="26">
        <v>4</v>
      </c>
      <c r="N57" s="26">
        <f t="shared" si="0"/>
        <v>4</v>
      </c>
      <c r="O57" s="26">
        <f t="shared" si="1"/>
        <v>3</v>
      </c>
      <c r="P57" s="26">
        <f t="shared" si="2"/>
        <v>3</v>
      </c>
      <c r="S57" s="1" t="s">
        <v>614</v>
      </c>
      <c r="T57" t="str">
        <f t="shared" si="3"/>
        <v>white/black</v>
      </c>
    </row>
    <row r="58" spans="1:22" x14ac:dyDescent="0.25">
      <c r="A58" s="23"/>
      <c r="B58" s="23"/>
      <c r="I58" s="26"/>
      <c r="J58" s="26"/>
      <c r="K58" s="26"/>
      <c r="L58" s="26"/>
      <c r="N58" s="26"/>
    </row>
    <row r="59" spans="1:22" x14ac:dyDescent="0.25">
      <c r="A59" s="23"/>
      <c r="B59" s="23" t="s">
        <v>751</v>
      </c>
      <c r="C59" s="23" t="s">
        <v>754</v>
      </c>
      <c r="D59" s="28" t="s">
        <v>825</v>
      </c>
      <c r="E59" s="23" t="s">
        <v>647</v>
      </c>
      <c r="I59" s="26"/>
      <c r="J59" s="26"/>
      <c r="K59" s="26"/>
      <c r="L59" s="26"/>
      <c r="N59" s="26"/>
    </row>
    <row r="60" spans="1:22" x14ac:dyDescent="0.25">
      <c r="A60" s="23"/>
      <c r="B60" s="23" t="s">
        <v>751</v>
      </c>
      <c r="C60" s="23" t="s">
        <v>754</v>
      </c>
      <c r="D60" s="28" t="s">
        <v>824</v>
      </c>
      <c r="E60" s="23" t="s">
        <v>647</v>
      </c>
      <c r="I60" s="26"/>
      <c r="J60" s="26"/>
      <c r="K60" s="26"/>
      <c r="L60" s="26"/>
      <c r="N60" s="26"/>
    </row>
    <row r="61" spans="1:22" x14ac:dyDescent="0.25">
      <c r="A61" s="23"/>
      <c r="B61" s="23" t="s">
        <v>751</v>
      </c>
      <c r="C61" s="23" t="s">
        <v>754</v>
      </c>
      <c r="D61" s="28" t="s">
        <v>612</v>
      </c>
      <c r="E61" s="23" t="s">
        <v>647</v>
      </c>
      <c r="I61" s="26"/>
      <c r="J61" s="26"/>
      <c r="K61" s="26"/>
      <c r="L61" s="26"/>
      <c r="N61" s="26"/>
    </row>
    <row r="62" spans="1:22" x14ac:dyDescent="0.25">
      <c r="A62" s="23"/>
      <c r="B62" s="23" t="s">
        <v>761</v>
      </c>
      <c r="C62" s="23" t="s">
        <v>756</v>
      </c>
      <c r="D62" s="28" t="str">
        <f>"Attached: "&amp;G62&amp;"["&amp;I62&amp;"/"&amp;J62&amp;"]"</f>
        <v>Attached: Le Marchant[darkred/white]</v>
      </c>
      <c r="G62" s="1" t="s">
        <v>702</v>
      </c>
      <c r="I62" s="27" t="s">
        <v>830</v>
      </c>
      <c r="J62" s="27" t="s">
        <v>499</v>
      </c>
      <c r="K62" s="26"/>
      <c r="L62" s="26"/>
      <c r="N62" s="26"/>
    </row>
    <row r="63" spans="1:22" x14ac:dyDescent="0.25">
      <c r="A63" s="23"/>
      <c r="B63" s="23" t="s">
        <v>761</v>
      </c>
      <c r="C63" s="23" t="s">
        <v>756</v>
      </c>
      <c r="D63" s="28" t="str">
        <f t="shared" ref="D63:D70" si="5">"Attached: "&amp;G63&amp;"["&amp;I63&amp;"/"&amp;J63&amp;"]"</f>
        <v>Attached: Anson[darkred/white]</v>
      </c>
      <c r="G63" s="1" t="s">
        <v>686</v>
      </c>
      <c r="I63" s="27" t="s">
        <v>830</v>
      </c>
      <c r="J63" s="27" t="s">
        <v>499</v>
      </c>
      <c r="K63" s="26"/>
      <c r="L63" s="26"/>
      <c r="N63" s="26"/>
    </row>
    <row r="64" spans="1:22" x14ac:dyDescent="0.25">
      <c r="A64" s="23"/>
      <c r="B64" s="23" t="s">
        <v>761</v>
      </c>
      <c r="C64" s="23" t="s">
        <v>756</v>
      </c>
      <c r="D64" s="28" t="str">
        <f t="shared" si="5"/>
        <v>Attached: Alten[darkred/white]</v>
      </c>
      <c r="G64" s="1" t="s">
        <v>655</v>
      </c>
      <c r="I64" s="27" t="s">
        <v>830</v>
      </c>
      <c r="J64" s="27" t="s">
        <v>499</v>
      </c>
      <c r="K64" s="26"/>
      <c r="L64" s="26"/>
      <c r="N64" s="26"/>
    </row>
    <row r="65" spans="1:20" x14ac:dyDescent="0.25">
      <c r="A65" s="23"/>
      <c r="B65" s="23" t="s">
        <v>761</v>
      </c>
      <c r="C65" s="23" t="s">
        <v>756</v>
      </c>
      <c r="D65" s="28" t="str">
        <f t="shared" si="5"/>
        <v>Attached: Bock[darkred/white]</v>
      </c>
      <c r="G65" s="1" t="s">
        <v>703</v>
      </c>
      <c r="I65" s="27" t="s">
        <v>830</v>
      </c>
      <c r="J65" s="27" t="s">
        <v>499</v>
      </c>
      <c r="K65" s="26"/>
      <c r="L65" s="26"/>
      <c r="N65" s="26"/>
    </row>
    <row r="66" spans="1:20" x14ac:dyDescent="0.25">
      <c r="A66" s="23"/>
      <c r="B66" s="23" t="s">
        <v>761</v>
      </c>
      <c r="C66" s="23" t="s">
        <v>756</v>
      </c>
      <c r="D66" s="28" t="str">
        <f t="shared" si="5"/>
        <v>Attached: D'Urban[darkred/white]</v>
      </c>
      <c r="G66" s="1" t="s">
        <v>704</v>
      </c>
      <c r="I66" s="27" t="s">
        <v>830</v>
      </c>
      <c r="J66" s="27" t="s">
        <v>499</v>
      </c>
      <c r="K66" s="26"/>
      <c r="L66" s="26"/>
      <c r="N66" s="26"/>
    </row>
    <row r="67" spans="1:20" x14ac:dyDescent="0.25">
      <c r="A67" s="23"/>
      <c r="B67" s="23" t="s">
        <v>761</v>
      </c>
      <c r="C67" s="23" t="s">
        <v>756</v>
      </c>
      <c r="D67" s="28" t="str">
        <f t="shared" si="5"/>
        <v>Attached: Bull[darkred/white]</v>
      </c>
      <c r="G67" s="28" t="s">
        <v>705</v>
      </c>
      <c r="I67" s="27" t="s">
        <v>830</v>
      </c>
      <c r="J67" s="27" t="s">
        <v>499</v>
      </c>
      <c r="K67" s="26"/>
      <c r="L67" s="26"/>
      <c r="N67" s="26"/>
    </row>
    <row r="68" spans="1:20" x14ac:dyDescent="0.25">
      <c r="A68" s="23"/>
      <c r="B68" s="23" t="s">
        <v>761</v>
      </c>
      <c r="C68" s="23" t="s">
        <v>756</v>
      </c>
      <c r="D68" s="28" t="str">
        <f t="shared" si="5"/>
        <v>Attached: Arriaga[darkred/white]</v>
      </c>
      <c r="G68" s="1" t="s">
        <v>616</v>
      </c>
      <c r="I68" s="27" t="s">
        <v>830</v>
      </c>
      <c r="J68" s="27" t="s">
        <v>499</v>
      </c>
      <c r="K68" s="26"/>
      <c r="L68" s="26"/>
      <c r="N68" s="26"/>
    </row>
    <row r="69" spans="1:20" x14ac:dyDescent="0.25">
      <c r="A69" s="23"/>
      <c r="B69" s="23" t="s">
        <v>761</v>
      </c>
      <c r="C69" s="23" t="s">
        <v>756</v>
      </c>
      <c r="D69" s="28" t="str">
        <f t="shared" si="5"/>
        <v>Attached: Pack[darkred/white]</v>
      </c>
      <c r="G69" s="1" t="s">
        <v>613</v>
      </c>
      <c r="I69" s="27" t="s">
        <v>830</v>
      </c>
      <c r="J69" s="27" t="s">
        <v>499</v>
      </c>
      <c r="K69" s="26"/>
      <c r="L69" s="26"/>
      <c r="N69" s="26"/>
    </row>
    <row r="70" spans="1:20" x14ac:dyDescent="0.25">
      <c r="A70" s="23"/>
      <c r="B70" s="23" t="s">
        <v>761</v>
      </c>
      <c r="C70" s="23" t="s">
        <v>756</v>
      </c>
      <c r="D70" s="28" t="str">
        <f t="shared" si="5"/>
        <v>Attached: Bradford[darkred/white]</v>
      </c>
      <c r="G70" s="1" t="s">
        <v>614</v>
      </c>
      <c r="I70" s="27" t="s">
        <v>830</v>
      </c>
      <c r="J70" s="27" t="s">
        <v>499</v>
      </c>
      <c r="K70" s="26"/>
      <c r="L70" s="26"/>
      <c r="N70" s="26"/>
    </row>
    <row r="71" spans="1:20" x14ac:dyDescent="0.25">
      <c r="A71" s="23"/>
      <c r="B71" s="23" t="s">
        <v>760</v>
      </c>
      <c r="C71" s="23" t="s">
        <v>756</v>
      </c>
      <c r="D71" s="28" t="s">
        <v>831</v>
      </c>
      <c r="I71" s="26"/>
      <c r="J71" s="26"/>
      <c r="K71" s="26"/>
      <c r="L71" s="26"/>
      <c r="N71" s="26"/>
    </row>
    <row r="72" spans="1:20" x14ac:dyDescent="0.25">
      <c r="A72" s="23"/>
      <c r="B72" s="23"/>
      <c r="E72" s="1"/>
      <c r="F72" s="26"/>
      <c r="I72" s="26"/>
      <c r="J72" s="26"/>
      <c r="K72" s="26"/>
      <c r="L72" s="26"/>
      <c r="N72" s="26"/>
    </row>
    <row r="73" spans="1:20" x14ac:dyDescent="0.25">
      <c r="A73" s="23"/>
      <c r="B73" s="23" t="s">
        <v>508</v>
      </c>
      <c r="C73" t="s">
        <v>509</v>
      </c>
      <c r="E73" s="28"/>
      <c r="F73" s="26" t="s">
        <v>617</v>
      </c>
      <c r="G73" s="27" t="s">
        <v>577</v>
      </c>
      <c r="H73" s="26">
        <v>2</v>
      </c>
      <c r="I73" s="26">
        <v>2</v>
      </c>
      <c r="J73" s="26">
        <v>4</v>
      </c>
      <c r="K73" s="26"/>
      <c r="L73" s="26"/>
      <c r="N73" s="26"/>
      <c r="S73" s="1" t="s">
        <v>617</v>
      </c>
    </row>
    <row r="74" spans="1:20" x14ac:dyDescent="0.25">
      <c r="A74" s="23"/>
      <c r="B74" s="23" t="s">
        <v>508</v>
      </c>
      <c r="C74" t="s">
        <v>509</v>
      </c>
      <c r="E74" s="1"/>
      <c r="F74" s="26" t="s">
        <v>618</v>
      </c>
      <c r="G74" s="27" t="s">
        <v>577</v>
      </c>
      <c r="H74" s="26">
        <v>2</v>
      </c>
      <c r="I74" s="26">
        <v>3</v>
      </c>
      <c r="J74" s="26">
        <v>4</v>
      </c>
      <c r="K74" s="26"/>
      <c r="L74" s="26"/>
      <c r="N74" s="26"/>
      <c r="S74" s="1" t="s">
        <v>618</v>
      </c>
    </row>
    <row r="75" spans="1:20" x14ac:dyDescent="0.25">
      <c r="A75" s="23"/>
      <c r="B75" s="23" t="s">
        <v>512</v>
      </c>
      <c r="C75" t="s">
        <v>575</v>
      </c>
      <c r="D75" s="1">
        <v>1</v>
      </c>
      <c r="E75" s="28" t="str">
        <f>S75&amp;"["&amp;T75&amp;"]"</f>
        <v>Foy[black/red]</v>
      </c>
      <c r="F75" s="27" t="s">
        <v>632</v>
      </c>
      <c r="G75" s="26">
        <v>4</v>
      </c>
      <c r="H75" s="26">
        <v>2</v>
      </c>
      <c r="I75" s="26"/>
      <c r="J75" s="26"/>
      <c r="K75" s="26"/>
      <c r="L75" s="26"/>
      <c r="N75" s="26"/>
      <c r="S75" s="1" t="s">
        <v>619</v>
      </c>
      <c r="T75" t="s">
        <v>657</v>
      </c>
    </row>
    <row r="76" spans="1:20" x14ac:dyDescent="0.25">
      <c r="A76" s="23"/>
      <c r="B76" s="23" t="s">
        <v>521</v>
      </c>
      <c r="C76" t="s">
        <v>576</v>
      </c>
      <c r="D76" s="1" t="str">
        <f>S76&amp;"["&amp;T76&amp;"]"</f>
        <v>I/Chemineau[black/red]</v>
      </c>
      <c r="E76" s="1"/>
      <c r="G76" s="14" t="s">
        <v>522</v>
      </c>
      <c r="I76" s="26"/>
      <c r="J76" s="26">
        <v>3</v>
      </c>
      <c r="K76" s="26">
        <v>4</v>
      </c>
      <c r="L76" s="26">
        <v>4</v>
      </c>
      <c r="M76" s="26">
        <v>4</v>
      </c>
      <c r="N76" s="26">
        <f t="shared" ref="N76:P79" si="6">J76-1</f>
        <v>2</v>
      </c>
      <c r="O76" s="26">
        <f t="shared" si="6"/>
        <v>3</v>
      </c>
      <c r="P76" s="26">
        <f t="shared" si="6"/>
        <v>3</v>
      </c>
      <c r="S76" s="1" t="s">
        <v>716</v>
      </c>
      <c r="T76" t="str">
        <f t="shared" ref="T76:T129" si="7">T75</f>
        <v>black/red</v>
      </c>
    </row>
    <row r="77" spans="1:20" x14ac:dyDescent="0.25">
      <c r="A77" s="23"/>
      <c r="B77" s="23" t="s">
        <v>521</v>
      </c>
      <c r="C77" t="s">
        <v>576</v>
      </c>
      <c r="D77" s="1" t="str">
        <f>S77&amp;"["&amp;T77&amp;"]"</f>
        <v>II/Chemineau[black/red]</v>
      </c>
      <c r="E77" s="1"/>
      <c r="G77" s="14" t="s">
        <v>522</v>
      </c>
      <c r="I77" s="26"/>
      <c r="J77" s="26">
        <v>4</v>
      </c>
      <c r="K77" s="26">
        <v>4</v>
      </c>
      <c r="L77" s="26">
        <v>4</v>
      </c>
      <c r="M77" s="26">
        <v>4</v>
      </c>
      <c r="N77" s="26">
        <f t="shared" si="6"/>
        <v>3</v>
      </c>
      <c r="O77" s="26">
        <f t="shared" si="6"/>
        <v>3</v>
      </c>
      <c r="P77" s="26">
        <f t="shared" si="6"/>
        <v>3</v>
      </c>
      <c r="S77" s="1" t="s">
        <v>717</v>
      </c>
      <c r="T77" t="str">
        <f t="shared" si="7"/>
        <v>black/red</v>
      </c>
    </row>
    <row r="78" spans="1:20" x14ac:dyDescent="0.25">
      <c r="A78" s="23"/>
      <c r="B78" s="23" t="s">
        <v>521</v>
      </c>
      <c r="C78" t="s">
        <v>576</v>
      </c>
      <c r="D78" s="1" t="str">
        <f>S78&amp;"["&amp;T78&amp;"]"</f>
        <v>I/D-Berth[black/red]</v>
      </c>
      <c r="E78" s="1"/>
      <c r="G78" s="14" t="s">
        <v>522</v>
      </c>
      <c r="I78" s="26"/>
      <c r="J78" s="26">
        <v>2</v>
      </c>
      <c r="K78" s="26">
        <v>4</v>
      </c>
      <c r="L78" s="26">
        <v>4</v>
      </c>
      <c r="M78" s="26">
        <v>4</v>
      </c>
      <c r="N78" s="26">
        <f t="shared" si="6"/>
        <v>1</v>
      </c>
      <c r="O78" s="26">
        <f t="shared" si="6"/>
        <v>3</v>
      </c>
      <c r="P78" s="26">
        <f t="shared" si="6"/>
        <v>3</v>
      </c>
      <c r="S78" s="1" t="s">
        <v>718</v>
      </c>
      <c r="T78" t="str">
        <f>T76</f>
        <v>black/red</v>
      </c>
    </row>
    <row r="79" spans="1:20" x14ac:dyDescent="0.25">
      <c r="A79" s="23"/>
      <c r="B79" s="23" t="s">
        <v>521</v>
      </c>
      <c r="C79" t="s">
        <v>576</v>
      </c>
      <c r="D79" s="1" t="str">
        <f>S79&amp;"["&amp;T79&amp;"]"</f>
        <v>II/D-Berth[black/red]</v>
      </c>
      <c r="E79" s="1"/>
      <c r="G79" s="14" t="s">
        <v>522</v>
      </c>
      <c r="I79" s="26"/>
      <c r="J79" s="26">
        <v>4</v>
      </c>
      <c r="K79" s="26">
        <v>4</v>
      </c>
      <c r="L79" s="26">
        <v>4</v>
      </c>
      <c r="M79" s="26">
        <v>4</v>
      </c>
      <c r="N79" s="26">
        <f t="shared" si="6"/>
        <v>3</v>
      </c>
      <c r="O79" s="26">
        <f t="shared" si="6"/>
        <v>3</v>
      </c>
      <c r="P79" s="26">
        <f t="shared" si="6"/>
        <v>3</v>
      </c>
      <c r="S79" s="1" t="s">
        <v>719</v>
      </c>
      <c r="T79" t="str">
        <f>T77</f>
        <v>black/red</v>
      </c>
    </row>
    <row r="80" spans="1:20" x14ac:dyDescent="0.25">
      <c r="A80" s="23"/>
      <c r="B80" s="23" t="s">
        <v>610</v>
      </c>
      <c r="C80" t="s">
        <v>576</v>
      </c>
      <c r="D80" s="1" t="str">
        <f>S80&amp;"["&amp;T80&amp;"]"</f>
        <v>Foy[black/red]</v>
      </c>
      <c r="E80" s="1"/>
      <c r="G80" s="14" t="s">
        <v>595</v>
      </c>
      <c r="H80" s="19" t="s">
        <v>611</v>
      </c>
      <c r="I80" s="26"/>
      <c r="J80" s="29" t="s">
        <v>636</v>
      </c>
      <c r="K80" s="26">
        <v>4</v>
      </c>
      <c r="L80" s="26">
        <v>7</v>
      </c>
      <c r="M80" s="30" t="s">
        <v>669</v>
      </c>
      <c r="N80" s="26">
        <v>0</v>
      </c>
      <c r="O80" s="26">
        <f>K80-1</f>
        <v>3</v>
      </c>
      <c r="P80" s="26">
        <f>L80-1</f>
        <v>6</v>
      </c>
      <c r="S80" s="1" t="s">
        <v>619</v>
      </c>
      <c r="T80" t="str">
        <f>T78</f>
        <v>black/red</v>
      </c>
    </row>
    <row r="81" spans="1:20" x14ac:dyDescent="0.25">
      <c r="A81" s="23"/>
      <c r="B81" s="23" t="s">
        <v>512</v>
      </c>
      <c r="C81" t="s">
        <v>575</v>
      </c>
      <c r="D81" s="1">
        <v>2</v>
      </c>
      <c r="E81" s="28" t="str">
        <f>S81&amp;"["&amp;T81&amp;"]"</f>
        <v>Clausel[yellow/darkblue]</v>
      </c>
      <c r="F81" s="27" t="s">
        <v>632</v>
      </c>
      <c r="G81" s="26">
        <v>4</v>
      </c>
      <c r="H81" s="26">
        <v>2</v>
      </c>
      <c r="I81" s="26"/>
      <c r="J81" s="26"/>
      <c r="K81" s="26"/>
      <c r="L81" s="26"/>
      <c r="N81" s="26"/>
      <c r="S81" s="1" t="s">
        <v>618</v>
      </c>
      <c r="T81" t="s">
        <v>720</v>
      </c>
    </row>
    <row r="82" spans="1:20" x14ac:dyDescent="0.25">
      <c r="A82" s="23"/>
      <c r="B82" s="23" t="s">
        <v>521</v>
      </c>
      <c r="C82" t="s">
        <v>576</v>
      </c>
      <c r="D82" s="1" t="str">
        <f>S82&amp;"["&amp;T82&amp;"]"</f>
        <v>I/Berlier[yellow/darkblue]</v>
      </c>
      <c r="E82" s="1"/>
      <c r="G82" s="14" t="s">
        <v>522</v>
      </c>
      <c r="I82" s="26"/>
      <c r="J82" s="26">
        <v>4</v>
      </c>
      <c r="K82" s="26">
        <v>4</v>
      </c>
      <c r="L82" s="26">
        <v>4</v>
      </c>
      <c r="M82" s="26">
        <v>4</v>
      </c>
      <c r="N82" s="26">
        <f t="shared" ref="N82:P85" si="8">J82-1</f>
        <v>3</v>
      </c>
      <c r="O82" s="26">
        <f t="shared" si="8"/>
        <v>3</v>
      </c>
      <c r="P82" s="26">
        <f t="shared" si="8"/>
        <v>3</v>
      </c>
      <c r="S82" s="28" t="s">
        <v>732</v>
      </c>
      <c r="T82" t="str">
        <f t="shared" si="7"/>
        <v>yellow/darkblue</v>
      </c>
    </row>
    <row r="83" spans="1:20" x14ac:dyDescent="0.25">
      <c r="A83" s="23"/>
      <c r="B83" s="23" t="s">
        <v>521</v>
      </c>
      <c r="C83" t="s">
        <v>576</v>
      </c>
      <c r="D83" s="1" t="str">
        <f>S83&amp;"["&amp;T83&amp;"]"</f>
        <v>II/Berlier[yellow/darkblue]</v>
      </c>
      <c r="E83" s="1"/>
      <c r="G83" s="14" t="s">
        <v>522</v>
      </c>
      <c r="I83" s="26"/>
      <c r="J83" s="26">
        <v>4</v>
      </c>
      <c r="K83" s="26">
        <v>4</v>
      </c>
      <c r="L83" s="26">
        <v>4</v>
      </c>
      <c r="M83" s="26">
        <v>4</v>
      </c>
      <c r="N83" s="26">
        <f t="shared" si="8"/>
        <v>3</v>
      </c>
      <c r="O83" s="26">
        <f t="shared" si="8"/>
        <v>3</v>
      </c>
      <c r="P83" s="26">
        <f t="shared" si="8"/>
        <v>3</v>
      </c>
      <c r="S83" s="28" t="s">
        <v>733</v>
      </c>
      <c r="T83" t="str">
        <f>T81</f>
        <v>yellow/darkblue</v>
      </c>
    </row>
    <row r="84" spans="1:20" x14ac:dyDescent="0.25">
      <c r="A84" s="23"/>
      <c r="B84" s="23" t="s">
        <v>521</v>
      </c>
      <c r="C84" t="s">
        <v>576</v>
      </c>
      <c r="D84" s="1" t="str">
        <f>S84&amp;"["&amp;T84&amp;"]"</f>
        <v>I/Barbot[yellow/darkblue]</v>
      </c>
      <c r="E84" s="1"/>
      <c r="G84" s="14" t="s">
        <v>522</v>
      </c>
      <c r="I84" s="26"/>
      <c r="J84" s="26">
        <v>4</v>
      </c>
      <c r="K84" s="26">
        <v>4</v>
      </c>
      <c r="L84" s="26">
        <v>4</v>
      </c>
      <c r="M84" s="26">
        <v>4</v>
      </c>
      <c r="N84" s="26">
        <f t="shared" si="8"/>
        <v>3</v>
      </c>
      <c r="O84" s="26">
        <f t="shared" si="8"/>
        <v>3</v>
      </c>
      <c r="P84" s="26">
        <f t="shared" si="8"/>
        <v>3</v>
      </c>
      <c r="S84" s="28" t="s">
        <v>734</v>
      </c>
      <c r="T84" t="str">
        <f>T82</f>
        <v>yellow/darkblue</v>
      </c>
    </row>
    <row r="85" spans="1:20" x14ac:dyDescent="0.25">
      <c r="A85" s="23"/>
      <c r="B85" s="23" t="s">
        <v>521</v>
      </c>
      <c r="C85" t="s">
        <v>576</v>
      </c>
      <c r="D85" s="1" t="str">
        <f>S85&amp;"["&amp;T85&amp;"]"</f>
        <v>II/Barbot[yellow/darkblue]</v>
      </c>
      <c r="E85" s="1"/>
      <c r="G85" s="14" t="s">
        <v>522</v>
      </c>
      <c r="I85" s="26"/>
      <c r="J85" s="26">
        <v>1</v>
      </c>
      <c r="K85" s="26">
        <v>4</v>
      </c>
      <c r="L85" s="26">
        <v>4</v>
      </c>
      <c r="M85" s="26">
        <v>4</v>
      </c>
      <c r="N85" s="26">
        <f t="shared" si="8"/>
        <v>0</v>
      </c>
      <c r="O85" s="26">
        <f t="shared" si="8"/>
        <v>3</v>
      </c>
      <c r="P85" s="26">
        <f t="shared" si="8"/>
        <v>3</v>
      </c>
      <c r="S85" s="28" t="s">
        <v>735</v>
      </c>
      <c r="T85" t="str">
        <f>T83</f>
        <v>yellow/darkblue</v>
      </c>
    </row>
    <row r="86" spans="1:20" x14ac:dyDescent="0.25">
      <c r="A86" s="23"/>
      <c r="B86" s="23" t="s">
        <v>610</v>
      </c>
      <c r="C86" t="s">
        <v>576</v>
      </c>
      <c r="D86" s="1" t="str">
        <f>S86&amp;"["&amp;T86&amp;"]"</f>
        <v>Clausel[yellow/darkblue]</v>
      </c>
      <c r="E86" s="1"/>
      <c r="G86" s="14" t="s">
        <v>595</v>
      </c>
      <c r="H86" s="19" t="s">
        <v>611</v>
      </c>
      <c r="I86" s="26"/>
      <c r="J86" s="29" t="s">
        <v>636</v>
      </c>
      <c r="K86" s="26">
        <v>4</v>
      </c>
      <c r="L86" s="26">
        <v>7</v>
      </c>
      <c r="M86" s="30" t="s">
        <v>669</v>
      </c>
      <c r="N86" s="26">
        <v>0</v>
      </c>
      <c r="O86" s="26">
        <f>K86-1</f>
        <v>3</v>
      </c>
      <c r="P86" s="26">
        <f>L86-1</f>
        <v>6</v>
      </c>
      <c r="S86" s="1" t="s">
        <v>618</v>
      </c>
      <c r="T86" t="str">
        <f>T84</f>
        <v>yellow/darkblue</v>
      </c>
    </row>
    <row r="87" spans="1:20" x14ac:dyDescent="0.25">
      <c r="A87" s="23"/>
      <c r="B87" s="23" t="s">
        <v>512</v>
      </c>
      <c r="C87" t="s">
        <v>575</v>
      </c>
      <c r="D87" s="1">
        <v>3</v>
      </c>
      <c r="E87" s="28" t="str">
        <f>S87&amp;"["&amp;T87&amp;"]"</f>
        <v>Ferey[black/orange]</v>
      </c>
      <c r="F87" s="27" t="s">
        <v>632</v>
      </c>
      <c r="G87" s="26">
        <v>4</v>
      </c>
      <c r="H87" s="26">
        <v>2</v>
      </c>
      <c r="I87" s="26"/>
      <c r="J87" s="26"/>
      <c r="K87" s="26"/>
      <c r="L87" s="26"/>
      <c r="N87" s="26"/>
      <c r="S87" s="1" t="s">
        <v>620</v>
      </c>
      <c r="T87" t="s">
        <v>708</v>
      </c>
    </row>
    <row r="88" spans="1:20" x14ac:dyDescent="0.25">
      <c r="A88" s="23"/>
      <c r="B88" s="23" t="s">
        <v>521</v>
      </c>
      <c r="C88" t="s">
        <v>576</v>
      </c>
      <c r="D88" s="1" t="str">
        <f>S88&amp;"["&amp;T88&amp;"]"</f>
        <v>I/Menne[black/orange]</v>
      </c>
      <c r="E88" s="1"/>
      <c r="G88" s="14" t="s">
        <v>522</v>
      </c>
      <c r="I88" s="26"/>
      <c r="J88" s="26">
        <v>4</v>
      </c>
      <c r="K88" s="26">
        <v>4</v>
      </c>
      <c r="L88" s="26">
        <v>4</v>
      </c>
      <c r="M88" s="26">
        <v>4</v>
      </c>
      <c r="N88" s="26">
        <f t="shared" ref="N88:P91" si="9">J88-1</f>
        <v>3</v>
      </c>
      <c r="O88" s="26">
        <f t="shared" si="9"/>
        <v>3</v>
      </c>
      <c r="P88" s="26">
        <f t="shared" si="9"/>
        <v>3</v>
      </c>
      <c r="S88" s="28" t="s">
        <v>736</v>
      </c>
      <c r="T88" t="str">
        <f t="shared" si="7"/>
        <v>black/orange</v>
      </c>
    </row>
    <row r="89" spans="1:20" x14ac:dyDescent="0.25">
      <c r="A89" s="23"/>
      <c r="B89" s="23" t="s">
        <v>521</v>
      </c>
      <c r="C89" t="s">
        <v>576</v>
      </c>
      <c r="D89" s="1" t="str">
        <f>S89&amp;"["&amp;T89&amp;"]"</f>
        <v>II/Menne[black/orange]</v>
      </c>
      <c r="E89" s="1"/>
      <c r="G89" s="14" t="s">
        <v>522</v>
      </c>
      <c r="I89" s="26"/>
      <c r="J89" s="26">
        <v>3</v>
      </c>
      <c r="K89" s="26">
        <v>4</v>
      </c>
      <c r="L89" s="26">
        <v>4</v>
      </c>
      <c r="M89" s="26">
        <v>4</v>
      </c>
      <c r="N89" s="26">
        <f t="shared" si="9"/>
        <v>2</v>
      </c>
      <c r="O89" s="26">
        <f t="shared" si="9"/>
        <v>3</v>
      </c>
      <c r="P89" s="26">
        <f t="shared" si="9"/>
        <v>3</v>
      </c>
      <c r="S89" s="28" t="s">
        <v>737</v>
      </c>
      <c r="T89" t="str">
        <f>T87</f>
        <v>black/orange</v>
      </c>
    </row>
    <row r="90" spans="1:20" x14ac:dyDescent="0.25">
      <c r="A90" s="23"/>
      <c r="B90" s="23" t="s">
        <v>521</v>
      </c>
      <c r="C90" t="s">
        <v>576</v>
      </c>
      <c r="D90" s="1" t="str">
        <f>S90&amp;"["&amp;T90&amp;"]"</f>
        <v>I/Arnaud[black/orange]</v>
      </c>
      <c r="E90" s="1"/>
      <c r="G90" s="14" t="s">
        <v>522</v>
      </c>
      <c r="I90" s="26"/>
      <c r="J90" s="26">
        <v>4</v>
      </c>
      <c r="K90" s="26">
        <v>4</v>
      </c>
      <c r="L90" s="26">
        <v>4</v>
      </c>
      <c r="M90" s="26">
        <v>4</v>
      </c>
      <c r="N90" s="26">
        <f t="shared" si="9"/>
        <v>3</v>
      </c>
      <c r="O90" s="26">
        <f t="shared" si="9"/>
        <v>3</v>
      </c>
      <c r="P90" s="26">
        <f t="shared" si="9"/>
        <v>3</v>
      </c>
      <c r="S90" s="28" t="s">
        <v>738</v>
      </c>
      <c r="T90" t="str">
        <f>T88</f>
        <v>black/orange</v>
      </c>
    </row>
    <row r="91" spans="1:20" x14ac:dyDescent="0.25">
      <c r="A91" s="23"/>
      <c r="B91" s="23" t="s">
        <v>521</v>
      </c>
      <c r="C91" t="s">
        <v>576</v>
      </c>
      <c r="D91" s="1" t="str">
        <f>S91&amp;"["&amp;T91&amp;"]"</f>
        <v>II/Arnaud[black/orange]</v>
      </c>
      <c r="E91" s="1"/>
      <c r="G91" s="14" t="s">
        <v>522</v>
      </c>
      <c r="I91" s="26"/>
      <c r="J91" s="26">
        <v>3</v>
      </c>
      <c r="K91" s="26">
        <v>4</v>
      </c>
      <c r="L91" s="26">
        <v>4</v>
      </c>
      <c r="M91" s="26">
        <v>4</v>
      </c>
      <c r="N91" s="26">
        <f t="shared" si="9"/>
        <v>2</v>
      </c>
      <c r="O91" s="26">
        <f t="shared" si="9"/>
        <v>3</v>
      </c>
      <c r="P91" s="26">
        <f t="shared" si="9"/>
        <v>3</v>
      </c>
      <c r="S91" s="28" t="s">
        <v>739</v>
      </c>
      <c r="T91" t="str">
        <f>T89</f>
        <v>black/orange</v>
      </c>
    </row>
    <row r="92" spans="1:20" x14ac:dyDescent="0.25">
      <c r="A92" s="23"/>
      <c r="B92" s="23" t="s">
        <v>610</v>
      </c>
      <c r="C92" t="s">
        <v>576</v>
      </c>
      <c r="D92" s="1" t="str">
        <f>S92&amp;"["&amp;T92&amp;"]"</f>
        <v>Ferey[black/orange]</v>
      </c>
      <c r="E92" s="1"/>
      <c r="G92" s="14" t="s">
        <v>595</v>
      </c>
      <c r="H92" s="19" t="s">
        <v>611</v>
      </c>
      <c r="I92" s="26"/>
      <c r="J92" s="29" t="s">
        <v>636</v>
      </c>
      <c r="K92" s="26">
        <v>4</v>
      </c>
      <c r="L92" s="26">
        <v>7</v>
      </c>
      <c r="M92" s="30" t="s">
        <v>669</v>
      </c>
      <c r="N92" s="26">
        <v>0</v>
      </c>
      <c r="O92" s="26">
        <f>K92-1</f>
        <v>3</v>
      </c>
      <c r="P92" s="26">
        <f>L92-1</f>
        <v>6</v>
      </c>
      <c r="S92" s="1" t="s">
        <v>620</v>
      </c>
      <c r="T92" t="str">
        <f>T90</f>
        <v>black/orange</v>
      </c>
    </row>
    <row r="93" spans="1:20" x14ac:dyDescent="0.25">
      <c r="A93" s="23"/>
      <c r="B93" s="23" t="s">
        <v>512</v>
      </c>
      <c r="C93" t="s">
        <v>575</v>
      </c>
      <c r="D93" s="1">
        <v>4</v>
      </c>
      <c r="E93" s="28" t="str">
        <f>S93&amp;"["&amp;T93&amp;"]"</f>
        <v>Sarrut[black/lt_green]</v>
      </c>
      <c r="F93" s="27" t="s">
        <v>632</v>
      </c>
      <c r="G93" s="26">
        <v>3</v>
      </c>
      <c r="H93" s="26">
        <v>2</v>
      </c>
      <c r="I93" s="26"/>
      <c r="J93" s="26"/>
      <c r="K93" s="26"/>
      <c r="L93" s="26"/>
      <c r="N93" s="26"/>
      <c r="S93" s="1" t="s">
        <v>621</v>
      </c>
      <c r="T93" t="s">
        <v>665</v>
      </c>
    </row>
    <row r="94" spans="1:20" x14ac:dyDescent="0.25">
      <c r="A94" s="23"/>
      <c r="B94" s="23" t="s">
        <v>521</v>
      </c>
      <c r="C94" t="s">
        <v>576</v>
      </c>
      <c r="D94" s="1" t="str">
        <f>S94&amp;"["&amp;T94&amp;"]"</f>
        <v>I/Fririon[black/lt_green]</v>
      </c>
      <c r="E94" s="1"/>
      <c r="G94" s="14" t="s">
        <v>522</v>
      </c>
      <c r="I94" s="26"/>
      <c r="J94" s="26">
        <v>5</v>
      </c>
      <c r="K94" s="26">
        <v>5</v>
      </c>
      <c r="L94" s="26">
        <v>4</v>
      </c>
      <c r="M94" s="26">
        <v>5</v>
      </c>
      <c r="N94" s="26">
        <f t="shared" ref="N94:P96" si="10">J94-1</f>
        <v>4</v>
      </c>
      <c r="O94" s="26">
        <f t="shared" si="10"/>
        <v>4</v>
      </c>
      <c r="P94" s="26">
        <f t="shared" si="10"/>
        <v>3</v>
      </c>
      <c r="S94" s="28" t="s">
        <v>740</v>
      </c>
      <c r="T94" t="str">
        <f t="shared" si="7"/>
        <v>black/lt_green</v>
      </c>
    </row>
    <row r="95" spans="1:20" x14ac:dyDescent="0.25">
      <c r="A95" s="23"/>
      <c r="B95" s="23" t="s">
        <v>521</v>
      </c>
      <c r="C95" t="s">
        <v>576</v>
      </c>
      <c r="D95" s="1" t="str">
        <f>S95&amp;"["&amp;T95&amp;"]"</f>
        <v>II/Fririon[black/lt_green]</v>
      </c>
      <c r="E95" s="1"/>
      <c r="G95" s="14" t="s">
        <v>522</v>
      </c>
      <c r="I95" s="26"/>
      <c r="J95" s="26">
        <v>4</v>
      </c>
      <c r="K95" s="26">
        <v>5</v>
      </c>
      <c r="L95" s="26">
        <v>4</v>
      </c>
      <c r="M95" s="26">
        <v>5</v>
      </c>
      <c r="N95" s="26">
        <f t="shared" si="10"/>
        <v>3</v>
      </c>
      <c r="O95" s="26">
        <f t="shared" si="10"/>
        <v>4</v>
      </c>
      <c r="P95" s="26">
        <f t="shared" si="10"/>
        <v>3</v>
      </c>
      <c r="S95" s="28" t="s">
        <v>741</v>
      </c>
      <c r="T95" t="str">
        <f>T93</f>
        <v>black/lt_green</v>
      </c>
    </row>
    <row r="96" spans="1:20" x14ac:dyDescent="0.25">
      <c r="A96" s="23"/>
      <c r="B96" s="23" t="s">
        <v>521</v>
      </c>
      <c r="C96" t="s">
        <v>576</v>
      </c>
      <c r="D96" s="1" t="str">
        <f>S96&amp;"["&amp;T96&amp;"]"</f>
        <v>2nd Bgde[black/lt_green]</v>
      </c>
      <c r="E96" s="1"/>
      <c r="G96" s="14" t="s">
        <v>522</v>
      </c>
      <c r="I96" s="26"/>
      <c r="J96" s="26">
        <v>3</v>
      </c>
      <c r="K96" s="26">
        <v>4</v>
      </c>
      <c r="L96" s="26">
        <v>4</v>
      </c>
      <c r="M96" s="26">
        <v>4</v>
      </c>
      <c r="N96" s="26">
        <f t="shared" si="10"/>
        <v>2</v>
      </c>
      <c r="O96" s="26">
        <f t="shared" si="10"/>
        <v>3</v>
      </c>
      <c r="P96" s="26">
        <f t="shared" si="10"/>
        <v>3</v>
      </c>
      <c r="S96" s="28" t="s">
        <v>728</v>
      </c>
      <c r="T96" t="str">
        <f t="shared" si="7"/>
        <v>black/lt_green</v>
      </c>
    </row>
    <row r="97" spans="1:20" x14ac:dyDescent="0.25">
      <c r="A97" s="23"/>
      <c r="B97" s="23" t="s">
        <v>592</v>
      </c>
      <c r="C97" t="s">
        <v>576</v>
      </c>
      <c r="D97" s="1" t="str">
        <f>S97&amp;"["&amp;T97&amp;"]"</f>
        <v>Sarrut[black/lt_green]</v>
      </c>
      <c r="E97" s="1"/>
      <c r="G97" s="14" t="s">
        <v>595</v>
      </c>
      <c r="H97" s="19"/>
      <c r="I97" s="26"/>
      <c r="J97" s="29" t="s">
        <v>636</v>
      </c>
      <c r="K97" s="26">
        <v>4</v>
      </c>
      <c r="L97" s="26">
        <v>7</v>
      </c>
      <c r="M97" s="30" t="s">
        <v>669</v>
      </c>
      <c r="N97" s="26">
        <v>0</v>
      </c>
      <c r="O97" s="26">
        <f>K97-1</f>
        <v>3</v>
      </c>
      <c r="P97" s="26">
        <f>L97-1</f>
        <v>6</v>
      </c>
      <c r="S97" s="1" t="s">
        <v>621</v>
      </c>
      <c r="T97" t="str">
        <f>T95</f>
        <v>black/lt_green</v>
      </c>
    </row>
    <row r="98" spans="1:20" x14ac:dyDescent="0.25">
      <c r="A98" s="23"/>
      <c r="B98" s="23" t="s">
        <v>512</v>
      </c>
      <c r="C98" t="s">
        <v>575</v>
      </c>
      <c r="D98" s="1">
        <v>5</v>
      </c>
      <c r="E98" s="28" t="str">
        <f>S98&amp;"["&amp;T98&amp;"]"</f>
        <v>Maucune[black/yellow]</v>
      </c>
      <c r="F98" s="27" t="s">
        <v>632</v>
      </c>
      <c r="G98" s="26">
        <v>3</v>
      </c>
      <c r="H98" s="26">
        <v>2</v>
      </c>
      <c r="I98" s="26"/>
      <c r="J98" s="26"/>
      <c r="K98" s="26"/>
      <c r="L98" s="26"/>
      <c r="N98" s="26"/>
      <c r="S98" s="1" t="s">
        <v>622</v>
      </c>
      <c r="T98" t="s">
        <v>658</v>
      </c>
    </row>
    <row r="99" spans="1:20" x14ac:dyDescent="0.25">
      <c r="A99" s="23"/>
      <c r="B99" s="23" t="s">
        <v>521</v>
      </c>
      <c r="C99" t="s">
        <v>576</v>
      </c>
      <c r="D99" s="1" t="str">
        <f>S99&amp;"["&amp;T99&amp;"]"</f>
        <v>I/Arnaud[black/yellow]</v>
      </c>
      <c r="E99" s="1"/>
      <c r="G99" s="14" t="s">
        <v>522</v>
      </c>
      <c r="I99" s="26"/>
      <c r="J99" s="26">
        <v>4</v>
      </c>
      <c r="K99" s="26">
        <v>4</v>
      </c>
      <c r="L99" s="26">
        <v>4</v>
      </c>
      <c r="M99" s="26">
        <v>4</v>
      </c>
      <c r="N99" s="26">
        <f t="shared" ref="N99:P102" si="11">J99-1</f>
        <v>3</v>
      </c>
      <c r="O99" s="26">
        <f t="shared" si="11"/>
        <v>3</v>
      </c>
      <c r="P99" s="26">
        <f t="shared" si="11"/>
        <v>3</v>
      </c>
      <c r="S99" s="28" t="s">
        <v>738</v>
      </c>
      <c r="T99" t="str">
        <f t="shared" si="7"/>
        <v>black/yellow</v>
      </c>
    </row>
    <row r="100" spans="1:20" x14ac:dyDescent="0.25">
      <c r="A100" s="23"/>
      <c r="B100" s="23" t="s">
        <v>521</v>
      </c>
      <c r="C100" t="s">
        <v>576</v>
      </c>
      <c r="D100" s="1" t="str">
        <f>S100&amp;"["&amp;T100&amp;"]"</f>
        <v>II/Arnaud[black/yellow]</v>
      </c>
      <c r="E100" s="1"/>
      <c r="G100" s="14" t="s">
        <v>522</v>
      </c>
      <c r="I100" s="26"/>
      <c r="J100" s="26">
        <v>3</v>
      </c>
      <c r="K100" s="26">
        <v>4</v>
      </c>
      <c r="L100" s="26">
        <v>4</v>
      </c>
      <c r="M100" s="26">
        <v>4</v>
      </c>
      <c r="N100" s="26">
        <f t="shared" si="11"/>
        <v>2</v>
      </c>
      <c r="O100" s="26">
        <f t="shared" si="11"/>
        <v>3</v>
      </c>
      <c r="P100" s="26">
        <f t="shared" si="11"/>
        <v>3</v>
      </c>
      <c r="S100" s="28" t="s">
        <v>739</v>
      </c>
      <c r="T100" t="str">
        <f>T98</f>
        <v>black/yellow</v>
      </c>
    </row>
    <row r="101" spans="1:20" x14ac:dyDescent="0.25">
      <c r="A101" s="23"/>
      <c r="B101" s="23" t="s">
        <v>521</v>
      </c>
      <c r="C101" t="s">
        <v>576</v>
      </c>
      <c r="D101" s="1" t="str">
        <f>S101&amp;"["&amp;T101&amp;"]"</f>
        <v>I/Montfort[black/yellow]</v>
      </c>
      <c r="E101" s="1"/>
      <c r="G101" s="14" t="s">
        <v>522</v>
      </c>
      <c r="I101" s="26"/>
      <c r="J101" s="26">
        <v>3</v>
      </c>
      <c r="K101" s="26">
        <v>4</v>
      </c>
      <c r="L101" s="26">
        <v>4</v>
      </c>
      <c r="M101" s="26">
        <v>4</v>
      </c>
      <c r="N101" s="26">
        <f t="shared" si="11"/>
        <v>2</v>
      </c>
      <c r="O101" s="26">
        <f t="shared" si="11"/>
        <v>3</v>
      </c>
      <c r="P101" s="26">
        <f t="shared" si="11"/>
        <v>3</v>
      </c>
      <c r="S101" s="28" t="s">
        <v>742</v>
      </c>
      <c r="T101" t="str">
        <f>T99</f>
        <v>black/yellow</v>
      </c>
    </row>
    <row r="102" spans="1:20" x14ac:dyDescent="0.25">
      <c r="A102" s="23"/>
      <c r="B102" s="23" t="s">
        <v>521</v>
      </c>
      <c r="C102" t="s">
        <v>576</v>
      </c>
      <c r="D102" s="1" t="str">
        <f>S102&amp;"["&amp;T102&amp;"]"</f>
        <v>II/Montfort[black/yellow]</v>
      </c>
      <c r="E102" s="1"/>
      <c r="G102" s="14" t="s">
        <v>522</v>
      </c>
      <c r="I102" s="26"/>
      <c r="J102" s="26">
        <v>3</v>
      </c>
      <c r="K102" s="26">
        <v>4</v>
      </c>
      <c r="L102" s="26">
        <v>4</v>
      </c>
      <c r="M102" s="26">
        <v>4</v>
      </c>
      <c r="N102" s="26">
        <f t="shared" si="11"/>
        <v>2</v>
      </c>
      <c r="O102" s="26">
        <f t="shared" si="11"/>
        <v>3</v>
      </c>
      <c r="P102" s="26">
        <f t="shared" si="11"/>
        <v>3</v>
      </c>
      <c r="S102" s="28" t="s">
        <v>743</v>
      </c>
      <c r="T102" t="str">
        <f>T100</f>
        <v>black/yellow</v>
      </c>
    </row>
    <row r="103" spans="1:20" x14ac:dyDescent="0.25">
      <c r="A103" s="23"/>
      <c r="B103" s="23" t="s">
        <v>592</v>
      </c>
      <c r="C103" t="s">
        <v>576</v>
      </c>
      <c r="D103" s="1" t="str">
        <f>S103&amp;"["&amp;T103&amp;"]"</f>
        <v>Maucune[black/yellow]</v>
      </c>
      <c r="E103" s="1"/>
      <c r="G103" s="14" t="s">
        <v>595</v>
      </c>
      <c r="H103" s="19"/>
      <c r="I103" s="26"/>
      <c r="J103" s="29" t="s">
        <v>636</v>
      </c>
      <c r="K103" s="26">
        <v>4</v>
      </c>
      <c r="L103" s="26">
        <v>7</v>
      </c>
      <c r="M103" s="30" t="s">
        <v>669</v>
      </c>
      <c r="N103" s="26">
        <v>0</v>
      </c>
      <c r="O103" s="26">
        <f>K103-1</f>
        <v>3</v>
      </c>
      <c r="P103" s="26">
        <f>L103-1</f>
        <v>6</v>
      </c>
      <c r="S103" s="1" t="s">
        <v>622</v>
      </c>
      <c r="T103" t="str">
        <f>T101</f>
        <v>black/yellow</v>
      </c>
    </row>
    <row r="104" spans="1:20" x14ac:dyDescent="0.25">
      <c r="A104" s="23"/>
      <c r="B104" s="23" t="s">
        <v>512</v>
      </c>
      <c r="C104" t="s">
        <v>575</v>
      </c>
      <c r="D104" s="1">
        <v>6</v>
      </c>
      <c r="E104" s="28" t="str">
        <f>S104&amp;"["&amp;T104&amp;"]"</f>
        <v>Brennier[black/pink]</v>
      </c>
      <c r="F104" s="27" t="s">
        <v>632</v>
      </c>
      <c r="G104" s="26">
        <v>3</v>
      </c>
      <c r="H104" s="26">
        <v>2</v>
      </c>
      <c r="I104" s="26"/>
      <c r="J104" s="26"/>
      <c r="K104" s="26"/>
      <c r="L104" s="26"/>
      <c r="N104" s="26"/>
      <c r="S104" s="1" t="s">
        <v>623</v>
      </c>
      <c r="T104" t="s">
        <v>709</v>
      </c>
    </row>
    <row r="105" spans="1:20" x14ac:dyDescent="0.25">
      <c r="A105" s="23"/>
      <c r="B105" s="23" t="s">
        <v>521</v>
      </c>
      <c r="C105" t="s">
        <v>576</v>
      </c>
      <c r="D105" s="1" t="str">
        <f>S105&amp;"["&amp;T105&amp;"]"</f>
        <v>I/Taupin[black/pink]</v>
      </c>
      <c r="E105" s="1"/>
      <c r="G105" s="14" t="s">
        <v>522</v>
      </c>
      <c r="I105" s="26"/>
      <c r="J105" s="26">
        <v>3</v>
      </c>
      <c r="K105" s="26">
        <v>5</v>
      </c>
      <c r="L105" s="26">
        <v>4</v>
      </c>
      <c r="M105" s="26">
        <v>5</v>
      </c>
      <c r="N105" s="26">
        <f t="shared" ref="N105:P107" si="12">J105-1</f>
        <v>2</v>
      </c>
      <c r="O105" s="26">
        <f t="shared" si="12"/>
        <v>4</v>
      </c>
      <c r="P105" s="26">
        <f t="shared" si="12"/>
        <v>3</v>
      </c>
      <c r="S105" s="28" t="s">
        <v>744</v>
      </c>
      <c r="T105" t="str">
        <f t="shared" si="7"/>
        <v>black/pink</v>
      </c>
    </row>
    <row r="106" spans="1:20" x14ac:dyDescent="0.25">
      <c r="A106" s="23"/>
      <c r="B106" s="23" t="s">
        <v>521</v>
      </c>
      <c r="C106" t="s">
        <v>576</v>
      </c>
      <c r="D106" s="1" t="str">
        <f>S106&amp;"["&amp;T106&amp;"]"</f>
        <v>II/Taupin[black/pink]</v>
      </c>
      <c r="E106" s="1"/>
      <c r="G106" s="14" t="s">
        <v>522</v>
      </c>
      <c r="I106" s="26"/>
      <c r="J106" s="26">
        <v>4</v>
      </c>
      <c r="K106" s="26">
        <v>5</v>
      </c>
      <c r="L106" s="26">
        <v>4</v>
      </c>
      <c r="M106" s="26">
        <v>5</v>
      </c>
      <c r="N106" s="26">
        <f t="shared" si="12"/>
        <v>3</v>
      </c>
      <c r="O106" s="26">
        <f t="shared" si="12"/>
        <v>4</v>
      </c>
      <c r="P106" s="26">
        <f t="shared" si="12"/>
        <v>3</v>
      </c>
      <c r="S106" s="28" t="s">
        <v>745</v>
      </c>
      <c r="T106" t="str">
        <f>T104</f>
        <v>black/pink</v>
      </c>
    </row>
    <row r="107" spans="1:20" x14ac:dyDescent="0.25">
      <c r="A107" s="23"/>
      <c r="B107" s="23" t="s">
        <v>521</v>
      </c>
      <c r="C107" t="s">
        <v>576</v>
      </c>
      <c r="D107" s="1" t="str">
        <f>S107&amp;"["&amp;T107&amp;"]"</f>
        <v>2nd Bgde[black/pink]</v>
      </c>
      <c r="E107" s="1"/>
      <c r="G107" s="14" t="s">
        <v>522</v>
      </c>
      <c r="I107" s="26"/>
      <c r="J107" s="26">
        <v>4</v>
      </c>
      <c r="K107" s="26">
        <v>4</v>
      </c>
      <c r="L107" s="26">
        <v>4</v>
      </c>
      <c r="M107" s="26">
        <v>4</v>
      </c>
      <c r="N107" s="26">
        <f t="shared" si="12"/>
        <v>3</v>
      </c>
      <c r="O107" s="26">
        <f t="shared" si="12"/>
        <v>3</v>
      </c>
      <c r="P107" s="26">
        <f t="shared" si="12"/>
        <v>3</v>
      </c>
      <c r="S107" s="28" t="s">
        <v>728</v>
      </c>
      <c r="T107" t="str">
        <f t="shared" si="7"/>
        <v>black/pink</v>
      </c>
    </row>
    <row r="108" spans="1:20" x14ac:dyDescent="0.25">
      <c r="A108" s="23"/>
      <c r="B108" s="23" t="s">
        <v>592</v>
      </c>
      <c r="C108" t="s">
        <v>576</v>
      </c>
      <c r="D108" s="1" t="str">
        <f>S108&amp;"["&amp;T108&amp;"]"</f>
        <v>Brennier[black/pink]</v>
      </c>
      <c r="E108" s="1"/>
      <c r="G108" s="14" t="s">
        <v>595</v>
      </c>
      <c r="H108" s="19"/>
      <c r="I108" s="26"/>
      <c r="J108" s="29" t="s">
        <v>636</v>
      </c>
      <c r="K108" s="26">
        <v>4</v>
      </c>
      <c r="L108" s="26">
        <v>7</v>
      </c>
      <c r="M108" s="30" t="s">
        <v>669</v>
      </c>
      <c r="N108" s="26">
        <v>0</v>
      </c>
      <c r="O108" s="26">
        <f>K108-1</f>
        <v>3</v>
      </c>
      <c r="P108" s="26">
        <f>L108-1</f>
        <v>6</v>
      </c>
      <c r="S108" s="1" t="s">
        <v>623</v>
      </c>
      <c r="T108" t="str">
        <f>T106</f>
        <v>black/pink</v>
      </c>
    </row>
    <row r="109" spans="1:20" x14ac:dyDescent="0.25">
      <c r="A109" s="23"/>
      <c r="B109" s="23" t="s">
        <v>512</v>
      </c>
      <c r="C109" t="s">
        <v>575</v>
      </c>
      <c r="D109" s="1">
        <v>7</v>
      </c>
      <c r="E109" s="28" t="str">
        <f>S109&amp;"["&amp;T109&amp;"]"</f>
        <v>Thomières[white/darkgreen]</v>
      </c>
      <c r="F109" s="27" t="s">
        <v>632</v>
      </c>
      <c r="G109" s="26">
        <v>3</v>
      </c>
      <c r="H109" s="26">
        <v>2</v>
      </c>
      <c r="I109" s="26"/>
      <c r="J109" s="26"/>
      <c r="K109" s="26"/>
      <c r="L109" s="26"/>
      <c r="N109" s="26"/>
      <c r="S109" s="1" t="s">
        <v>624</v>
      </c>
      <c r="T109" t="s">
        <v>710</v>
      </c>
    </row>
    <row r="110" spans="1:20" x14ac:dyDescent="0.25">
      <c r="A110" s="23"/>
      <c r="B110" s="23" t="s">
        <v>521</v>
      </c>
      <c r="C110" t="s">
        <v>576</v>
      </c>
      <c r="D110" s="1" t="str">
        <f>S110&amp;"["&amp;T110&amp;"]"</f>
        <v>I/Bonté[white/darkgreen]</v>
      </c>
      <c r="E110" s="1"/>
      <c r="G110" s="14" t="s">
        <v>522</v>
      </c>
      <c r="I110" s="26"/>
      <c r="J110" s="26">
        <v>4</v>
      </c>
      <c r="K110" s="26">
        <v>5</v>
      </c>
      <c r="L110" s="26">
        <v>4</v>
      </c>
      <c r="M110" s="26">
        <v>5</v>
      </c>
      <c r="N110" s="26">
        <f t="shared" ref="N110:P112" si="13">J110-1</f>
        <v>3</v>
      </c>
      <c r="O110" s="26">
        <f t="shared" si="13"/>
        <v>4</v>
      </c>
      <c r="P110" s="26">
        <f t="shared" si="13"/>
        <v>3</v>
      </c>
      <c r="S110" s="28" t="s">
        <v>746</v>
      </c>
      <c r="T110" t="str">
        <f t="shared" si="7"/>
        <v>white/darkgreen</v>
      </c>
    </row>
    <row r="111" spans="1:20" x14ac:dyDescent="0.25">
      <c r="A111" s="23"/>
      <c r="B111" s="23" t="s">
        <v>521</v>
      </c>
      <c r="C111" t="s">
        <v>576</v>
      </c>
      <c r="D111" s="1" t="str">
        <f>S111&amp;"["&amp;T111&amp;"]"</f>
        <v>II/Bonté[white/darkgreen]</v>
      </c>
      <c r="E111" s="1"/>
      <c r="G111" s="14" t="s">
        <v>522</v>
      </c>
      <c r="I111" s="26"/>
      <c r="J111" s="26">
        <v>3</v>
      </c>
      <c r="K111" s="26">
        <v>5</v>
      </c>
      <c r="L111" s="26">
        <v>4</v>
      </c>
      <c r="M111" s="26">
        <v>5</v>
      </c>
      <c r="N111" s="26">
        <f t="shared" si="13"/>
        <v>2</v>
      </c>
      <c r="O111" s="26">
        <f t="shared" si="13"/>
        <v>4</v>
      </c>
      <c r="P111" s="26">
        <f t="shared" si="13"/>
        <v>3</v>
      </c>
      <c r="S111" s="28" t="s">
        <v>747</v>
      </c>
      <c r="T111" t="str">
        <f>T109</f>
        <v>white/darkgreen</v>
      </c>
    </row>
    <row r="112" spans="1:20" x14ac:dyDescent="0.25">
      <c r="A112" s="23"/>
      <c r="B112" s="23" t="s">
        <v>521</v>
      </c>
      <c r="C112" t="s">
        <v>576</v>
      </c>
      <c r="D112" s="1" t="str">
        <f>S112&amp;"["&amp;T112&amp;"]"</f>
        <v>2nd Bgde[white/darkgreen]</v>
      </c>
      <c r="E112" s="1"/>
      <c r="G112" s="14" t="s">
        <v>522</v>
      </c>
      <c r="I112" s="26"/>
      <c r="J112" s="26">
        <v>4</v>
      </c>
      <c r="K112" s="26">
        <v>5</v>
      </c>
      <c r="L112" s="26">
        <v>4</v>
      </c>
      <c r="M112" s="26">
        <v>5</v>
      </c>
      <c r="N112" s="26">
        <f t="shared" si="13"/>
        <v>3</v>
      </c>
      <c r="O112" s="26">
        <f t="shared" si="13"/>
        <v>4</v>
      </c>
      <c r="P112" s="26">
        <f t="shared" si="13"/>
        <v>3</v>
      </c>
      <c r="S112" s="28" t="s">
        <v>728</v>
      </c>
      <c r="T112" t="str">
        <f t="shared" si="7"/>
        <v>white/darkgreen</v>
      </c>
    </row>
    <row r="113" spans="1:20" x14ac:dyDescent="0.25">
      <c r="A113" s="23"/>
      <c r="B113" s="23" t="s">
        <v>592</v>
      </c>
      <c r="C113" t="s">
        <v>576</v>
      </c>
      <c r="D113" s="1" t="str">
        <f>S113&amp;"["&amp;T113&amp;"]"</f>
        <v>Thomières[white/darkgreen]</v>
      </c>
      <c r="E113" s="1"/>
      <c r="G113" s="14" t="s">
        <v>595</v>
      </c>
      <c r="H113" s="19"/>
      <c r="I113" s="26"/>
      <c r="J113" s="29" t="s">
        <v>636</v>
      </c>
      <c r="K113" s="26">
        <v>4</v>
      </c>
      <c r="L113" s="26">
        <v>7</v>
      </c>
      <c r="M113" s="30" t="s">
        <v>669</v>
      </c>
      <c r="N113" s="26">
        <v>0</v>
      </c>
      <c r="O113" s="26">
        <f>K113-1</f>
        <v>3</v>
      </c>
      <c r="P113" s="26">
        <f>L113-1</f>
        <v>6</v>
      </c>
      <c r="S113" s="1" t="s">
        <v>624</v>
      </c>
      <c r="T113" t="str">
        <f>T111</f>
        <v>white/darkgreen</v>
      </c>
    </row>
    <row r="114" spans="1:20" x14ac:dyDescent="0.25">
      <c r="A114" s="23"/>
      <c r="B114" s="23" t="s">
        <v>512</v>
      </c>
      <c r="C114" t="s">
        <v>575</v>
      </c>
      <c r="D114" s="1">
        <v>8</v>
      </c>
      <c r="E114" s="28" t="str">
        <f>S114&amp;"["&amp;T114&amp;"]"</f>
        <v>Bonnet[white/indigo]</v>
      </c>
      <c r="F114" s="27" t="s">
        <v>632</v>
      </c>
      <c r="G114" s="26">
        <v>3</v>
      </c>
      <c r="H114" s="26">
        <v>2</v>
      </c>
      <c r="I114" s="26"/>
      <c r="J114" s="26"/>
      <c r="K114" s="26"/>
      <c r="L114" s="26"/>
      <c r="N114" s="26"/>
      <c r="S114" s="1" t="s">
        <v>625</v>
      </c>
      <c r="T114" t="s">
        <v>666</v>
      </c>
    </row>
    <row r="115" spans="1:20" x14ac:dyDescent="0.25">
      <c r="A115" s="23"/>
      <c r="B115" s="23" t="s">
        <v>521</v>
      </c>
      <c r="C115" t="s">
        <v>576</v>
      </c>
      <c r="D115" s="1" t="str">
        <f>S115&amp;"["&amp;T115&amp;"]"</f>
        <v>I/Gautier[white/indigo]</v>
      </c>
      <c r="E115" s="1"/>
      <c r="G115" s="14" t="s">
        <v>522</v>
      </c>
      <c r="I115" s="26"/>
      <c r="J115" s="26">
        <v>4</v>
      </c>
      <c r="K115" s="26">
        <v>4</v>
      </c>
      <c r="L115" s="26">
        <v>4</v>
      </c>
      <c r="M115" s="26">
        <v>4</v>
      </c>
      <c r="N115" s="26">
        <f t="shared" ref="N115:P118" si="14">J115-1</f>
        <v>3</v>
      </c>
      <c r="O115" s="26">
        <f t="shared" si="14"/>
        <v>3</v>
      </c>
      <c r="P115" s="26">
        <f t="shared" si="14"/>
        <v>3</v>
      </c>
      <c r="S115" s="28" t="s">
        <v>748</v>
      </c>
      <c r="T115" t="str">
        <f t="shared" si="7"/>
        <v>white/indigo</v>
      </c>
    </row>
    <row r="116" spans="1:20" x14ac:dyDescent="0.25">
      <c r="A116" s="23"/>
      <c r="B116" s="23" t="s">
        <v>521</v>
      </c>
      <c r="C116" t="s">
        <v>576</v>
      </c>
      <c r="D116" s="1" t="str">
        <f>S116&amp;"["&amp;T116&amp;"]"</f>
        <v>II/Gautier[white/indigo]</v>
      </c>
      <c r="E116" s="1"/>
      <c r="G116" s="14" t="s">
        <v>522</v>
      </c>
      <c r="I116" s="26"/>
      <c r="J116" s="26">
        <v>3</v>
      </c>
      <c r="K116" s="26">
        <v>4</v>
      </c>
      <c r="L116" s="26">
        <v>4</v>
      </c>
      <c r="M116" s="26">
        <v>4</v>
      </c>
      <c r="N116" s="26">
        <f t="shared" si="14"/>
        <v>2</v>
      </c>
      <c r="O116" s="26">
        <f t="shared" si="14"/>
        <v>3</v>
      </c>
      <c r="P116" s="26">
        <f t="shared" si="14"/>
        <v>3</v>
      </c>
      <c r="S116" s="28" t="s">
        <v>749</v>
      </c>
      <c r="T116" t="str">
        <f>T114</f>
        <v>white/indigo</v>
      </c>
    </row>
    <row r="117" spans="1:20" x14ac:dyDescent="0.25">
      <c r="A117" s="23"/>
      <c r="B117" s="23" t="s">
        <v>521</v>
      </c>
      <c r="C117" t="s">
        <v>576</v>
      </c>
      <c r="D117" s="1" t="str">
        <f>S117&amp;"["&amp;T117&amp;"]"</f>
        <v>I/2nd Bgde[white/indigo]</v>
      </c>
      <c r="E117" s="1"/>
      <c r="G117" s="14" t="s">
        <v>522</v>
      </c>
      <c r="I117" s="26"/>
      <c r="J117" s="26">
        <v>5</v>
      </c>
      <c r="K117" s="26">
        <v>4</v>
      </c>
      <c r="L117" s="26">
        <v>4</v>
      </c>
      <c r="M117" s="26">
        <v>4</v>
      </c>
      <c r="N117" s="26">
        <f t="shared" si="14"/>
        <v>4</v>
      </c>
      <c r="O117" s="26">
        <f t="shared" si="14"/>
        <v>3</v>
      </c>
      <c r="P117" s="26">
        <f t="shared" si="14"/>
        <v>3</v>
      </c>
      <c r="S117" s="28" t="s">
        <v>729</v>
      </c>
      <c r="T117" t="str">
        <f>T115</f>
        <v>white/indigo</v>
      </c>
    </row>
    <row r="118" spans="1:20" x14ac:dyDescent="0.25">
      <c r="A118" s="23"/>
      <c r="B118" s="23" t="s">
        <v>521</v>
      </c>
      <c r="C118" t="s">
        <v>576</v>
      </c>
      <c r="D118" s="1" t="str">
        <f>S118&amp;"["&amp;T118&amp;"]"</f>
        <v>II/2nd Bgde[white/indigo]</v>
      </c>
      <c r="E118" s="1"/>
      <c r="G118" s="14" t="s">
        <v>522</v>
      </c>
      <c r="I118" s="26"/>
      <c r="J118" s="26">
        <v>4</v>
      </c>
      <c r="K118" s="26">
        <v>4</v>
      </c>
      <c r="L118" s="26">
        <v>4</v>
      </c>
      <c r="M118" s="26">
        <v>4</v>
      </c>
      <c r="N118" s="26">
        <f t="shared" si="14"/>
        <v>3</v>
      </c>
      <c r="O118" s="26">
        <f t="shared" si="14"/>
        <v>3</v>
      </c>
      <c r="P118" s="26">
        <f t="shared" si="14"/>
        <v>3</v>
      </c>
      <c r="S118" s="28" t="s">
        <v>730</v>
      </c>
      <c r="T118" t="str">
        <f>T116</f>
        <v>white/indigo</v>
      </c>
    </row>
    <row r="119" spans="1:20" x14ac:dyDescent="0.25">
      <c r="A119" s="23"/>
      <c r="B119" s="23" t="s">
        <v>592</v>
      </c>
      <c r="C119" t="s">
        <v>576</v>
      </c>
      <c r="D119" s="1" t="str">
        <f>S119&amp;"["&amp;T119&amp;"]"</f>
        <v>Bonnet[white/indigo]</v>
      </c>
      <c r="E119" s="1"/>
      <c r="G119" s="14" t="s">
        <v>595</v>
      </c>
      <c r="I119" s="26"/>
      <c r="J119" s="29" t="s">
        <v>635</v>
      </c>
      <c r="K119" s="26">
        <v>6</v>
      </c>
      <c r="L119" s="26">
        <v>6</v>
      </c>
      <c r="M119" s="21" t="s">
        <v>524</v>
      </c>
      <c r="N119" s="26">
        <v>0</v>
      </c>
      <c r="O119" s="26">
        <f>K119-1</f>
        <v>5</v>
      </c>
      <c r="P119" s="26">
        <f>L119-1</f>
        <v>5</v>
      </c>
      <c r="S119" s="28" t="s">
        <v>625</v>
      </c>
      <c r="T119" t="str">
        <f t="shared" si="7"/>
        <v>white/indigo</v>
      </c>
    </row>
    <row r="120" spans="1:20" x14ac:dyDescent="0.25">
      <c r="A120" s="23"/>
      <c r="B120" s="23" t="s">
        <v>512</v>
      </c>
      <c r="C120" t="s">
        <v>575</v>
      </c>
      <c r="D120" s="1" t="s">
        <v>713</v>
      </c>
      <c r="E120" s="28" t="str">
        <f>S120&amp;"["&amp;T120&amp;"]"</f>
        <v>Curto[yellow/brown]</v>
      </c>
      <c r="F120" s="27" t="s">
        <v>632</v>
      </c>
      <c r="G120" s="26">
        <v>3</v>
      </c>
      <c r="H120" s="26">
        <v>2</v>
      </c>
      <c r="I120" s="26"/>
      <c r="J120" s="26"/>
      <c r="K120" s="26"/>
      <c r="L120" s="26"/>
      <c r="N120" s="26"/>
      <c r="S120" s="1" t="s">
        <v>626</v>
      </c>
      <c r="T120" t="s">
        <v>711</v>
      </c>
    </row>
    <row r="121" spans="1:20" x14ac:dyDescent="0.25">
      <c r="A121" s="23"/>
      <c r="B121" s="23" t="s">
        <v>519</v>
      </c>
      <c r="C121" t="s">
        <v>576</v>
      </c>
      <c r="D121" s="1" t="str">
        <f>S121&amp;"["&amp;T121&amp;"]"</f>
        <v>1st Bgde[yellow/brown]</v>
      </c>
      <c r="E121" s="1"/>
      <c r="G121" s="14" t="s">
        <v>520</v>
      </c>
      <c r="I121" s="26"/>
      <c r="J121" s="26">
        <v>3</v>
      </c>
      <c r="K121" s="26">
        <v>4</v>
      </c>
      <c r="L121" s="26">
        <v>7</v>
      </c>
      <c r="M121" s="26">
        <v>5</v>
      </c>
      <c r="N121" s="26">
        <f t="shared" ref="N121:P122" si="15">J121-1</f>
        <v>2</v>
      </c>
      <c r="O121" s="26">
        <f t="shared" si="15"/>
        <v>3</v>
      </c>
      <c r="P121" s="26">
        <f t="shared" si="15"/>
        <v>6</v>
      </c>
      <c r="S121" s="28" t="s">
        <v>731</v>
      </c>
      <c r="T121" t="str">
        <f t="shared" si="7"/>
        <v>yellow/brown</v>
      </c>
    </row>
    <row r="122" spans="1:20" x14ac:dyDescent="0.25">
      <c r="A122" s="23"/>
      <c r="B122" s="23" t="s">
        <v>519</v>
      </c>
      <c r="C122" t="s">
        <v>576</v>
      </c>
      <c r="D122" s="1" t="str">
        <f>S122&amp;"["&amp;T122&amp;"]"</f>
        <v>2nd Bgde[yellow/brown]</v>
      </c>
      <c r="E122" s="1"/>
      <c r="G122" s="14" t="s">
        <v>520</v>
      </c>
      <c r="I122" s="26"/>
      <c r="J122" s="26">
        <v>3</v>
      </c>
      <c r="K122" s="26">
        <v>4</v>
      </c>
      <c r="L122" s="26">
        <v>7</v>
      </c>
      <c r="M122" s="26">
        <v>5</v>
      </c>
      <c r="N122" s="26">
        <f t="shared" si="15"/>
        <v>2</v>
      </c>
      <c r="O122" s="26">
        <f t="shared" si="15"/>
        <v>3</v>
      </c>
      <c r="P122" s="26">
        <f t="shared" si="15"/>
        <v>6</v>
      </c>
      <c r="S122" s="28" t="s">
        <v>728</v>
      </c>
      <c r="T122" t="str">
        <f t="shared" si="7"/>
        <v>yellow/brown</v>
      </c>
    </row>
    <row r="123" spans="1:20" x14ac:dyDescent="0.25">
      <c r="A123" s="23"/>
      <c r="B123" s="23" t="s">
        <v>610</v>
      </c>
      <c r="C123" t="s">
        <v>576</v>
      </c>
      <c r="D123" s="1" t="str">
        <f>S123&amp;"["&amp;T123&amp;"]"</f>
        <v>Curto[yellow/brown]</v>
      </c>
      <c r="E123" s="1"/>
      <c r="G123" s="14" t="s">
        <v>595</v>
      </c>
      <c r="H123" s="19" t="s">
        <v>611</v>
      </c>
      <c r="I123" s="26"/>
      <c r="J123" s="29" t="s">
        <v>636</v>
      </c>
      <c r="K123" s="26">
        <v>4</v>
      </c>
      <c r="L123" s="26">
        <v>7</v>
      </c>
      <c r="M123" s="21" t="s">
        <v>669</v>
      </c>
      <c r="N123" s="26">
        <v>0</v>
      </c>
      <c r="O123" s="26">
        <f>K123-1</f>
        <v>3</v>
      </c>
      <c r="P123" s="26">
        <f>L123-1</f>
        <v>6</v>
      </c>
      <c r="S123" s="28" t="s">
        <v>626</v>
      </c>
      <c r="T123" t="str">
        <f t="shared" si="7"/>
        <v>yellow/brown</v>
      </c>
    </row>
    <row r="124" spans="1:20" x14ac:dyDescent="0.25">
      <c r="A124" s="23"/>
      <c r="B124" s="23" t="s">
        <v>512</v>
      </c>
      <c r="C124" t="s">
        <v>575</v>
      </c>
      <c r="D124" s="1" t="s">
        <v>714</v>
      </c>
      <c r="E124" s="28" t="str">
        <f>S124&amp;"["&amp;T124&amp;"]"</f>
        <v>Boyer[white/teal]</v>
      </c>
      <c r="F124" s="27" t="s">
        <v>632</v>
      </c>
      <c r="G124" s="26">
        <v>3</v>
      </c>
      <c r="H124" s="26">
        <v>2</v>
      </c>
      <c r="I124" s="26"/>
      <c r="J124" s="26"/>
      <c r="K124" s="26"/>
      <c r="L124" s="26"/>
      <c r="N124" s="26"/>
      <c r="S124" s="1" t="s">
        <v>627</v>
      </c>
      <c r="T124" s="23" t="s">
        <v>664</v>
      </c>
    </row>
    <row r="125" spans="1:20" x14ac:dyDescent="0.25">
      <c r="A125" s="23"/>
      <c r="B125" s="23" t="s">
        <v>519</v>
      </c>
      <c r="C125" t="s">
        <v>576</v>
      </c>
      <c r="D125" s="1" t="str">
        <f t="shared" ref="D125:D131" si="16">S125&amp;"["&amp;T125&amp;"]"</f>
        <v>1st Bgde[white/teal]</v>
      </c>
      <c r="E125" s="1"/>
      <c r="G125" s="14" t="s">
        <v>520</v>
      </c>
      <c r="I125" s="26" t="s">
        <v>634</v>
      </c>
      <c r="J125" s="26">
        <v>2</v>
      </c>
      <c r="K125" s="26">
        <v>5</v>
      </c>
      <c r="L125" s="26">
        <v>6</v>
      </c>
      <c r="M125" s="26">
        <v>5</v>
      </c>
      <c r="N125" s="26">
        <f t="shared" ref="N125:P126" si="17">J125-1</f>
        <v>1</v>
      </c>
      <c r="O125" s="26">
        <f t="shared" si="17"/>
        <v>4</v>
      </c>
      <c r="P125" s="26">
        <f t="shared" si="17"/>
        <v>5</v>
      </c>
      <c r="S125" s="28" t="s">
        <v>731</v>
      </c>
      <c r="T125" t="str">
        <f t="shared" si="7"/>
        <v>white/teal</v>
      </c>
    </row>
    <row r="126" spans="1:20" x14ac:dyDescent="0.25">
      <c r="A126" s="23"/>
      <c r="B126" s="23" t="s">
        <v>519</v>
      </c>
      <c r="C126" t="s">
        <v>576</v>
      </c>
      <c r="D126" s="1" t="str">
        <f t="shared" si="16"/>
        <v>Carrié[white/teal]</v>
      </c>
      <c r="E126" s="1"/>
      <c r="G126" s="14" t="s">
        <v>520</v>
      </c>
      <c r="I126" s="26" t="s">
        <v>634</v>
      </c>
      <c r="J126" s="26">
        <v>3</v>
      </c>
      <c r="K126" s="26">
        <v>5</v>
      </c>
      <c r="L126" s="26">
        <v>6</v>
      </c>
      <c r="M126" s="26">
        <v>5</v>
      </c>
      <c r="N126" s="26">
        <f t="shared" si="17"/>
        <v>2</v>
      </c>
      <c r="O126" s="26">
        <f t="shared" si="17"/>
        <v>4</v>
      </c>
      <c r="P126" s="26">
        <f t="shared" si="17"/>
        <v>5</v>
      </c>
      <c r="S126" s="1" t="s">
        <v>628</v>
      </c>
      <c r="T126" t="str">
        <f t="shared" si="7"/>
        <v>white/teal</v>
      </c>
    </row>
    <row r="127" spans="1:20" x14ac:dyDescent="0.25">
      <c r="A127" s="23"/>
      <c r="B127" s="23" t="s">
        <v>610</v>
      </c>
      <c r="C127" t="s">
        <v>576</v>
      </c>
      <c r="D127" s="1" t="str">
        <f t="shared" si="16"/>
        <v>Boyer[white/teal]</v>
      </c>
      <c r="E127" s="1"/>
      <c r="G127" s="14" t="s">
        <v>595</v>
      </c>
      <c r="H127" s="19" t="s">
        <v>611</v>
      </c>
      <c r="I127" s="26"/>
      <c r="J127" s="29" t="s">
        <v>636</v>
      </c>
      <c r="K127" s="26">
        <v>4</v>
      </c>
      <c r="L127" s="26">
        <v>7</v>
      </c>
      <c r="M127" s="21" t="s">
        <v>669</v>
      </c>
      <c r="N127" s="26">
        <v>0</v>
      </c>
      <c r="O127" s="26">
        <f t="shared" ref="O127:P131" si="18">K127-1</f>
        <v>3</v>
      </c>
      <c r="P127" s="26">
        <f t="shared" si="18"/>
        <v>6</v>
      </c>
      <c r="S127" s="28" t="s">
        <v>627</v>
      </c>
      <c r="T127" t="str">
        <f t="shared" si="7"/>
        <v>white/teal</v>
      </c>
    </row>
    <row r="128" spans="1:20" x14ac:dyDescent="0.25">
      <c r="A128" s="23"/>
      <c r="B128" s="23" t="s">
        <v>592</v>
      </c>
      <c r="C128" t="s">
        <v>576</v>
      </c>
      <c r="D128" s="1" t="str">
        <f t="shared" si="16"/>
        <v>I/Art.Res[white/black]</v>
      </c>
      <c r="E128" s="1"/>
      <c r="G128" s="14" t="s">
        <v>595</v>
      </c>
      <c r="I128" s="26"/>
      <c r="J128" s="29" t="s">
        <v>635</v>
      </c>
      <c r="K128" s="26">
        <v>5</v>
      </c>
      <c r="L128" s="26">
        <v>6</v>
      </c>
      <c r="M128" s="21" t="s">
        <v>524</v>
      </c>
      <c r="N128" s="26">
        <v>0</v>
      </c>
      <c r="O128" s="26">
        <f t="shared" si="18"/>
        <v>4</v>
      </c>
      <c r="P128" s="26">
        <f t="shared" si="18"/>
        <v>5</v>
      </c>
      <c r="S128" s="28" t="s">
        <v>832</v>
      </c>
      <c r="T128" t="s">
        <v>660</v>
      </c>
    </row>
    <row r="129" spans="1:20" x14ac:dyDescent="0.25">
      <c r="A129" s="23"/>
      <c r="B129" s="23" t="s">
        <v>592</v>
      </c>
      <c r="C129" t="s">
        <v>576</v>
      </c>
      <c r="D129" s="1" t="str">
        <f t="shared" si="16"/>
        <v>II/Art.Res[white/black]</v>
      </c>
      <c r="E129" s="1"/>
      <c r="G129" s="14" t="s">
        <v>595</v>
      </c>
      <c r="I129" s="26"/>
      <c r="J129" s="29" t="s">
        <v>635</v>
      </c>
      <c r="K129" s="26">
        <v>5</v>
      </c>
      <c r="L129" s="26">
        <v>6</v>
      </c>
      <c r="M129" s="21" t="s">
        <v>524</v>
      </c>
      <c r="N129" s="26">
        <v>0</v>
      </c>
      <c r="O129" s="26">
        <f t="shared" si="18"/>
        <v>4</v>
      </c>
      <c r="P129" s="26">
        <f t="shared" si="18"/>
        <v>5</v>
      </c>
      <c r="S129" s="28" t="s">
        <v>833</v>
      </c>
      <c r="T129" t="str">
        <f t="shared" si="7"/>
        <v>white/black</v>
      </c>
    </row>
    <row r="130" spans="1:20" x14ac:dyDescent="0.25">
      <c r="A130" s="23"/>
      <c r="B130" s="23" t="s">
        <v>592</v>
      </c>
      <c r="C130" t="s">
        <v>576</v>
      </c>
      <c r="D130" s="1" t="str">
        <f t="shared" si="16"/>
        <v>III/Art.Res[white/black]</v>
      </c>
      <c r="E130" s="1"/>
      <c r="G130" s="14" t="s">
        <v>595</v>
      </c>
      <c r="I130" s="26"/>
      <c r="J130" s="29" t="s">
        <v>635</v>
      </c>
      <c r="K130" s="26">
        <v>5</v>
      </c>
      <c r="L130" s="26">
        <v>6</v>
      </c>
      <c r="M130" s="21" t="s">
        <v>524</v>
      </c>
      <c r="N130" s="26">
        <v>0</v>
      </c>
      <c r="O130" s="26">
        <f t="shared" ref="O130" si="19">K130-1</f>
        <v>4</v>
      </c>
      <c r="P130" s="26">
        <f t="shared" ref="P130" si="20">L130-1</f>
        <v>5</v>
      </c>
      <c r="S130" s="28" t="s">
        <v>834</v>
      </c>
      <c r="T130" t="str">
        <f>T128</f>
        <v>white/black</v>
      </c>
    </row>
    <row r="131" spans="1:20" x14ac:dyDescent="0.25">
      <c r="A131" s="23"/>
      <c r="B131" s="23" t="s">
        <v>592</v>
      </c>
      <c r="C131" t="s">
        <v>576</v>
      </c>
      <c r="D131" s="1" t="str">
        <f t="shared" si="16"/>
        <v>IV/Art.Res[white/black]</v>
      </c>
      <c r="E131" s="1"/>
      <c r="G131" s="14" t="s">
        <v>595</v>
      </c>
      <c r="I131" s="26"/>
      <c r="J131" s="29" t="s">
        <v>635</v>
      </c>
      <c r="K131" s="26">
        <v>5</v>
      </c>
      <c r="L131" s="26">
        <v>6</v>
      </c>
      <c r="M131" s="21" t="s">
        <v>524</v>
      </c>
      <c r="N131" s="26">
        <v>0</v>
      </c>
      <c r="O131" s="26">
        <f t="shared" si="18"/>
        <v>4</v>
      </c>
      <c r="P131" s="26">
        <f t="shared" si="18"/>
        <v>5</v>
      </c>
      <c r="S131" s="28" t="s">
        <v>849</v>
      </c>
      <c r="T131" t="str">
        <f>T129</f>
        <v>white/black</v>
      </c>
    </row>
    <row r="132" spans="1:20" x14ac:dyDescent="0.25">
      <c r="I132" s="26"/>
    </row>
    <row r="133" spans="1:20" x14ac:dyDescent="0.25">
      <c r="A133" t="s">
        <v>715</v>
      </c>
      <c r="B133" t="s">
        <v>508</v>
      </c>
      <c r="C133" t="s">
        <v>509</v>
      </c>
      <c r="F133" s="1" t="s">
        <v>853</v>
      </c>
      <c r="G133" s="27" t="s">
        <v>577</v>
      </c>
      <c r="H133" s="26">
        <v>0</v>
      </c>
      <c r="I133" s="26">
        <v>2</v>
      </c>
      <c r="J133" s="26">
        <v>4</v>
      </c>
    </row>
    <row r="134" spans="1:20" x14ac:dyDescent="0.25">
      <c r="A134" t="s">
        <v>715</v>
      </c>
      <c r="B134" s="23" t="s">
        <v>512</v>
      </c>
      <c r="C134" t="s">
        <v>575</v>
      </c>
      <c r="D134" s="1" t="s">
        <v>854</v>
      </c>
      <c r="E134" s="28" t="str">
        <f>S134&amp;"["&amp;T134&amp;"]"</f>
        <v>Souham[white/orange]</v>
      </c>
      <c r="F134" s="27" t="s">
        <v>632</v>
      </c>
      <c r="G134" s="26" t="s">
        <v>532</v>
      </c>
      <c r="H134" s="26">
        <v>2</v>
      </c>
      <c r="I134" s="26"/>
      <c r="J134" s="26"/>
      <c r="K134" s="26"/>
      <c r="L134" s="26"/>
      <c r="N134" s="26"/>
      <c r="S134" s="1" t="s">
        <v>854</v>
      </c>
      <c r="T134" t="s">
        <v>855</v>
      </c>
    </row>
    <row r="135" spans="1:20" x14ac:dyDescent="0.25">
      <c r="A135" t="s">
        <v>715</v>
      </c>
      <c r="B135" s="23" t="s">
        <v>521</v>
      </c>
      <c r="C135" t="s">
        <v>576</v>
      </c>
      <c r="D135" s="1" t="str">
        <f>S135&amp;"["&amp;T135&amp;"]"</f>
        <v>1er Rgt Inf Leg[white/orange]</v>
      </c>
      <c r="E135" s="1"/>
      <c r="G135" s="14" t="s">
        <v>522</v>
      </c>
      <c r="I135" s="26"/>
      <c r="J135" s="26">
        <v>8</v>
      </c>
      <c r="K135" s="26">
        <v>5</v>
      </c>
      <c r="L135" s="26">
        <v>4</v>
      </c>
      <c r="M135" s="26">
        <v>5</v>
      </c>
      <c r="N135" s="26">
        <v>6</v>
      </c>
      <c r="O135" s="26">
        <f t="shared" ref="O135" si="21">K135-1</f>
        <v>4</v>
      </c>
      <c r="P135" s="26">
        <v>4</v>
      </c>
      <c r="S135" s="1" t="s">
        <v>856</v>
      </c>
      <c r="T135" t="str">
        <f t="shared" ref="T135" si="22">T134</f>
        <v>white/orange</v>
      </c>
    </row>
    <row r="136" spans="1:20" x14ac:dyDescent="0.25">
      <c r="I136" s="26"/>
    </row>
    <row r="137" spans="1:20" x14ac:dyDescent="0.25">
      <c r="I137" s="26"/>
    </row>
    <row r="138" spans="1:20" x14ac:dyDescent="0.25">
      <c r="I138" s="26"/>
    </row>
    <row r="139" spans="1:20" x14ac:dyDescent="0.25">
      <c r="I139" s="26"/>
    </row>
    <row r="140" spans="1:20" x14ac:dyDescent="0.25">
      <c r="I140" s="26"/>
    </row>
    <row r="141" spans="1:20" x14ac:dyDescent="0.25">
      <c r="I141" s="26"/>
    </row>
    <row r="142" spans="1:20" x14ac:dyDescent="0.25">
      <c r="I142" s="26"/>
    </row>
    <row r="143" spans="1:20" x14ac:dyDescent="0.25">
      <c r="I143" s="26"/>
    </row>
    <row r="144" spans="1:20" x14ac:dyDescent="0.25">
      <c r="I144" s="26"/>
    </row>
    <row r="145" spans="1:14" x14ac:dyDescent="0.25">
      <c r="I145" s="26"/>
    </row>
    <row r="146" spans="1:14" x14ac:dyDescent="0.25">
      <c r="I146" s="26"/>
    </row>
    <row r="147" spans="1:14" x14ac:dyDescent="0.25">
      <c r="I147" s="26"/>
    </row>
    <row r="148" spans="1:14" x14ac:dyDescent="0.25">
      <c r="I148" s="26"/>
    </row>
    <row r="149" spans="1:14" x14ac:dyDescent="0.25">
      <c r="I149" s="26"/>
    </row>
    <row r="150" spans="1:14" x14ac:dyDescent="0.25">
      <c r="I150" s="26"/>
    </row>
    <row r="151" spans="1:14" x14ac:dyDescent="0.25">
      <c r="A151" s="23"/>
      <c r="B151" s="23" t="s">
        <v>751</v>
      </c>
      <c r="C151" s="23" t="s">
        <v>753</v>
      </c>
      <c r="D151" s="28" t="s">
        <v>829</v>
      </c>
      <c r="E151" s="23" t="s">
        <v>647</v>
      </c>
      <c r="I151" s="26"/>
      <c r="J151" s="26"/>
      <c r="K151" s="26"/>
      <c r="L151" s="26"/>
      <c r="N151" s="26"/>
    </row>
    <row r="152" spans="1:14" x14ac:dyDescent="0.25">
      <c r="A152" s="23"/>
      <c r="B152" s="23" t="s">
        <v>751</v>
      </c>
      <c r="C152" s="23" t="s">
        <v>753</v>
      </c>
      <c r="D152" s="28" t="s">
        <v>827</v>
      </c>
      <c r="E152" s="23" t="s">
        <v>647</v>
      </c>
      <c r="I152" s="26"/>
      <c r="J152" s="26"/>
      <c r="K152" s="26"/>
      <c r="L152" s="26"/>
      <c r="N152" s="26"/>
    </row>
    <row r="153" spans="1:14" x14ac:dyDescent="0.25">
      <c r="A153" s="23"/>
      <c r="B153" s="23" t="s">
        <v>751</v>
      </c>
      <c r="C153" s="23" t="s">
        <v>753</v>
      </c>
      <c r="D153" s="28" t="s">
        <v>826</v>
      </c>
      <c r="E153" s="23" t="s">
        <v>647</v>
      </c>
      <c r="I153" s="26"/>
      <c r="J153" s="26"/>
      <c r="K153" s="26"/>
      <c r="L153" s="26"/>
      <c r="N153" s="26"/>
    </row>
    <row r="154" spans="1:14" x14ac:dyDescent="0.25">
      <c r="A154" s="23"/>
      <c r="B154" s="23" t="s">
        <v>761</v>
      </c>
      <c r="C154" s="23" t="s">
        <v>755</v>
      </c>
      <c r="D154" s="1" t="str">
        <f>"Attached: "&amp;G154&amp;"["&amp;I154&amp;"/"&amp;J154&amp;"]"</f>
        <v>Attached: I/ArtRes[darkblue/white]</v>
      </c>
      <c r="G154" s="28" t="s">
        <v>725</v>
      </c>
      <c r="I154" s="27" t="s">
        <v>712</v>
      </c>
      <c r="J154" s="27" t="s">
        <v>499</v>
      </c>
      <c r="K154" s="26"/>
      <c r="L154" s="26"/>
      <c r="N154" s="26"/>
    </row>
    <row r="155" spans="1:14" x14ac:dyDescent="0.25">
      <c r="A155" s="23"/>
      <c r="B155" s="23" t="s">
        <v>761</v>
      </c>
      <c r="C155" s="23" t="s">
        <v>755</v>
      </c>
      <c r="D155" s="1" t="str">
        <f>"Attached: "&amp;G155&amp;"["&amp;I155&amp;"/"&amp;J155&amp;"]"</f>
        <v>Attached: II/ArtRes[darkblue/white]</v>
      </c>
      <c r="G155" s="28" t="s">
        <v>726</v>
      </c>
      <c r="I155" s="27" t="s">
        <v>712</v>
      </c>
      <c r="J155" s="27" t="s">
        <v>499</v>
      </c>
      <c r="K155" s="26"/>
      <c r="L155" s="26"/>
      <c r="N155" s="26"/>
    </row>
    <row r="156" spans="1:14" x14ac:dyDescent="0.25">
      <c r="A156" s="23"/>
      <c r="B156" s="23" t="s">
        <v>761</v>
      </c>
      <c r="C156" s="23" t="s">
        <v>755</v>
      </c>
      <c r="D156" s="1" t="str">
        <f>"Attached: "&amp;G156&amp;"["&amp;I156&amp;"/"&amp;J156&amp;"]"</f>
        <v>Attached: III/ArtRes[darkblue/white]</v>
      </c>
      <c r="G156" s="28" t="s">
        <v>727</v>
      </c>
      <c r="I156" s="27" t="s">
        <v>712</v>
      </c>
      <c r="J156" s="27" t="s">
        <v>499</v>
      </c>
      <c r="K156" s="26"/>
      <c r="L156" s="26"/>
      <c r="N156" s="26"/>
    </row>
    <row r="157" spans="1:14" x14ac:dyDescent="0.25">
      <c r="A157" s="23"/>
      <c r="B157" s="23" t="s">
        <v>761</v>
      </c>
      <c r="C157" s="23" t="s">
        <v>755</v>
      </c>
      <c r="D157" s="1" t="str">
        <f>"Attached: "&amp;G157&amp;"["&amp;I157&amp;"/"&amp;J157&amp;"]"</f>
        <v>Attached: IV/Art.Res[darkblue/white]</v>
      </c>
      <c r="G157" s="28" t="s">
        <v>849</v>
      </c>
      <c r="I157" s="27" t="s">
        <v>712</v>
      </c>
      <c r="J157" s="27" t="s">
        <v>499</v>
      </c>
      <c r="K157" s="26"/>
      <c r="L157" s="26"/>
      <c r="N157" s="26"/>
    </row>
    <row r="158" spans="1:14" x14ac:dyDescent="0.25">
      <c r="A158" s="23"/>
      <c r="B158" s="23" t="s">
        <v>761</v>
      </c>
      <c r="C158" s="23" t="s">
        <v>755</v>
      </c>
      <c r="D158" s="28" t="s">
        <v>828</v>
      </c>
      <c r="I158" s="26"/>
      <c r="J158" s="26"/>
      <c r="K158" s="26"/>
      <c r="L158" s="26"/>
      <c r="N158" s="26"/>
    </row>
    <row r="160" spans="1:14" x14ac:dyDescent="0.25">
      <c r="A160" s="23"/>
      <c r="B160" s="23" t="s">
        <v>759</v>
      </c>
      <c r="C160" s="23" t="s">
        <v>755</v>
      </c>
      <c r="D160" s="1" t="str">
        <f>G160&amp;"["&amp;I160&amp;"/"&amp;J160&amp;"]"</f>
        <v>[black/lightorange]</v>
      </c>
      <c r="E160">
        <v>1</v>
      </c>
      <c r="G160" s="28"/>
      <c r="I160" s="32" t="s">
        <v>288</v>
      </c>
      <c r="J160" s="32" t="s">
        <v>846</v>
      </c>
    </row>
    <row r="161" spans="1:19" x14ac:dyDescent="0.25">
      <c r="A161" s="23"/>
      <c r="B161" s="23" t="s">
        <v>760</v>
      </c>
      <c r="C161" s="23" t="s">
        <v>755</v>
      </c>
      <c r="D161" s="1" t="str">
        <f>G161&amp;"["&amp;I161&amp;"/"&amp;J161&amp;"]"</f>
        <v>Rout[black/lightorange]</v>
      </c>
      <c r="G161" s="28" t="s">
        <v>837</v>
      </c>
      <c r="I161" s="32" t="s">
        <v>288</v>
      </c>
      <c r="J161" s="32" t="s">
        <v>846</v>
      </c>
    </row>
    <row r="162" spans="1:19" x14ac:dyDescent="0.25">
      <c r="A162" s="23"/>
      <c r="B162" s="23" t="s">
        <v>760</v>
      </c>
      <c r="C162" s="23" t="s">
        <v>755</v>
      </c>
      <c r="D162" s="1" t="str">
        <f t="shared" ref="D162:D169" si="23">G162&amp;"["&amp;I162&amp;"/"&amp;J162&amp;"]"</f>
        <v>Charge[black/lightorange]</v>
      </c>
      <c r="G162" s="28" t="s">
        <v>838</v>
      </c>
      <c r="I162" s="32" t="s">
        <v>288</v>
      </c>
      <c r="J162" s="32" t="s">
        <v>846</v>
      </c>
    </row>
    <row r="163" spans="1:19" x14ac:dyDescent="0.25">
      <c r="A163" s="23"/>
      <c r="B163" s="23" t="s">
        <v>760</v>
      </c>
      <c r="C163" s="23" t="s">
        <v>755</v>
      </c>
      <c r="D163" s="1" t="str">
        <f t="shared" si="23"/>
        <v>Orders[darkgreen/lightorange]</v>
      </c>
      <c r="G163" s="28" t="s">
        <v>839</v>
      </c>
      <c r="I163" s="27" t="s">
        <v>847</v>
      </c>
      <c r="J163" s="32" t="s">
        <v>846</v>
      </c>
    </row>
    <row r="164" spans="1:19" x14ac:dyDescent="0.25">
      <c r="A164" s="23"/>
      <c r="B164" s="23" t="s">
        <v>760</v>
      </c>
      <c r="C164" s="23" t="s">
        <v>755</v>
      </c>
      <c r="D164" s="1" t="str">
        <f t="shared" si="23"/>
        <v>No orders[darkred/lightorange]</v>
      </c>
      <c r="G164" s="28" t="s">
        <v>840</v>
      </c>
      <c r="I164" s="27" t="s">
        <v>830</v>
      </c>
      <c r="J164" s="32" t="s">
        <v>846</v>
      </c>
    </row>
    <row r="165" spans="1:19" x14ac:dyDescent="0.25">
      <c r="A165" s="23"/>
      <c r="B165" s="23" t="s">
        <v>760</v>
      </c>
      <c r="C165" s="23" t="s">
        <v>755</v>
      </c>
      <c r="D165" s="1" t="str">
        <f t="shared" si="23"/>
        <v>Square[black/lightorange]</v>
      </c>
      <c r="G165" s="28" t="s">
        <v>841</v>
      </c>
      <c r="I165" s="32" t="s">
        <v>288</v>
      </c>
      <c r="J165" s="32" t="s">
        <v>846</v>
      </c>
    </row>
    <row r="166" spans="1:19" x14ac:dyDescent="0.25">
      <c r="A166" s="23"/>
      <c r="B166" s="23" t="s">
        <v>760</v>
      </c>
      <c r="C166" s="23" t="s">
        <v>755</v>
      </c>
      <c r="D166" s="1" t="str">
        <f t="shared" si="23"/>
        <v>Reinf[black/lightorange]</v>
      </c>
      <c r="G166" s="28" t="s">
        <v>842</v>
      </c>
      <c r="I166" s="32" t="s">
        <v>288</v>
      </c>
      <c r="J166" s="32" t="s">
        <v>846</v>
      </c>
    </row>
    <row r="167" spans="1:19" x14ac:dyDescent="0.25">
      <c r="A167" s="23"/>
      <c r="B167" s="23" t="s">
        <v>760</v>
      </c>
      <c r="C167" s="23" t="s">
        <v>755</v>
      </c>
      <c r="D167" s="1" t="str">
        <f t="shared" si="23"/>
        <v>Fired[black/lightorange]</v>
      </c>
      <c r="G167" s="28" t="s">
        <v>844</v>
      </c>
      <c r="I167" s="32" t="s">
        <v>288</v>
      </c>
      <c r="J167" s="32" t="s">
        <v>846</v>
      </c>
    </row>
    <row r="168" spans="1:19" x14ac:dyDescent="0.25">
      <c r="A168" s="23"/>
      <c r="B168" s="23" t="s">
        <v>760</v>
      </c>
      <c r="C168" s="23" t="s">
        <v>755</v>
      </c>
      <c r="D168" s="1" t="str">
        <f t="shared" si="23"/>
        <v>Shock[black/lightorange]</v>
      </c>
      <c r="G168" s="28" t="s">
        <v>843</v>
      </c>
      <c r="I168" s="32" t="s">
        <v>288</v>
      </c>
      <c r="J168" s="32" t="s">
        <v>846</v>
      </c>
    </row>
    <row r="169" spans="1:19" x14ac:dyDescent="0.25">
      <c r="A169" s="23"/>
      <c r="B169" s="23" t="s">
        <v>760</v>
      </c>
      <c r="C169" s="23" t="s">
        <v>755</v>
      </c>
      <c r="D169" s="1" t="str">
        <f t="shared" si="23"/>
        <v>Shock + test[black/lightorange]</v>
      </c>
      <c r="G169" s="28" t="s">
        <v>845</v>
      </c>
      <c r="I169" s="32" t="s">
        <v>288</v>
      </c>
      <c r="J169" s="32" t="s">
        <v>846</v>
      </c>
    </row>
    <row r="170" spans="1:19" x14ac:dyDescent="0.25">
      <c r="A170" s="23"/>
      <c r="B170" s="23" t="s">
        <v>848</v>
      </c>
      <c r="C170" s="23" t="s">
        <v>755</v>
      </c>
      <c r="D170" s="1">
        <v>3</v>
      </c>
      <c r="G170" s="28"/>
      <c r="I170" s="32" t="s">
        <v>288</v>
      </c>
      <c r="J170" s="32" t="s">
        <v>846</v>
      </c>
    </row>
    <row r="172" spans="1:19" x14ac:dyDescent="0.25">
      <c r="A172" s="23"/>
      <c r="B172" s="23"/>
      <c r="F172" s="26"/>
      <c r="G172" s="14"/>
      <c r="I172" s="26"/>
      <c r="J172" s="26"/>
      <c r="K172" s="26"/>
      <c r="L172" s="26"/>
      <c r="M172" s="26"/>
      <c r="N172" s="26"/>
      <c r="O172" s="26"/>
      <c r="P172" s="26"/>
      <c r="S172" s="1"/>
    </row>
    <row r="173" spans="1:19" x14ac:dyDescent="0.25">
      <c r="A173" s="23"/>
      <c r="B173" s="23" t="s">
        <v>751</v>
      </c>
      <c r="C173" t="s">
        <v>754</v>
      </c>
      <c r="D173" s="1" t="s">
        <v>758</v>
      </c>
      <c r="E173" t="s">
        <v>647</v>
      </c>
      <c r="F173" s="26">
        <v>1</v>
      </c>
      <c r="G173" s="14"/>
      <c r="I173" s="26"/>
      <c r="J173" s="26"/>
      <c r="K173" s="26"/>
      <c r="L173" s="26"/>
      <c r="M173" s="26"/>
      <c r="N173" s="26"/>
      <c r="O173" s="26"/>
      <c r="P173" s="26"/>
      <c r="S173" s="1"/>
    </row>
    <row r="174" spans="1:19" x14ac:dyDescent="0.25">
      <c r="A174" s="23"/>
      <c r="B174" s="23" t="s">
        <v>759</v>
      </c>
      <c r="C174" t="s">
        <v>756</v>
      </c>
      <c r="D174" s="1" t="s">
        <v>766</v>
      </c>
      <c r="F174" s="26"/>
      <c r="G174" s="14"/>
      <c r="I174" s="26"/>
      <c r="J174" s="26"/>
      <c r="K174" s="26"/>
      <c r="L174" s="26"/>
      <c r="M174" s="26"/>
      <c r="N174" s="26"/>
      <c r="O174" s="26"/>
      <c r="P174" s="26"/>
      <c r="S174" s="1"/>
    </row>
    <row r="175" spans="1:19" x14ac:dyDescent="0.25">
      <c r="A175" s="23"/>
      <c r="B175" s="23" t="s">
        <v>760</v>
      </c>
      <c r="C175" t="s">
        <v>756</v>
      </c>
      <c r="D175" s="1" t="s">
        <v>763</v>
      </c>
      <c r="F175" s="26"/>
      <c r="G175" s="14"/>
      <c r="I175" s="26"/>
      <c r="J175" s="26"/>
      <c r="K175" s="26"/>
      <c r="L175" s="26"/>
      <c r="M175" s="26"/>
      <c r="N175" s="26"/>
      <c r="O175" s="26"/>
      <c r="P175" s="26"/>
      <c r="S175" s="1"/>
    </row>
    <row r="176" spans="1:19" x14ac:dyDescent="0.25">
      <c r="A176" s="23"/>
      <c r="B176" s="23" t="s">
        <v>761</v>
      </c>
      <c r="C176" t="s">
        <v>755</v>
      </c>
      <c r="D176" s="1" t="s">
        <v>767</v>
      </c>
      <c r="F176" s="26"/>
      <c r="G176" s="14"/>
      <c r="I176" s="26"/>
      <c r="J176" s="26"/>
      <c r="K176" s="26"/>
      <c r="L176" s="26"/>
      <c r="M176" s="26"/>
      <c r="N176" s="26"/>
      <c r="O176" s="26"/>
      <c r="P176" s="26"/>
      <c r="S176" s="1"/>
    </row>
    <row r="177" spans="1:19" x14ac:dyDescent="0.25">
      <c r="A177" s="23"/>
      <c r="B177" s="23" t="s">
        <v>762</v>
      </c>
      <c r="C177" t="s">
        <v>756</v>
      </c>
      <c r="D177" s="1" t="s">
        <v>764</v>
      </c>
      <c r="F177" s="26"/>
      <c r="G177" s="14"/>
      <c r="I177" s="26"/>
      <c r="J177" s="26"/>
      <c r="K177" s="26"/>
      <c r="L177" s="26"/>
      <c r="M177" s="26"/>
      <c r="N177" s="26"/>
      <c r="O177" s="26"/>
      <c r="P177" s="26"/>
      <c r="S177" s="1"/>
    </row>
    <row r="178" spans="1:19" ht="26.4" x14ac:dyDescent="0.25">
      <c r="A178" s="23"/>
      <c r="B178" s="23" t="s">
        <v>760</v>
      </c>
      <c r="C178" t="s">
        <v>756</v>
      </c>
      <c r="D178" s="31" t="s">
        <v>791</v>
      </c>
      <c r="E178" s="1"/>
      <c r="F178" s="26"/>
      <c r="I178" s="26"/>
      <c r="J178" s="26"/>
      <c r="K178" s="26"/>
      <c r="L178" s="26"/>
      <c r="N178" s="26"/>
    </row>
    <row r="179" spans="1:19" x14ac:dyDescent="0.25">
      <c r="A179" s="23"/>
      <c r="B179" s="23" t="s">
        <v>761</v>
      </c>
      <c r="C179" t="s">
        <v>756</v>
      </c>
      <c r="D179" s="1" t="s">
        <v>781</v>
      </c>
      <c r="E179" s="1"/>
      <c r="F179" s="26"/>
      <c r="J179" s="26"/>
      <c r="K179" s="26"/>
      <c r="L179" s="26"/>
      <c r="N179" s="26"/>
    </row>
    <row r="180" spans="1:19" x14ac:dyDescent="0.25">
      <c r="A180" s="23"/>
      <c r="B180" s="23" t="s">
        <v>761</v>
      </c>
      <c r="C180" t="s">
        <v>756</v>
      </c>
      <c r="D180" s="1" t="s">
        <v>780</v>
      </c>
      <c r="E180" s="1"/>
      <c r="F180" s="26"/>
      <c r="J180" s="26"/>
      <c r="K180" s="26"/>
      <c r="L180" s="26"/>
      <c r="N180" s="26"/>
    </row>
    <row r="181" spans="1:19" x14ac:dyDescent="0.25">
      <c r="A181" s="23"/>
      <c r="B181" s="23" t="s">
        <v>761</v>
      </c>
      <c r="C181" t="s">
        <v>756</v>
      </c>
      <c r="D181" s="1" t="s">
        <v>782</v>
      </c>
      <c r="E181" s="1"/>
      <c r="F181" s="26"/>
      <c r="J181" s="26"/>
      <c r="K181" s="26"/>
      <c r="L181" s="26"/>
      <c r="N181" s="26"/>
    </row>
    <row r="182" spans="1:19" x14ac:dyDescent="0.25">
      <c r="A182" s="23"/>
      <c r="B182" s="23" t="s">
        <v>761</v>
      </c>
      <c r="C182" t="s">
        <v>756</v>
      </c>
      <c r="D182" s="1" t="s">
        <v>783</v>
      </c>
      <c r="E182" s="1"/>
      <c r="F182" s="26"/>
      <c r="J182" s="26"/>
      <c r="K182" s="26"/>
      <c r="L182" s="26"/>
      <c r="N182" s="26"/>
    </row>
    <row r="183" spans="1:19" x14ac:dyDescent="0.25">
      <c r="A183" s="23"/>
      <c r="B183" s="23" t="s">
        <v>761</v>
      </c>
      <c r="C183" t="s">
        <v>756</v>
      </c>
      <c r="D183" s="1" t="s">
        <v>784</v>
      </c>
      <c r="E183" s="1"/>
      <c r="F183" s="26"/>
      <c r="J183" s="26"/>
      <c r="K183" s="26"/>
      <c r="L183" s="26"/>
      <c r="N183" s="26"/>
    </row>
    <row r="184" spans="1:19" x14ac:dyDescent="0.25">
      <c r="A184" s="23"/>
      <c r="B184" s="23" t="s">
        <v>761</v>
      </c>
      <c r="C184" t="s">
        <v>756</v>
      </c>
      <c r="D184" s="1" t="s">
        <v>785</v>
      </c>
      <c r="E184" s="1"/>
      <c r="F184" s="26"/>
      <c r="J184" s="26"/>
      <c r="K184" s="26"/>
      <c r="L184" s="26"/>
      <c r="N184" s="26"/>
    </row>
    <row r="185" spans="1:19" x14ac:dyDescent="0.25">
      <c r="A185" s="23"/>
      <c r="B185" s="23" t="s">
        <v>761</v>
      </c>
      <c r="C185" t="s">
        <v>756</v>
      </c>
      <c r="D185" s="1" t="s">
        <v>786</v>
      </c>
      <c r="E185" s="1"/>
      <c r="F185" s="26"/>
      <c r="J185" s="26"/>
      <c r="K185" s="26"/>
      <c r="L185" s="26"/>
      <c r="N185" s="26"/>
    </row>
    <row r="186" spans="1:19" x14ac:dyDescent="0.25">
      <c r="A186" s="23"/>
      <c r="B186" s="23" t="s">
        <v>761</v>
      </c>
      <c r="C186" t="s">
        <v>756</v>
      </c>
      <c r="D186" s="1" t="s">
        <v>787</v>
      </c>
      <c r="E186" s="1"/>
      <c r="F186" s="26"/>
      <c r="J186" s="26"/>
      <c r="K186" s="26"/>
      <c r="L186" s="26"/>
      <c r="N186" s="26"/>
    </row>
    <row r="187" spans="1:19" x14ac:dyDescent="0.25">
      <c r="A187" s="23"/>
      <c r="B187" s="23" t="s">
        <v>761</v>
      </c>
      <c r="C187" t="s">
        <v>756</v>
      </c>
      <c r="D187" s="1" t="s">
        <v>788</v>
      </c>
      <c r="E187" s="1"/>
      <c r="F187" s="26"/>
      <c r="I187" s="26"/>
      <c r="J187" s="26"/>
      <c r="K187" s="26"/>
      <c r="L187" s="26"/>
      <c r="N187" s="26"/>
    </row>
    <row r="188" spans="1:19" x14ac:dyDescent="0.25">
      <c r="A188" s="23"/>
      <c r="B188" s="23" t="s">
        <v>761</v>
      </c>
      <c r="C188" t="s">
        <v>756</v>
      </c>
      <c r="D188" s="1" t="s">
        <v>789</v>
      </c>
      <c r="E188" s="1"/>
      <c r="F188" s="26"/>
      <c r="I188" s="26"/>
      <c r="J188" s="26"/>
      <c r="K188" s="26"/>
      <c r="L188" s="26"/>
      <c r="N188" s="26"/>
    </row>
    <row r="189" spans="1:19" x14ac:dyDescent="0.25">
      <c r="A189" s="23"/>
      <c r="B189" s="23" t="s">
        <v>761</v>
      </c>
      <c r="C189" t="s">
        <v>756</v>
      </c>
      <c r="D189" s="1" t="s">
        <v>790</v>
      </c>
      <c r="E189" s="1"/>
      <c r="F189" s="26"/>
      <c r="I189" s="26"/>
      <c r="J189" s="26"/>
      <c r="K189" s="26"/>
      <c r="L189" s="26"/>
      <c r="N189" s="26"/>
    </row>
    <row r="190" spans="1:19" x14ac:dyDescent="0.25">
      <c r="A190" s="23"/>
      <c r="B190" s="23" t="s">
        <v>761</v>
      </c>
      <c r="C190" t="s">
        <v>756</v>
      </c>
      <c r="D190" s="1" t="str">
        <f>F190&amp;"[blue/"&amp;F190&amp;"]"</f>
        <v>rgb_k[blue/rgb_k]</v>
      </c>
      <c r="F190" t="s">
        <v>793</v>
      </c>
      <c r="I190" s="26"/>
      <c r="J190" s="26"/>
      <c r="K190" s="26"/>
      <c r="L190" s="26"/>
      <c r="N190" s="26"/>
    </row>
    <row r="191" spans="1:19" x14ac:dyDescent="0.25">
      <c r="A191" s="23"/>
      <c r="B191" s="23" t="s">
        <v>761</v>
      </c>
      <c r="C191" t="s">
        <v>756</v>
      </c>
      <c r="D191" s="1" t="str">
        <f t="shared" ref="D191:D202" si="24">F191&amp;"[blue/"&amp;F191&amp;"]"</f>
        <v>rgb_1[blue/rgb_1]</v>
      </c>
      <c r="F191" t="s">
        <v>794</v>
      </c>
      <c r="I191" s="26"/>
      <c r="J191" s="26"/>
      <c r="K191" s="26"/>
      <c r="L191" s="26"/>
      <c r="N191" s="26"/>
    </row>
    <row r="192" spans="1:19" x14ac:dyDescent="0.25">
      <c r="A192" s="23"/>
      <c r="B192" s="23" t="s">
        <v>761</v>
      </c>
      <c r="C192" t="s">
        <v>756</v>
      </c>
      <c r="D192" s="1" t="str">
        <f t="shared" si="24"/>
        <v>rgb_2[blue/rgb_2]</v>
      </c>
      <c r="F192" t="s">
        <v>795</v>
      </c>
      <c r="I192" s="26"/>
      <c r="J192" s="26"/>
      <c r="K192" s="26"/>
      <c r="L192" s="26"/>
      <c r="N192" s="26"/>
    </row>
    <row r="193" spans="1:14" x14ac:dyDescent="0.25">
      <c r="A193" s="23"/>
      <c r="B193" s="23" t="s">
        <v>761</v>
      </c>
      <c r="C193" t="s">
        <v>756</v>
      </c>
      <c r="D193" s="1" t="str">
        <f t="shared" si="24"/>
        <v>rgb_3[blue/rgb_3]</v>
      </c>
      <c r="F193" t="s">
        <v>796</v>
      </c>
      <c r="I193" s="26"/>
      <c r="J193" s="26"/>
      <c r="K193" s="26"/>
      <c r="L193" s="26"/>
      <c r="N193" s="26"/>
    </row>
    <row r="194" spans="1:14" x14ac:dyDescent="0.25">
      <c r="A194" s="23"/>
      <c r="B194" s="23" t="s">
        <v>761</v>
      </c>
      <c r="C194" t="s">
        <v>756</v>
      </c>
      <c r="D194" s="1" t="str">
        <f t="shared" si="24"/>
        <v>rgb_4[blue/rgb_4]</v>
      </c>
      <c r="F194" t="s">
        <v>797</v>
      </c>
      <c r="I194" s="26"/>
      <c r="J194" s="26"/>
      <c r="K194" s="26"/>
      <c r="L194" s="26"/>
      <c r="N194" s="26"/>
    </row>
    <row r="195" spans="1:14" x14ac:dyDescent="0.25">
      <c r="A195" s="23"/>
      <c r="B195" s="23" t="s">
        <v>761</v>
      </c>
      <c r="C195" t="s">
        <v>756</v>
      </c>
      <c r="D195" s="1" t="str">
        <f t="shared" si="24"/>
        <v>rgb_5[blue/rgb_5]</v>
      </c>
      <c r="F195" t="s">
        <v>798</v>
      </c>
      <c r="I195" s="26"/>
      <c r="J195" s="26"/>
      <c r="K195" s="26"/>
      <c r="L195" s="26"/>
      <c r="N195" s="26"/>
    </row>
    <row r="196" spans="1:14" x14ac:dyDescent="0.25">
      <c r="A196" s="23"/>
      <c r="B196" s="23" t="s">
        <v>761</v>
      </c>
      <c r="C196" t="s">
        <v>756</v>
      </c>
      <c r="D196" s="1" t="str">
        <f t="shared" si="24"/>
        <v>rgb_6[blue/rgb_6]</v>
      </c>
      <c r="F196" t="s">
        <v>799</v>
      </c>
      <c r="I196" s="26"/>
      <c r="J196" s="26"/>
      <c r="K196" s="26"/>
      <c r="L196" s="26"/>
      <c r="N196" s="26"/>
    </row>
    <row r="197" spans="1:14" x14ac:dyDescent="0.25">
      <c r="A197" s="23"/>
      <c r="B197" s="23" t="s">
        <v>761</v>
      </c>
      <c r="C197" t="s">
        <v>756</v>
      </c>
      <c r="D197" s="1" t="str">
        <f t="shared" si="24"/>
        <v>rgb_7[blue/rgb_7]</v>
      </c>
      <c r="F197" t="s">
        <v>800</v>
      </c>
      <c r="I197" s="26"/>
      <c r="J197" s="26"/>
      <c r="K197" s="26"/>
      <c r="L197" s="26"/>
      <c r="N197" s="26"/>
    </row>
    <row r="198" spans="1:14" x14ac:dyDescent="0.25">
      <c r="A198" s="23"/>
      <c r="B198" s="23" t="s">
        <v>761</v>
      </c>
      <c r="C198" t="s">
        <v>756</v>
      </c>
      <c r="D198" s="1" t="str">
        <f t="shared" si="24"/>
        <v>rgb_8[blue/rgb_8]</v>
      </c>
      <c r="F198" t="s">
        <v>801</v>
      </c>
      <c r="I198" s="26"/>
      <c r="J198" s="26"/>
      <c r="K198" s="26"/>
      <c r="L198" s="26"/>
      <c r="N198" s="26"/>
    </row>
    <row r="199" spans="1:14" x14ac:dyDescent="0.25">
      <c r="A199" s="23"/>
      <c r="B199" s="23" t="s">
        <v>761</v>
      </c>
      <c r="C199" t="s">
        <v>756</v>
      </c>
      <c r="D199" s="1" t="str">
        <f t="shared" si="24"/>
        <v>rgb_9[blue/rgb_9]</v>
      </c>
      <c r="F199" t="s">
        <v>802</v>
      </c>
      <c r="I199" s="26"/>
      <c r="J199" s="26"/>
      <c r="K199" s="26"/>
      <c r="L199" s="26"/>
      <c r="N199" s="26"/>
    </row>
    <row r="200" spans="1:14" x14ac:dyDescent="0.25">
      <c r="A200" s="23"/>
      <c r="B200" s="23" t="s">
        <v>761</v>
      </c>
      <c r="C200" t="s">
        <v>756</v>
      </c>
      <c r="D200" s="1" t="str">
        <f t="shared" si="24"/>
        <v>rgb_10[blue/rgb_10]</v>
      </c>
      <c r="F200" t="s">
        <v>803</v>
      </c>
      <c r="I200" s="26"/>
      <c r="J200" s="26"/>
      <c r="K200" s="26"/>
      <c r="L200" s="26"/>
      <c r="N200" s="26"/>
    </row>
    <row r="201" spans="1:14" x14ac:dyDescent="0.25">
      <c r="A201" s="23"/>
      <c r="B201" s="23" t="s">
        <v>761</v>
      </c>
      <c r="C201" t="s">
        <v>756</v>
      </c>
      <c r="D201" s="1" t="str">
        <f t="shared" si="24"/>
        <v>rgb_11[blue/rgb_11]</v>
      </c>
      <c r="F201" t="s">
        <v>804</v>
      </c>
      <c r="I201" s="26"/>
      <c r="J201" s="26"/>
      <c r="K201" s="26"/>
      <c r="L201" s="26"/>
      <c r="N201" s="26"/>
    </row>
    <row r="202" spans="1:14" x14ac:dyDescent="0.25">
      <c r="A202" s="23"/>
      <c r="B202" s="23" t="s">
        <v>761</v>
      </c>
      <c r="C202" t="s">
        <v>756</v>
      </c>
      <c r="D202" s="1" t="str">
        <f t="shared" si="24"/>
        <v>rgb_br_1[blue/rgb_br_1]</v>
      </c>
      <c r="F202" t="s">
        <v>808</v>
      </c>
      <c r="I202" s="26"/>
      <c r="J202" s="26"/>
      <c r="K202" s="26"/>
      <c r="L202" s="26"/>
      <c r="N202" s="26"/>
    </row>
    <row r="203" spans="1:14" x14ac:dyDescent="0.25">
      <c r="A203" s="23"/>
      <c r="B203" s="23" t="s">
        <v>761</v>
      </c>
      <c r="C203" t="s">
        <v>756</v>
      </c>
      <c r="D203" s="1" t="str">
        <f t="shared" ref="D203:D215" si="25">F203&amp;"[blue/"&amp;F203&amp;"]"</f>
        <v>rgb_br_2[blue/rgb_br_2]</v>
      </c>
      <c r="F203" t="s">
        <v>809</v>
      </c>
      <c r="I203" s="26"/>
      <c r="J203" s="26"/>
      <c r="K203" s="26"/>
      <c r="L203" s="26"/>
      <c r="N203" s="26"/>
    </row>
    <row r="204" spans="1:14" x14ac:dyDescent="0.25">
      <c r="A204" s="23"/>
      <c r="B204" s="23" t="s">
        <v>761</v>
      </c>
      <c r="C204" t="s">
        <v>756</v>
      </c>
      <c r="D204" s="1" t="str">
        <f t="shared" si="25"/>
        <v>rgb_br_3[blue/rgb_br_3]</v>
      </c>
      <c r="F204" t="s">
        <v>810</v>
      </c>
      <c r="I204" s="26"/>
      <c r="J204" s="26"/>
      <c r="K204" s="26"/>
      <c r="L204" s="26"/>
      <c r="N204" s="26"/>
    </row>
    <row r="205" spans="1:14" x14ac:dyDescent="0.25">
      <c r="A205" s="23"/>
      <c r="B205" s="23" t="s">
        <v>761</v>
      </c>
      <c r="C205" t="s">
        <v>756</v>
      </c>
      <c r="D205" s="1" t="str">
        <f t="shared" si="25"/>
        <v>br_1[blue/br_1]</v>
      </c>
      <c r="F205" t="s">
        <v>811</v>
      </c>
      <c r="I205" s="26"/>
      <c r="J205" s="26"/>
      <c r="K205" s="26"/>
      <c r="L205" s="26"/>
      <c r="N205" s="26"/>
    </row>
    <row r="206" spans="1:14" x14ac:dyDescent="0.25">
      <c r="A206" s="23"/>
      <c r="B206" s="23" t="s">
        <v>761</v>
      </c>
      <c r="C206" t="s">
        <v>756</v>
      </c>
      <c r="D206" s="1" t="str">
        <f t="shared" si="25"/>
        <v>br_2[blue/br_2]</v>
      </c>
      <c r="F206" t="s">
        <v>812</v>
      </c>
      <c r="I206" s="26"/>
      <c r="J206" s="26"/>
      <c r="K206" s="26"/>
      <c r="L206" s="26"/>
      <c r="N206" s="26"/>
    </row>
    <row r="207" spans="1:14" x14ac:dyDescent="0.25">
      <c r="A207" s="23"/>
      <c r="B207" s="23" t="s">
        <v>761</v>
      </c>
      <c r="C207" t="s">
        <v>756</v>
      </c>
      <c r="D207" s="1" t="str">
        <f t="shared" si="25"/>
        <v>br_3[blue/br_3]</v>
      </c>
      <c r="F207" t="s">
        <v>813</v>
      </c>
      <c r="I207" s="26"/>
      <c r="J207" s="26"/>
      <c r="K207" s="26"/>
      <c r="L207" s="26"/>
      <c r="N207" s="26"/>
    </row>
    <row r="208" spans="1:14" x14ac:dyDescent="0.25">
      <c r="A208" s="23"/>
      <c r="B208" s="23" t="s">
        <v>761</v>
      </c>
      <c r="C208" t="s">
        <v>756</v>
      </c>
      <c r="D208" s="1" t="str">
        <f t="shared" si="25"/>
        <v>br_4[blue/br_4]</v>
      </c>
      <c r="F208" t="s">
        <v>814</v>
      </c>
      <c r="I208" s="26"/>
      <c r="J208" s="26"/>
      <c r="K208" s="26"/>
      <c r="L208" s="26"/>
      <c r="N208" s="26"/>
    </row>
    <row r="209" spans="1:14" x14ac:dyDescent="0.25">
      <c r="A209" s="23"/>
      <c r="B209" s="23" t="s">
        <v>761</v>
      </c>
      <c r="C209" t="s">
        <v>756</v>
      </c>
      <c r="D209" s="1" t="str">
        <f t="shared" si="25"/>
        <v>br_5[blue/br_5]</v>
      </c>
      <c r="F209" t="s">
        <v>815</v>
      </c>
      <c r="I209" s="26"/>
      <c r="J209" s="26"/>
      <c r="K209" s="26"/>
      <c r="L209" s="26"/>
      <c r="N209" s="26"/>
    </row>
    <row r="210" spans="1:14" x14ac:dyDescent="0.25">
      <c r="A210" s="23"/>
      <c r="B210" s="23" t="s">
        <v>761</v>
      </c>
      <c r="C210" t="s">
        <v>756</v>
      </c>
      <c r="D210" s="1" t="str">
        <f t="shared" si="25"/>
        <v>br_6[blue/br_6]</v>
      </c>
      <c r="F210" t="s">
        <v>816</v>
      </c>
      <c r="I210" s="26"/>
      <c r="J210" s="26"/>
      <c r="K210" s="26"/>
      <c r="L210" s="26"/>
      <c r="N210" s="26"/>
    </row>
    <row r="211" spans="1:14" x14ac:dyDescent="0.25">
      <c r="A211" s="23"/>
      <c r="B211" s="23" t="s">
        <v>761</v>
      </c>
      <c r="C211" t="s">
        <v>756</v>
      </c>
      <c r="D211" s="1" t="str">
        <f t="shared" si="25"/>
        <v>br_7[blue/br_7]</v>
      </c>
      <c r="F211" t="s">
        <v>817</v>
      </c>
      <c r="I211" s="26"/>
      <c r="J211" s="26"/>
      <c r="K211" s="26"/>
      <c r="L211" s="26"/>
      <c r="N211" s="26"/>
    </row>
    <row r="212" spans="1:14" x14ac:dyDescent="0.25">
      <c r="A212" s="23"/>
      <c r="B212" s="23" t="s">
        <v>761</v>
      </c>
      <c r="C212" t="s">
        <v>756</v>
      </c>
      <c r="D212" s="1" t="str">
        <f t="shared" si="25"/>
        <v>br_8[blue/br_8]</v>
      </c>
      <c r="F212" t="s">
        <v>818</v>
      </c>
      <c r="I212" s="26"/>
      <c r="J212" s="26"/>
      <c r="K212" s="26"/>
      <c r="L212" s="26"/>
      <c r="N212" s="26"/>
    </row>
    <row r="213" spans="1:14" x14ac:dyDescent="0.25">
      <c r="A213" s="23"/>
      <c r="B213" s="23" t="s">
        <v>761</v>
      </c>
      <c r="C213" t="s">
        <v>756</v>
      </c>
      <c r="D213" s="1" t="str">
        <f t="shared" si="25"/>
        <v>br_9[blue/br_9]</v>
      </c>
      <c r="F213" t="s">
        <v>819</v>
      </c>
      <c r="I213" s="26"/>
      <c r="J213" s="26"/>
      <c r="K213" s="26"/>
      <c r="L213" s="26"/>
      <c r="N213" s="26"/>
    </row>
    <row r="214" spans="1:14" x14ac:dyDescent="0.25">
      <c r="A214" s="23"/>
      <c r="B214" s="23" t="s">
        <v>761</v>
      </c>
      <c r="C214" t="s">
        <v>756</v>
      </c>
      <c r="D214" s="1" t="str">
        <f t="shared" si="25"/>
        <v>br_10[blue/br_10]</v>
      </c>
      <c r="F214" t="s">
        <v>820</v>
      </c>
      <c r="I214" s="26"/>
      <c r="J214" s="26"/>
      <c r="K214" s="26"/>
      <c r="L214" s="26"/>
      <c r="N214" s="26"/>
    </row>
    <row r="215" spans="1:14" x14ac:dyDescent="0.25">
      <c r="A215" s="23"/>
      <c r="B215" s="23" t="s">
        <v>761</v>
      </c>
      <c r="C215" t="s">
        <v>756</v>
      </c>
      <c r="D215" s="1" t="str">
        <f t="shared" si="25"/>
        <v>br_11[blue/br_11]</v>
      </c>
      <c r="F215" t="s">
        <v>821</v>
      </c>
      <c r="I215" s="26"/>
      <c r="J215" s="26"/>
      <c r="K215" s="26"/>
      <c r="L215" s="26"/>
      <c r="N215" s="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10</xdr:col>
                    <xdr:colOff>579120</xdr:colOff>
                    <xdr:row>0</xdr:row>
                    <xdr:rowOff>68580</xdr:rowOff>
                  </from>
                  <to>
                    <xdr:col>13</xdr:col>
                    <xdr:colOff>411480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To do</vt:lpstr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Molins</vt:lpstr>
      <vt:lpstr>Sheet3</vt:lpstr>
      <vt:lpstr>Sheet4</vt:lpstr>
      <vt:lpstr>Sheet5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2020-06-18T14:05:42Z</cp:lastPrinted>
  <dcterms:created xsi:type="dcterms:W3CDTF">2020-03-03T11:19:15Z</dcterms:created>
  <dcterms:modified xsi:type="dcterms:W3CDTF">2020-07-10T14:29:35Z</dcterms:modified>
</cp:coreProperties>
</file>